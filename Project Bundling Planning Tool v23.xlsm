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890f045f9b554aa3/Documents/ETSU/TDOT/Bundling/Tool/"/>
    </mc:Choice>
  </mc:AlternateContent>
  <xr:revisionPtr revIDLastSave="6170" documentId="8_{469ECD95-AF31-439C-B5BE-496CAB2013C8}" xr6:coauthVersionLast="47" xr6:coauthVersionMax="47" xr10:uidLastSave="{EB3CFE4E-A710-426F-AD4A-E3559EAE9F98}"/>
  <bookViews>
    <workbookView xWindow="28680" yWindow="-120" windowWidth="29040" windowHeight="15720" activeTab="1" xr2:uid="{0E4C0E24-38E6-46D5-B271-A40F64F1B730}"/>
  </bookViews>
  <sheets>
    <sheet name="Instruction" sheetId="1" r:id="rId1"/>
    <sheet name="Input" sheetId="2" r:id="rId2"/>
    <sheet name="Weights" sheetId="197" r:id="rId3"/>
    <sheet name="Location" sheetId="121" state="hidden" r:id="rId4"/>
    <sheet name="BundlingCompatabilityData" sheetId="3" r:id="rId5"/>
    <sheet name="Options" sheetId="4" r:id="rId6"/>
    <sheet name="Focused Bundling Combinations" sheetId="127" state="hidden" r:id="rId7"/>
    <sheet name="Validatio1n" sheetId="192" state="hidden" r:id="rId8"/>
    <sheet name="Optimal Combinations Sorted" sheetId="231" r:id="rId9"/>
    <sheet name="Validation" sheetId="232" r:id="rId10"/>
  </sheets>
  <functionGroups builtInGroupCount="19"/>
  <externalReferences>
    <externalReference r:id="rId11"/>
  </externalReferences>
  <definedNames>
    <definedName name="_xlnm._FilterDatabase" localSheetId="6" hidden="1">'Focused Bundling Combinations'!$A$1:$P$1</definedName>
    <definedName name="_xlnm._FilterDatabase" localSheetId="8" hidden="1">'Optimal Combinations Sorted'!$A$1:$J$1</definedName>
    <definedName name="_xlnm._FilterDatabase" localSheetId="5" hidden="1">Options!$M$7:$O$104</definedName>
    <definedName name="_xleta.SUM" hidden="1" xlm="1">#NAME?</definedName>
    <definedName name="CountyTable">[1]CountyRegionMatrix!$C$9:$C$104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4" i="3" l="1"/>
  <c r="B93" i="3"/>
  <c r="D77" i="3"/>
  <c r="D78" i="3"/>
  <c r="D79" i="3"/>
  <c r="D80" i="3"/>
  <c r="D81" i="3"/>
  <c r="D82" i="3"/>
  <c r="D83" i="3"/>
  <c r="D84" i="3"/>
  <c r="D85" i="3"/>
  <c r="D76" i="3"/>
  <c r="B78" i="3"/>
  <c r="B79" i="3" s="1"/>
  <c r="B80" i="3" s="1"/>
  <c r="B81" i="3" s="1"/>
  <c r="B82" i="3" s="1"/>
  <c r="B83" i="3" s="1"/>
  <c r="B84" i="3" s="1"/>
  <c r="H77" i="3"/>
  <c r="H78" i="3"/>
  <c r="H79" i="3"/>
  <c r="H80" i="3"/>
  <c r="H81" i="3"/>
  <c r="H82" i="3"/>
  <c r="H83" i="3"/>
  <c r="H84" i="3"/>
  <c r="H85" i="3"/>
  <c r="H76" i="3"/>
  <c r="F77" i="3"/>
  <c r="F78" i="3" s="1"/>
  <c r="F79" i="3" s="1"/>
  <c r="F80" i="3" s="1"/>
  <c r="F81" i="3" s="1"/>
  <c r="F82" i="3" s="1"/>
  <c r="F83" i="3" s="1"/>
  <c r="F84" i="3" s="1"/>
  <c r="R116" i="3" l="1"/>
  <c r="B22" i="3" l="1"/>
</calcChain>
</file>

<file path=xl/sharedStrings.xml><?xml version="1.0" encoding="utf-8"?>
<sst xmlns="http://schemas.openxmlformats.org/spreadsheetml/2006/main" count="3785" uniqueCount="845">
  <si>
    <t xml:space="preserve">Developed By </t>
  </si>
  <si>
    <t>Contact: shresthak@etsu.edu (or joseph.shre@gmail.com)</t>
  </si>
  <si>
    <t>Department of Engineering, Engineering Technology, and Surveying</t>
  </si>
  <si>
    <t>College of Business and Technology</t>
  </si>
  <si>
    <t>East Tennessee State University</t>
  </si>
  <si>
    <t>PO Box 70552</t>
  </si>
  <si>
    <t>Johnson City, TN 37614</t>
  </si>
  <si>
    <t>Important Points</t>
  </si>
  <si>
    <t>1. If a security warning about Macros shows up, please click Enable Content. All the calculations will work without enabling the Macros, but the buttons below will not work.</t>
  </si>
  <si>
    <t>Overview of Various Sheets</t>
  </si>
  <si>
    <t>Color Codes (Cell Level)</t>
  </si>
  <si>
    <t>Inputs: Main Inputs: Enter a value manually or select a value from the dropdown.</t>
  </si>
  <si>
    <t>Calculations: Calculated values - do not type anything in these cells.</t>
  </si>
  <si>
    <t>Outputs: Outputs from the calculations - do not type anything in these cells.</t>
  </si>
  <si>
    <t>Reference Cells: References values from other sheets - do not type anything in these cells.</t>
  </si>
  <si>
    <t>Standard Data Input: Standard data that should be updated regularly when newer data are available.</t>
  </si>
  <si>
    <t>Prediction Model Database: Estimating model matrix data produced by analyzing data.</t>
  </si>
  <si>
    <r>
      <t xml:space="preserve">Welcome to 
Tennessee Department of Transportation (TDOT) 
Project Bundling Planing (PBP) Tool
</t>
    </r>
    <r>
      <rPr>
        <b/>
        <sz val="36"/>
        <color rgb="FFC00000"/>
        <rFont val="Calibri"/>
        <family val="2"/>
      </rPr>
      <t>DRAFT VERSION</t>
    </r>
  </si>
  <si>
    <r>
      <t>2. If another security warning shows up asking if you want to make this file a Trusted Document, click "</t>
    </r>
    <r>
      <rPr>
        <b/>
        <sz val="11"/>
        <color theme="1"/>
        <rFont val="Calibri"/>
        <family val="2"/>
      </rPr>
      <t>Yes</t>
    </r>
    <r>
      <rPr>
        <sz val="11"/>
        <color theme="1"/>
        <rFont val="Calibri"/>
        <family val="2"/>
      </rPr>
      <t xml:space="preserve">" but </t>
    </r>
    <r>
      <rPr>
        <b/>
        <sz val="11"/>
        <color theme="1"/>
        <rFont val="Calibri"/>
        <family val="2"/>
      </rPr>
      <t>DO NOT</t>
    </r>
    <r>
      <rPr>
        <sz val="11"/>
        <color theme="1"/>
        <rFont val="Calibri"/>
        <family val="2"/>
      </rPr>
      <t xml:space="preserve"> check the "Do not ask me again for network files" checkbox.</t>
    </r>
  </si>
  <si>
    <t>The PBP Tool implements the findings of the TDOT funded research project RES2024-08 Optimizing Project Bundling Strategies to Improve State DOTs Efficiency. This tool can be used to evaluate key projects parameters and bundle projects during planning stage utilizing the historical estimating datasets.</t>
  </si>
  <si>
    <t>Options Used for Dropdown Menu</t>
  </si>
  <si>
    <t>Primary Treatment</t>
  </si>
  <si>
    <t>Treatment Type</t>
  </si>
  <si>
    <t>Meaning</t>
  </si>
  <si>
    <t>S/N</t>
  </si>
  <si>
    <t>Milling</t>
  </si>
  <si>
    <t>Removal of the top layer of pavement to eliminate surface irregularities or prepare for overlay.</t>
  </si>
  <si>
    <t>FDR</t>
  </si>
  <si>
    <t>HIR (Hot In-Place Recycling): Heats and recycles the asphalt pavement on-site with rejuvenators to restore properties.</t>
  </si>
  <si>
    <t>HIR</t>
  </si>
  <si>
    <t>CIR (Cold In-Place Recycling): Recycles asphalt pavement without heat by milling and stabilizing it with emulsions.</t>
  </si>
  <si>
    <t>CIR</t>
  </si>
  <si>
    <t>FDR (Full Depth Reclamation): Pulverizes the entire pavement layer and mixes it with stabilizing agents to create a strong base.</t>
  </si>
  <si>
    <t>CAM (Cement Asphalt Mixture): Combines cement and asphalt with existing materials to stabilize and strengthen pavement.</t>
  </si>
  <si>
    <t>CAM</t>
  </si>
  <si>
    <t>Spot</t>
  </si>
  <si>
    <t>Spot Repairs: Localized fixes (e.g., potholes, structural repairs) to address severe damage in small areas.</t>
  </si>
  <si>
    <t>Secondary Treatment</t>
  </si>
  <si>
    <r>
      <t xml:space="preserve">Activities that focus on the </t>
    </r>
    <r>
      <rPr>
        <b/>
        <sz val="14"/>
        <color theme="1"/>
        <rFont val="Aptos Narrow"/>
        <family val="2"/>
        <scheme val="minor"/>
      </rPr>
      <t>removal, recycling, or structural improvement</t>
    </r>
    <r>
      <rPr>
        <sz val="14"/>
        <color theme="1"/>
        <rFont val="Aptos Narrow"/>
        <family val="2"/>
        <scheme val="minor"/>
      </rPr>
      <t xml:space="preserve"> of pavement layers</t>
    </r>
  </si>
  <si>
    <t>Application of asphalt binder followed by a layer of aggregate to seal and protect the surface.</t>
  </si>
  <si>
    <t>Similar to Chip Seal, but includes a brooming process to work the binder into cracks for better sealing.</t>
  </si>
  <si>
    <t>A thin layer of asphalt emulsion, aggregate, and additives applied to improve surface texture and longevity.</t>
  </si>
  <si>
    <t>Chip Seal</t>
  </si>
  <si>
    <t>Scrub Seal</t>
  </si>
  <si>
    <t>Microsurfacing</t>
  </si>
  <si>
    <t xml:space="preserve"> A combination of Chip Seal followed by Microsurfacing to enhance durability and aesthetics.</t>
  </si>
  <si>
    <t>Cape Seal</t>
  </si>
  <si>
    <t>A thin spray of diluted asphalt emulsion applied to rejuvenate and protect aging asphalt.</t>
  </si>
  <si>
    <t>Fog Seal</t>
  </si>
  <si>
    <r>
      <t xml:space="preserve">Techniques involving </t>
    </r>
    <r>
      <rPr>
        <b/>
        <sz val="14"/>
        <color theme="1"/>
        <rFont val="Aptos Narrow"/>
        <family val="2"/>
        <scheme val="minor"/>
      </rPr>
      <t>surface sealing and protection</t>
    </r>
    <r>
      <rPr>
        <sz val="14"/>
        <color theme="1"/>
        <rFont val="Aptos Narrow"/>
        <family val="2"/>
        <scheme val="minor"/>
      </rPr>
      <t>, typically without adding structural layers.</t>
    </r>
  </si>
  <si>
    <t>Overlay Treatment</t>
  </si>
  <si>
    <t>Processes that involve adding new structural or surface layers using asphalt mixes.</t>
  </si>
  <si>
    <t>Dense-graded asphalt mix designed for overlays to improve durability and surface performance.</t>
  </si>
  <si>
    <t>411D</t>
  </si>
  <si>
    <t>411TLD</t>
  </si>
  <si>
    <t>Thin-lift asphalt overlay that provides a smooth, long-lasting surface.</t>
  </si>
  <si>
    <t>Coarse-graded asphalt used for intermediate or surface layers in overlays.</t>
  </si>
  <si>
    <t>307CW</t>
  </si>
  <si>
    <t xml:space="preserve"> (Open-Graded Friction Course): Porous asphalt layer designed to improve skid resistance and reduce water spray.</t>
  </si>
  <si>
    <t>OGFC</t>
  </si>
  <si>
    <t>Anderson</t>
  </si>
  <si>
    <t>Bedford</t>
  </si>
  <si>
    <t>Benton</t>
  </si>
  <si>
    <t>Bledsoe</t>
  </si>
  <si>
    <t>Blount</t>
  </si>
  <si>
    <t>Bradley</t>
  </si>
  <si>
    <t>Campbell</t>
  </si>
  <si>
    <t>Cannon</t>
  </si>
  <si>
    <t>Carroll</t>
  </si>
  <si>
    <t>Carter</t>
  </si>
  <si>
    <t>Cheatham</t>
  </si>
  <si>
    <t>Chester</t>
  </si>
  <si>
    <t>Claiborne</t>
  </si>
  <si>
    <t>Clay</t>
  </si>
  <si>
    <t>Cocke</t>
  </si>
  <si>
    <t>Coffee</t>
  </si>
  <si>
    <t>Crockett</t>
  </si>
  <si>
    <t>Cumberland</t>
  </si>
  <si>
    <t>Davidson</t>
  </si>
  <si>
    <t>Decatur</t>
  </si>
  <si>
    <t>DeKalb</t>
  </si>
  <si>
    <t>Dickson</t>
  </si>
  <si>
    <t>Dyer</t>
  </si>
  <si>
    <t>Fayette</t>
  </si>
  <si>
    <t>Fentress</t>
  </si>
  <si>
    <t>Franklin</t>
  </si>
  <si>
    <t>Gibson</t>
  </si>
  <si>
    <t>Giles</t>
  </si>
  <si>
    <t>Grainger</t>
  </si>
  <si>
    <t>Greene</t>
  </si>
  <si>
    <t>Grundy</t>
  </si>
  <si>
    <t>Hamblen</t>
  </si>
  <si>
    <t>Hamilton</t>
  </si>
  <si>
    <t>Hancock</t>
  </si>
  <si>
    <t>Hardeman</t>
  </si>
  <si>
    <t>Hardin</t>
  </si>
  <si>
    <t>Hawkins</t>
  </si>
  <si>
    <t>Haywood</t>
  </si>
  <si>
    <t>Henderson</t>
  </si>
  <si>
    <t>Henry</t>
  </si>
  <si>
    <t>Hickman</t>
  </si>
  <si>
    <t>Houston</t>
  </si>
  <si>
    <t>Humphreys</t>
  </si>
  <si>
    <t>Jackson</t>
  </si>
  <si>
    <t>Jefferson</t>
  </si>
  <si>
    <t>Johnson</t>
  </si>
  <si>
    <t>Knox</t>
  </si>
  <si>
    <t>Lake</t>
  </si>
  <si>
    <t>Lauderdale</t>
  </si>
  <si>
    <t>Lawrence</t>
  </si>
  <si>
    <t>Lewis</t>
  </si>
  <si>
    <t>Lincoln</t>
  </si>
  <si>
    <t>Loudon</t>
  </si>
  <si>
    <t>McMinn</t>
  </si>
  <si>
    <t>McNairy</t>
  </si>
  <si>
    <t>Macon</t>
  </si>
  <si>
    <t>Madison</t>
  </si>
  <si>
    <t>Marion</t>
  </si>
  <si>
    <t>Marshall</t>
  </si>
  <si>
    <t>Maury</t>
  </si>
  <si>
    <t>Meigs</t>
  </si>
  <si>
    <t>Monroe</t>
  </si>
  <si>
    <t>Montgomery</t>
  </si>
  <si>
    <t>Moore</t>
  </si>
  <si>
    <t>Morgan</t>
  </si>
  <si>
    <t>Obion</t>
  </si>
  <si>
    <t>Overton</t>
  </si>
  <si>
    <t>Perry</t>
  </si>
  <si>
    <t>Pickett</t>
  </si>
  <si>
    <t>Polk</t>
  </si>
  <si>
    <t>Putnam</t>
  </si>
  <si>
    <t>Rhea</t>
  </si>
  <si>
    <t>Roane</t>
  </si>
  <si>
    <t>Robertson</t>
  </si>
  <si>
    <t>Rutherford</t>
  </si>
  <si>
    <t>Scott</t>
  </si>
  <si>
    <t>Sequatchie</t>
  </si>
  <si>
    <t>Sevier</t>
  </si>
  <si>
    <t>Shelby</t>
  </si>
  <si>
    <t>Smith</t>
  </si>
  <si>
    <t>Stewart</t>
  </si>
  <si>
    <t>Sullivan</t>
  </si>
  <si>
    <t>Sumner</t>
  </si>
  <si>
    <t>Tipton</t>
  </si>
  <si>
    <t>Trousdale</t>
  </si>
  <si>
    <t>Unicoi</t>
  </si>
  <si>
    <t>Union</t>
  </si>
  <si>
    <t>Van Buren</t>
  </si>
  <si>
    <t>Warren</t>
  </si>
  <si>
    <t>Washington</t>
  </si>
  <si>
    <t>Wayne</t>
  </si>
  <si>
    <t>Weakley</t>
  </si>
  <si>
    <t>White</t>
  </si>
  <si>
    <t>Williamson</t>
  </si>
  <si>
    <t>Wilson</t>
  </si>
  <si>
    <t>Location</t>
  </si>
  <si>
    <t>Counties in Tennessee</t>
  </si>
  <si>
    <t>None</t>
  </si>
  <si>
    <t>County Name</t>
  </si>
  <si>
    <t>Dekalb</t>
  </si>
  <si>
    <t>Region</t>
  </si>
  <si>
    <t>Project ID</t>
  </si>
  <si>
    <t>Primary</t>
  </si>
  <si>
    <t>Secondary</t>
  </si>
  <si>
    <t>Overlay</t>
  </si>
  <si>
    <t>Lane Miles</t>
  </si>
  <si>
    <t>Cost</t>
  </si>
  <si>
    <t>Minimum Threshold</t>
  </si>
  <si>
    <t>Bundling Compatability Data</t>
  </si>
  <si>
    <t>Primary Treatment Weight</t>
  </si>
  <si>
    <t>Secondary Treatment Weight</t>
  </si>
  <si>
    <t>Overlay Treatment Weight</t>
  </si>
  <si>
    <t>Location Weight</t>
  </si>
  <si>
    <t>Lane Miles Weight</t>
  </si>
  <si>
    <t>Cost Weight</t>
  </si>
  <si>
    <t>Total Weight</t>
  </si>
  <si>
    <t>Lane Miles Calculation</t>
  </si>
  <si>
    <t>Cost Calculation</t>
  </si>
  <si>
    <t>Options</t>
  </si>
  <si>
    <t>Index</t>
  </si>
  <si>
    <t>Input</t>
  </si>
  <si>
    <t>Treatment Mapping Table</t>
  </si>
  <si>
    <t>CS</t>
  </si>
  <si>
    <t>Mill</t>
  </si>
  <si>
    <t>Mill &amp; 411D</t>
  </si>
  <si>
    <t>411D Overlay</t>
  </si>
  <si>
    <t>Micro-surfacing @ 22 lbs/sy</t>
  </si>
  <si>
    <t>Micro-surfacing @ 32 lbs/sy</t>
  </si>
  <si>
    <t>411TLD Overlay @ 85 lb/sy</t>
  </si>
  <si>
    <t>Hot In-Place Recycling w/ Micro</t>
  </si>
  <si>
    <t>411TL Overlay @ 65 lb/sy</t>
  </si>
  <si>
    <t>Crack Seal</t>
  </si>
  <si>
    <t>Cape Seal - Chip Seal plus Micro-surfacing</t>
  </si>
  <si>
    <t>307CW Overlay</t>
  </si>
  <si>
    <t>Micro</t>
  </si>
  <si>
    <t>Full Depth Reclamation (FDR) with 411D</t>
  </si>
  <si>
    <t>Full Depth Reclamation (FDR)</t>
  </si>
  <si>
    <t>411TL Overlay @ 85 lb/sy</t>
  </si>
  <si>
    <t>Cape Seal - Scrub Seal plus Micro-surfacing</t>
  </si>
  <si>
    <t>Double Chip Seal</t>
  </si>
  <si>
    <t>411TLD Overlay @ 65 lb/sy</t>
  </si>
  <si>
    <t>Full depth rehab/replacement</t>
  </si>
  <si>
    <t>Microsurface @ 22lbs/sy /  Microsurface @ 32 lbs/sy</t>
  </si>
  <si>
    <t>85 LB/SY Thin Lift</t>
  </si>
  <si>
    <t>sealing with rejuvenating fog seal</t>
  </si>
  <si>
    <t>Crack Sealing</t>
  </si>
  <si>
    <t>C-W Mix @ 165 lbs/sy</t>
  </si>
  <si>
    <t>Thin lift @ 65 lbs/sy</t>
  </si>
  <si>
    <t>Full-depth PCC repair</t>
  </si>
  <si>
    <t>411TLD @ 132.5 lbs/sy</t>
  </si>
  <si>
    <t>Hot In-Place Recycling w/ 411TLD</t>
  </si>
  <si>
    <t>Hot In-Place Recycling</t>
  </si>
  <si>
    <t>CRS2P DBST</t>
  </si>
  <si>
    <t>C</t>
  </si>
  <si>
    <t>85 lb/sy TLD</t>
  </si>
  <si>
    <t>85TL</t>
  </si>
  <si>
    <t>Profile Mill</t>
  </si>
  <si>
    <t>65 lb/sy TL</t>
  </si>
  <si>
    <t>85 lb/sy TL</t>
  </si>
  <si>
    <t>411TL @132.5 lb/sy</t>
  </si>
  <si>
    <t>DBST</t>
  </si>
  <si>
    <t>Seal</t>
  </si>
  <si>
    <t>Spot Leveling</t>
  </si>
  <si>
    <t>TLD 85 lbs/sy</t>
  </si>
  <si>
    <t>85 lb/sy 411TLD</t>
  </si>
  <si>
    <t>D</t>
  </si>
  <si>
    <t>C-W</t>
  </si>
  <si>
    <t>CW</t>
  </si>
  <si>
    <t>110Lb/SY OGFC</t>
  </si>
  <si>
    <t>1.5 CW</t>
  </si>
  <si>
    <t>TLD</t>
  </si>
  <si>
    <t>85 LB/SY</t>
  </si>
  <si>
    <t>411TL D</t>
  </si>
  <si>
    <t>CW Mix 1.25"</t>
  </si>
  <si>
    <t>MILL</t>
  </si>
  <si>
    <t>411TLD @ 85 lbs/sy</t>
  </si>
  <si>
    <t>Scrub Seal or Crack Seal</t>
  </si>
  <si>
    <t>TDOT Treatment Type</t>
  </si>
  <si>
    <t>Input Sheet</t>
  </si>
  <si>
    <t>Overview of PCP Tool</t>
  </si>
  <si>
    <r>
      <t xml:space="preserve">The BundlingCompatabilityData sheet is the backbone of the bundling algorithm. It contains critical data used for calculating project compatibility scores. The sheet includes:
</t>
    </r>
    <r>
      <rPr>
        <b/>
        <sz val="11"/>
        <color theme="1"/>
        <rFont val="Calibri"/>
        <family val="2"/>
      </rPr>
      <t>1. Compatibility Matrices</t>
    </r>
    <r>
      <rPr>
        <sz val="11"/>
        <color theme="1"/>
        <rFont val="Calibri"/>
        <family val="2"/>
      </rPr>
      <t xml:space="preserve">: Numerical values representing the compatibility of primary, secondary, and overlay treatments. These values are pivotal in scoring project pairings.
</t>
    </r>
    <r>
      <rPr>
        <b/>
        <sz val="11"/>
        <color theme="1"/>
        <rFont val="Calibri"/>
        <family val="2"/>
      </rPr>
      <t>2. Location Compatibility List</t>
    </r>
    <r>
      <rPr>
        <sz val="11"/>
        <color theme="1"/>
        <rFont val="Calibri"/>
        <family val="2"/>
      </rPr>
      <t xml:space="preserve">: Compatibility scores between locations to ensure geographical feasibility.
</t>
    </r>
    <r>
      <rPr>
        <b/>
        <sz val="11"/>
        <color theme="1"/>
        <rFont val="Calibri"/>
        <family val="2"/>
      </rPr>
      <t>3. Thresholds and Weights</t>
    </r>
    <r>
      <rPr>
        <sz val="11"/>
        <color theme="1"/>
        <rFont val="Calibri"/>
        <family val="2"/>
      </rPr>
      <t xml:space="preserve">: Adjustable parameters for the minimum threshold for bundling and the weights assigned to treatment types, location, lane miles, and cost. Changing these will directly affect the bundling outputs.
</t>
    </r>
    <r>
      <rPr>
        <b/>
        <sz val="11"/>
        <color theme="1"/>
        <rFont val="Calibri"/>
        <family val="2"/>
      </rPr>
      <t>4. Lane Miles and Cost Boundaries</t>
    </r>
    <r>
      <rPr>
        <sz val="11"/>
        <color theme="1"/>
        <rFont val="Calibri"/>
        <family val="2"/>
      </rPr>
      <t xml:space="preserve">: Defined ranges for lane miles and cost, used to assign scores to projects within specified limits.
</t>
    </r>
    <r>
      <rPr>
        <b/>
        <sz val="11"/>
        <color theme="1"/>
        <rFont val="Calibri"/>
        <family val="2"/>
      </rPr>
      <t>Note: Adjustments to the BundlingCompatabilityData sheet should be made carefully, as they directly influence the algorithm's results.</t>
    </r>
  </si>
  <si>
    <t>This tool is designed to assist users in optimizing the bundling of pavement maintenance projects by scoring their compatibility based on treatment methods, location, lane miles, and cost. It simplifies complex decision-making processes by providing options for focused or comprehensive bundling, mapping user input to standardized treatment categories, and customizing compatibility factors for tailored outputs. The tool ensures flexibility and accuracy, making it an invaluable resource for project planners.</t>
  </si>
  <si>
    <r>
      <t xml:space="preserve">The Options page serves as a reference hub for users unfamiliar with the treatment methods and locations. It includes:
</t>
    </r>
    <r>
      <rPr>
        <b/>
        <sz val="11"/>
        <color theme="1"/>
        <rFont val="Calibri"/>
        <family val="2"/>
      </rPr>
      <t>1. List of Treatments</t>
    </r>
    <r>
      <rPr>
        <sz val="11"/>
        <color theme="1"/>
        <rFont val="Calibri"/>
        <family val="2"/>
      </rPr>
      <t xml:space="preserve">: Definitions and descriptions of primary, secondary, and overlay treatments to help users understand their significance.
</t>
    </r>
    <r>
      <rPr>
        <b/>
        <sz val="11"/>
        <color theme="1"/>
        <rFont val="Calibri"/>
        <family val="2"/>
      </rPr>
      <t>2. List of Locations</t>
    </r>
    <r>
      <rPr>
        <sz val="11"/>
        <color theme="1"/>
        <rFont val="Calibri"/>
        <family val="2"/>
      </rPr>
      <t xml:space="preserve">: A list of county locations used for bundling compatibility.
</t>
    </r>
    <r>
      <rPr>
        <b/>
        <sz val="11"/>
        <color theme="1"/>
        <rFont val="Calibri"/>
        <family val="2"/>
      </rPr>
      <t>3. Mapping Table</t>
    </r>
    <r>
      <rPr>
        <sz val="11"/>
        <color theme="1"/>
        <rFont val="Calibri"/>
        <family val="2"/>
      </rPr>
      <t>: Facilitates the mapping of user-entered descriptions to standardized categories. This table can be updated as needed to accommodate new or custom inputs.</t>
    </r>
  </si>
  <si>
    <t>K. Joseph Shrestha and Moin Uddin and David Iyiola</t>
  </si>
  <si>
    <t>Score Colors</t>
  </si>
  <si>
    <t>Hot Recycle in Place w/ 411TLD</t>
  </si>
  <si>
    <t>411D @ 159 lb/sy</t>
  </si>
  <si>
    <t>Micro-surfacing</t>
  </si>
  <si>
    <t>Location Calculation</t>
  </si>
  <si>
    <t>Region Matrix</t>
  </si>
  <si>
    <t>County Matrix</t>
  </si>
  <si>
    <t>Out-of-State</t>
  </si>
  <si>
    <t>Count of Asphalt Mix</t>
  </si>
  <si>
    <t>Asphalt Mix Matrix</t>
  </si>
  <si>
    <t>Asphalt Mix Count Weight</t>
  </si>
  <si>
    <t>State Average</t>
  </si>
  <si>
    <t>Project Compatibility Input Sheet</t>
  </si>
  <si>
    <r>
      <t xml:space="preserve">The Input page is where users enter or paste data for analysis. It includes several interactive features for seamless data preparation and processing:
</t>
    </r>
    <r>
      <rPr>
        <b/>
        <sz val="11"/>
        <color theme="1"/>
        <rFont val="Calibri"/>
        <family val="2"/>
      </rPr>
      <t>1. Reset Input Page Button</t>
    </r>
    <r>
      <rPr>
        <sz val="11"/>
        <color theme="1"/>
        <rFont val="Calibri"/>
        <family val="2"/>
      </rPr>
      <t xml:space="preserve">
Description: Clears all data entered into the input page, resetting the cells while preserving their formatting and data validation settings. This is useful for starting fresh without needing to manually clear data.
</t>
    </r>
    <r>
      <rPr>
        <b/>
        <sz val="11"/>
        <color theme="1"/>
        <rFont val="Calibri"/>
        <family val="2"/>
      </rPr>
      <t>2. Map Treatments Button</t>
    </r>
    <r>
      <rPr>
        <sz val="11"/>
        <color theme="1"/>
        <rFont val="Calibri"/>
        <family val="2"/>
      </rPr>
      <t xml:space="preserve">
Description: Automatically maps user-inputted treatment descriptions to the standardized categories required for the bundling algorithm. This ensures compatibility and consistency in processing data.
</t>
    </r>
    <r>
      <rPr>
        <b/>
        <sz val="11"/>
        <color theme="1"/>
        <rFont val="Calibri"/>
        <family val="2"/>
      </rPr>
      <t>3. Undo Treatment Mapping Button</t>
    </r>
    <r>
      <rPr>
        <sz val="11"/>
        <color theme="1"/>
        <rFont val="Calibri"/>
        <family val="2"/>
      </rPr>
      <t xml:space="preserve">
Description: Reverses the treatment mapping process by clearing the mapped values while retaining user-entered data. This allows users to correct or adjust their inputs if needed.
</t>
    </r>
    <r>
      <rPr>
        <b/>
        <sz val="11"/>
        <color theme="1"/>
        <rFont val="Calibri"/>
        <family val="2"/>
      </rPr>
      <t>4. Focused Bundling Button</t>
    </r>
    <r>
      <rPr>
        <sz val="11"/>
        <color theme="1"/>
        <rFont val="Calibri"/>
        <family val="2"/>
      </rPr>
      <t xml:space="preserve">
Description: Runs the bundling algorithm in focused mode, comparing the first project ID with all other project IDs. This mode outputs scores and combined values for selected project pairings.
</t>
    </r>
    <r>
      <rPr>
        <b/>
        <sz val="11"/>
        <color theme="1"/>
        <rFont val="Calibri"/>
        <family val="2"/>
      </rPr>
      <t>5. Comprehensive Bundling Button</t>
    </r>
    <r>
      <rPr>
        <sz val="11"/>
        <color theme="1"/>
        <rFont val="Calibri"/>
        <family val="2"/>
      </rPr>
      <t xml:space="preserve">
Description: Executes the bundling algorithm for all possible project combinations, scoring and outputting the best combinations that meet or exceed the minimum threshold.</t>
    </r>
  </si>
  <si>
    <t>Enter project-level data including treatment types, locations, lane miles, and estimated costs. This information will be used to calculate compatibility scores and identify optimal bundling opportunities across similar projects. Primary, Secondary and Overlay data will be automatically mapped.</t>
  </si>
  <si>
    <t>Bundled</t>
  </si>
  <si>
    <t>Contract ID</t>
  </si>
  <si>
    <t>Unbundled</t>
  </si>
  <si>
    <t>Score</t>
  </si>
  <si>
    <t>Count</t>
  </si>
  <si>
    <t>65 lb/sy TLD</t>
  </si>
  <si>
    <t>411 "D" Mix</t>
  </si>
  <si>
    <t>OGFC Overlay</t>
  </si>
  <si>
    <t>411 D Overlay</t>
  </si>
  <si>
    <t>411TLD Overlay @85 lb/sy</t>
  </si>
  <si>
    <t>Date</t>
  </si>
  <si>
    <r>
      <t>Caution:</t>
    </r>
    <r>
      <rPr>
        <sz val="16"/>
        <color rgb="FFC00000"/>
        <rFont val="Aptos Narrow"/>
        <family val="2"/>
        <scheme val="minor"/>
      </rPr>
      <t xml:space="preserve"> Any changes made to the values in this worksheet (e.g., thresholds, scores, or treatment data) will directly impact the bundling scores and the resulting combinations. Ensure all modifications are intentional and consistent with the scoring logic before running the algorithm. Ensure Total Weight is always equal to 1</t>
    </r>
  </si>
  <si>
    <t>Blank1</t>
  </si>
  <si>
    <t>Blank2</t>
  </si>
  <si>
    <t>Blank3</t>
  </si>
  <si>
    <t>Blank4</t>
  </si>
  <si>
    <t>Date Score</t>
  </si>
  <si>
    <t>Date Diff</t>
  </si>
  <si>
    <t>PIN100</t>
  </si>
  <si>
    <t>PIN102</t>
  </si>
  <si>
    <t>PIN104</t>
  </si>
  <si>
    <t>PIN105</t>
  </si>
  <si>
    <t>PIN106</t>
  </si>
  <si>
    <t>PIN107</t>
  </si>
  <si>
    <t>PIN108</t>
  </si>
  <si>
    <t>PIN109</t>
  </si>
  <si>
    <t>PIN117</t>
  </si>
  <si>
    <t>PIN118</t>
  </si>
  <si>
    <t>PIN119</t>
  </si>
  <si>
    <t>PIN120</t>
  </si>
  <si>
    <t>PIN121</t>
  </si>
  <si>
    <t>PIN122</t>
  </si>
  <si>
    <t>PIN123</t>
  </si>
  <si>
    <t>PIN124</t>
  </si>
  <si>
    <t>PIN125</t>
  </si>
  <si>
    <t>PIN126</t>
  </si>
  <si>
    <t>PIN127</t>
  </si>
  <si>
    <t>PIN129</t>
  </si>
  <si>
    <t>PIN130</t>
  </si>
  <si>
    <t>PIN131</t>
  </si>
  <si>
    <t>PIN132</t>
  </si>
  <si>
    <t>PIN133</t>
  </si>
  <si>
    <t>PIN134</t>
  </si>
  <si>
    <t>PIN135</t>
  </si>
  <si>
    <t>PIN139</t>
  </si>
  <si>
    <t>PIN140</t>
  </si>
  <si>
    <t>PIN149</t>
  </si>
  <si>
    <t>PIN150</t>
  </si>
  <si>
    <t>PIN151</t>
  </si>
  <si>
    <t>PIN152</t>
  </si>
  <si>
    <t>PIN153</t>
  </si>
  <si>
    <t>PIN156</t>
  </si>
  <si>
    <t>PIN157</t>
  </si>
  <si>
    <t>PIN158</t>
  </si>
  <si>
    <t>PIN159</t>
  </si>
  <si>
    <t>PIN162</t>
  </si>
  <si>
    <t>PIN163</t>
  </si>
  <si>
    <t>PIN166</t>
  </si>
  <si>
    <t>PIN167</t>
  </si>
  <si>
    <t>PIN171</t>
  </si>
  <si>
    <t>PIN178</t>
  </si>
  <si>
    <t>Mill, CS &amp; 411D</t>
  </si>
  <si>
    <t>Miles</t>
  </si>
  <si>
    <t>Bundle Index</t>
  </si>
  <si>
    <t>Object 1 ID</t>
  </si>
  <si>
    <t>Object 2 ID</t>
  </si>
  <si>
    <t>Best Score</t>
  </si>
  <si>
    <t>Combined Treatment</t>
  </si>
  <si>
    <t>Combined Asphalt Mix plants</t>
  </si>
  <si>
    <t>Combined Location</t>
  </si>
  <si>
    <t>Combined Lane Miles</t>
  </si>
  <si>
    <t>Combined Cost</t>
  </si>
  <si>
    <t>Date Difference</t>
  </si>
  <si>
    <t>BUND001</t>
  </si>
  <si>
    <t>0 months</t>
  </si>
  <si>
    <t>BUND002</t>
  </si>
  <si>
    <t>Mill &amp; 411D   +   Mill &amp; 411D</t>
  </si>
  <si>
    <t>0 + 0</t>
  </si>
  <si>
    <t>BUND003</t>
  </si>
  <si>
    <t>2 + 2</t>
  </si>
  <si>
    <t>BUND004</t>
  </si>
  <si>
    <t>BUND005</t>
  </si>
  <si>
    <t>BUND006</t>
  </si>
  <si>
    <t>BUND007</t>
  </si>
  <si>
    <t>BUND008</t>
  </si>
  <si>
    <t>BUND009</t>
  </si>
  <si>
    <t>BUND010</t>
  </si>
  <si>
    <t>BUND011</t>
  </si>
  <si>
    <t>BUND012</t>
  </si>
  <si>
    <t>BUND013</t>
  </si>
  <si>
    <t>BUND014</t>
  </si>
  <si>
    <t>BUND015</t>
  </si>
  <si>
    <t>BUND016</t>
  </si>
  <si>
    <t>BUND017</t>
  </si>
  <si>
    <t>BUND018</t>
  </si>
  <si>
    <t>BUND019</t>
  </si>
  <si>
    <t>BUND020</t>
  </si>
  <si>
    <t>BUND021</t>
  </si>
  <si>
    <t>BUND022</t>
  </si>
  <si>
    <t>Unable to Combine</t>
  </si>
  <si>
    <t>PIN001</t>
  </si>
  <si>
    <t>PIN002</t>
  </si>
  <si>
    <t>PIN003</t>
  </si>
  <si>
    <t>PIN004</t>
  </si>
  <si>
    <t>PIN005</t>
  </si>
  <si>
    <t>PIN006</t>
  </si>
  <si>
    <t>PIN007</t>
  </si>
  <si>
    <t>PIN008</t>
  </si>
  <si>
    <t>PIN009</t>
  </si>
  <si>
    <t>PIN010</t>
  </si>
  <si>
    <t>PIN011</t>
  </si>
  <si>
    <t>PIN012</t>
  </si>
  <si>
    <t>PIN013</t>
  </si>
  <si>
    <t>PIN014</t>
  </si>
  <si>
    <t>PIN015</t>
  </si>
  <si>
    <t>PIN016</t>
  </si>
  <si>
    <t>PIN017</t>
  </si>
  <si>
    <t>PIN018</t>
  </si>
  <si>
    <t>PIN019</t>
  </si>
  <si>
    <t>PIN020</t>
  </si>
  <si>
    <t>PIN021</t>
  </si>
  <si>
    <t>PIN022</t>
  </si>
  <si>
    <t>PIN023</t>
  </si>
  <si>
    <t>PIN024</t>
  </si>
  <si>
    <t>PIN025</t>
  </si>
  <si>
    <t>PIN026</t>
  </si>
  <si>
    <t>PIN027</t>
  </si>
  <si>
    <t>PIN028</t>
  </si>
  <si>
    <t>PIN029</t>
  </si>
  <si>
    <t>PIN030</t>
  </si>
  <si>
    <t>PIN031</t>
  </si>
  <si>
    <t>PIN032</t>
  </si>
  <si>
    <t>PIN033</t>
  </si>
  <si>
    <t>PIN034</t>
  </si>
  <si>
    <t>PIN035</t>
  </si>
  <si>
    <t>PIN036</t>
  </si>
  <si>
    <t>PIN037</t>
  </si>
  <si>
    <t>PIN038</t>
  </si>
  <si>
    <t>PIN039</t>
  </si>
  <si>
    <t>PIN040</t>
  </si>
  <si>
    <t>PIN041</t>
  </si>
  <si>
    <t>PIN042</t>
  </si>
  <si>
    <t>PIN043</t>
  </si>
  <si>
    <t>PIN044</t>
  </si>
  <si>
    <t>PIN045</t>
  </si>
  <si>
    <t>PIN046</t>
  </si>
  <si>
    <t>PIN047</t>
  </si>
  <si>
    <t>PIN048</t>
  </si>
  <si>
    <t>PIN049</t>
  </si>
  <si>
    <t>PIN050</t>
  </si>
  <si>
    <t>PIN051</t>
  </si>
  <si>
    <t>PIN052</t>
  </si>
  <si>
    <t>PIN053</t>
  </si>
  <si>
    <t>PIN054</t>
  </si>
  <si>
    <t>PIN055</t>
  </si>
  <si>
    <t>PIN056</t>
  </si>
  <si>
    <t>PIN057</t>
  </si>
  <si>
    <t>PIN058</t>
  </si>
  <si>
    <t>PIN059</t>
  </si>
  <si>
    <t>PIN060</t>
  </si>
  <si>
    <t>PIN061</t>
  </si>
  <si>
    <t>PIN062</t>
  </si>
  <si>
    <t>PIN063</t>
  </si>
  <si>
    <t>PIN064</t>
  </si>
  <si>
    <t>PIN065</t>
  </si>
  <si>
    <t>PIN066</t>
  </si>
  <si>
    <t>PIN067</t>
  </si>
  <si>
    <t>PIN068</t>
  </si>
  <si>
    <t>PIN069</t>
  </si>
  <si>
    <t>PIN070</t>
  </si>
  <si>
    <t>PIN071</t>
  </si>
  <si>
    <t>PIN072</t>
  </si>
  <si>
    <t>PIN073</t>
  </si>
  <si>
    <t>PIN074</t>
  </si>
  <si>
    <t>PIN075</t>
  </si>
  <si>
    <t>PIN076</t>
  </si>
  <si>
    <t>PIN077</t>
  </si>
  <si>
    <t>PIN078</t>
  </si>
  <si>
    <t>PIN079</t>
  </si>
  <si>
    <t>PIN080</t>
  </si>
  <si>
    <t>PIN081</t>
  </si>
  <si>
    <t>PIN082</t>
  </si>
  <si>
    <t>PIN083</t>
  </si>
  <si>
    <t>PIN084</t>
  </si>
  <si>
    <t>PIN085</t>
  </si>
  <si>
    <t>PIN086</t>
  </si>
  <si>
    <t>PIN087</t>
  </si>
  <si>
    <t>PIN088</t>
  </si>
  <si>
    <t>PIN089</t>
  </si>
  <si>
    <t>PIN090</t>
  </si>
  <si>
    <t>PIN091</t>
  </si>
  <si>
    <t>PIN092</t>
  </si>
  <si>
    <t>PIN093</t>
  </si>
  <si>
    <t>PIN094</t>
  </si>
  <si>
    <t>PIN095</t>
  </si>
  <si>
    <t>PIN096</t>
  </si>
  <si>
    <t>PIN097</t>
  </si>
  <si>
    <t>PIN098</t>
  </si>
  <si>
    <t>PIN099</t>
  </si>
  <si>
    <t>PIN101</t>
  </si>
  <si>
    <t>PIN103</t>
  </si>
  <si>
    <t>PIN111</t>
  </si>
  <si>
    <t>PIN112</t>
  </si>
  <si>
    <t>PIN113</t>
  </si>
  <si>
    <t>PIN114</t>
  </si>
  <si>
    <t>PIN115</t>
  </si>
  <si>
    <t>PIN116</t>
  </si>
  <si>
    <t>PIN128</t>
  </si>
  <si>
    <t>PIN137</t>
  </si>
  <si>
    <t>PIN138</t>
  </si>
  <si>
    <t>PIN141</t>
  </si>
  <si>
    <t>PIN142</t>
  </si>
  <si>
    <t>PIN143</t>
  </si>
  <si>
    <t>PIN144</t>
  </si>
  <si>
    <t>PIN145</t>
  </si>
  <si>
    <t>PIN146</t>
  </si>
  <si>
    <t>PIN147</t>
  </si>
  <si>
    <t>PIN148</t>
  </si>
  <si>
    <t>PIN154</t>
  </si>
  <si>
    <t>PIN164</t>
  </si>
  <si>
    <t>PIN165</t>
  </si>
  <si>
    <t>PIN168</t>
  </si>
  <si>
    <t>PIN169</t>
  </si>
  <si>
    <t>PIN170</t>
  </si>
  <si>
    <t>PIN172</t>
  </si>
  <si>
    <t>PIN173</t>
  </si>
  <si>
    <t>PIN174</t>
  </si>
  <si>
    <t>PIN175</t>
  </si>
  <si>
    <t>PIN176</t>
  </si>
  <si>
    <t>PIN177</t>
  </si>
  <si>
    <t>PIN179</t>
  </si>
  <si>
    <t>PIN180</t>
  </si>
  <si>
    <t>PIN181</t>
  </si>
  <si>
    <t>PIN182</t>
  </si>
  <si>
    <t>PIN183</t>
  </si>
  <si>
    <t>PIN184</t>
  </si>
  <si>
    <t>PIN185</t>
  </si>
  <si>
    <t>PIN186</t>
  </si>
  <si>
    <t>PIN187</t>
  </si>
  <si>
    <t>Spot, CS, 85TL   +   Spot, CS, 85TL</t>
  </si>
  <si>
    <t>2 + 1</t>
  </si>
  <si>
    <t>Loudon + Roane</t>
  </si>
  <si>
    <t>2 + 0</t>
  </si>
  <si>
    <t>BUND023</t>
  </si>
  <si>
    <t>BUND024</t>
  </si>
  <si>
    <t>BUND025</t>
  </si>
  <si>
    <t>BUND026</t>
  </si>
  <si>
    <t>BUND027</t>
  </si>
  <si>
    <t>BUND028</t>
  </si>
  <si>
    <t>BUND029</t>
  </si>
  <si>
    <t>BUND030</t>
  </si>
  <si>
    <t>BUND031</t>
  </si>
  <si>
    <t>BUND032</t>
  </si>
  <si>
    <t>BUND033</t>
  </si>
  <si>
    <t>BUND034</t>
  </si>
  <si>
    <t>BUND035</t>
  </si>
  <si>
    <t>BUND036</t>
  </si>
  <si>
    <t>BUND037</t>
  </si>
  <si>
    <t>BUND038</t>
  </si>
  <si>
    <t>BUND039</t>
  </si>
  <si>
    <t>BUND040</t>
  </si>
  <si>
    <t>BUND041</t>
  </si>
  <si>
    <t>BUND042</t>
  </si>
  <si>
    <t>BUND043</t>
  </si>
  <si>
    <t>BUND044</t>
  </si>
  <si>
    <t>BUND045</t>
  </si>
  <si>
    <t>2 + 8</t>
  </si>
  <si>
    <t>BUND046</t>
  </si>
  <si>
    <t>BUND047</t>
  </si>
  <si>
    <t>BUND048</t>
  </si>
  <si>
    <t>BUND049</t>
  </si>
  <si>
    <t>BUND050</t>
  </si>
  <si>
    <t>BUND051</t>
  </si>
  <si>
    <t>BUND052</t>
  </si>
  <si>
    <t>BUND053</t>
  </si>
  <si>
    <t>Total Projects</t>
  </si>
  <si>
    <t>Project 1 ID</t>
  </si>
  <si>
    <t>Project 2 ID</t>
  </si>
  <si>
    <t>Total Score (0)</t>
  </si>
  <si>
    <t>Treatment Score (0)</t>
  </si>
  <si>
    <t>Location Score (0)</t>
  </si>
  <si>
    <t>Lane Miles Score (0)</t>
  </si>
  <si>
    <t>Cost Score (0)</t>
  </si>
  <si>
    <t>Combined Asphalt mix plants</t>
  </si>
  <si>
    <t>Asphalt mix Score (0)</t>
  </si>
  <si>
    <t>Date Score (0)</t>
  </si>
  <si>
    <t>Spot, CS, 85TL   +   Mill &amp; 411D</t>
  </si>
  <si>
    <t>Loudon + Polk</t>
  </si>
  <si>
    <t>2 days</t>
  </si>
  <si>
    <t>Spot, CS, 85TL   +   Mill &amp; 85 lb/sy TLD</t>
  </si>
  <si>
    <t>Loudon + Dekalb</t>
  </si>
  <si>
    <t>Spot, CS, 85TL   +   Chip Seal &amp; 85 lb/sy TLD</t>
  </si>
  <si>
    <t>Loudon + Fentress</t>
  </si>
  <si>
    <t>Loudon + Coffee</t>
  </si>
  <si>
    <t>Loudon + Warren</t>
  </si>
  <si>
    <t>Spot, CS, 85TL   +   CS &amp; 411TLD Overlay @ 85 lb/sy</t>
  </si>
  <si>
    <t>Loudon + Weakley</t>
  </si>
  <si>
    <t>Loudon + Obion</t>
  </si>
  <si>
    <t>2 + 3</t>
  </si>
  <si>
    <t>Spot, CS, 85TL   +   Mill, CS &amp; 411D</t>
  </si>
  <si>
    <t>Loudon + Knox</t>
  </si>
  <si>
    <t>2 + 7</t>
  </si>
  <si>
    <t>Spot, CS, 85TL   +   Mill, CS &amp; 411TLD</t>
  </si>
  <si>
    <t>Loudon + Campbell</t>
  </si>
  <si>
    <t>Loudon + Morgan</t>
  </si>
  <si>
    <t>Spot, CS, 85TL   +   411D Overlay</t>
  </si>
  <si>
    <t>Loudon + Claiborne</t>
  </si>
  <si>
    <t>Loudon + Gibson</t>
  </si>
  <si>
    <t>Loudon + Shelby</t>
  </si>
  <si>
    <t>2 + 6</t>
  </si>
  <si>
    <t>0 days</t>
  </si>
  <si>
    <t>Loudon + Williamson</t>
  </si>
  <si>
    <t>Loudon + Monroe</t>
  </si>
  <si>
    <t>Loudon + Montgomery</t>
  </si>
  <si>
    <t>2 + 4</t>
  </si>
  <si>
    <t>Loudon + Rutherford</t>
  </si>
  <si>
    <t>Loudon + Wilson</t>
  </si>
  <si>
    <t>3 days</t>
  </si>
  <si>
    <t>Spot, CS, 85TL   +   Micro-surfacing @ 22 lbs/sy</t>
  </si>
  <si>
    <t>Loudon + Cannon</t>
  </si>
  <si>
    <t>Spot, CS, 85TL   +   Micro-surfacing @ 32 lbs/sy</t>
  </si>
  <si>
    <t>Loudon + Bedford</t>
  </si>
  <si>
    <t>Loudon + Marshall</t>
  </si>
  <si>
    <t>2 + 5</t>
  </si>
  <si>
    <t>Loudon + Moore</t>
  </si>
  <si>
    <t>Loudon + Macon</t>
  </si>
  <si>
    <t>Loudon + Putnam</t>
  </si>
  <si>
    <t>Loudon + Jackson</t>
  </si>
  <si>
    <t>Loudon + McMinn</t>
  </si>
  <si>
    <t>Loudon + Hamilton</t>
  </si>
  <si>
    <t>Loudon + Overton</t>
  </si>
  <si>
    <t>1 days</t>
  </si>
  <si>
    <t>Loudon + Hancock</t>
  </si>
  <si>
    <t>Loudon + Hawkins</t>
  </si>
  <si>
    <t>Loudon + Humphreys</t>
  </si>
  <si>
    <t>Spot, CS, 85TL   +   Profile Mill &amp; 411D</t>
  </si>
  <si>
    <t>Loudon + Grainger</t>
  </si>
  <si>
    <t>Spot, CS, 85TL   +   411TLD Overlay @ 85 lb/sy</t>
  </si>
  <si>
    <t>Loudon + Lawrence</t>
  </si>
  <si>
    <t>Loudon + Wayne</t>
  </si>
  <si>
    <t>Loudon + Giles</t>
  </si>
  <si>
    <t>Loudon + Stewart</t>
  </si>
  <si>
    <t>Loudon + Carroll</t>
  </si>
  <si>
    <t>Loudon + Decatur</t>
  </si>
  <si>
    <t>Spot, CS, 85TL   +   Hot In-Place Recycling w/ Micro</t>
  </si>
  <si>
    <t>Loudon + Madison</t>
  </si>
  <si>
    <t>Loudon + Lauderdale</t>
  </si>
  <si>
    <t>Loudon + Dyer</t>
  </si>
  <si>
    <t>Loudon + Davidson</t>
  </si>
  <si>
    <t>Loudon + Hickman</t>
  </si>
  <si>
    <t>Spot, CS, 85TL   +   Profile Mill &amp; 85 lb/sy TLD</t>
  </si>
  <si>
    <t>Loudon + Robertson</t>
  </si>
  <si>
    <t>Loudon + Maury</t>
  </si>
  <si>
    <t>Loudon + Dickson</t>
  </si>
  <si>
    <t>Loudon + Cheatham</t>
  </si>
  <si>
    <t>Loudon + Lincoln</t>
  </si>
  <si>
    <t>Loudon + Trousdale</t>
  </si>
  <si>
    <t>Spot, CS, 85TL   +   CS &amp; 411D Overlay</t>
  </si>
  <si>
    <t>Loudon + Crockett</t>
  </si>
  <si>
    <t>Loudon + Rhea</t>
  </si>
  <si>
    <t>Loudon + Bledsoe</t>
  </si>
  <si>
    <t>Loudon + Meigs</t>
  </si>
  <si>
    <t>Loudon + Bradley</t>
  </si>
  <si>
    <t>Loudon + Benton</t>
  </si>
  <si>
    <t>Loudon + Hardeman</t>
  </si>
  <si>
    <t>Loudon + McNairy</t>
  </si>
  <si>
    <t>Loudon + Franklin</t>
  </si>
  <si>
    <t>Loudon + Marion</t>
  </si>
  <si>
    <t>Loudon + White</t>
  </si>
  <si>
    <t>Spot, CS, 85TL   +   Chip Seal &amp; 65 lb/sy TL</t>
  </si>
  <si>
    <t>Spot, CS, 85TL   +   411TL Overlay @ 65 lb/sy</t>
  </si>
  <si>
    <t>Loudon + Grundy</t>
  </si>
  <si>
    <t>Loudon + Chester</t>
  </si>
  <si>
    <t>Loudon + Cocke</t>
  </si>
  <si>
    <t>Loudon + Washington</t>
  </si>
  <si>
    <t>Loudon + Jefferson</t>
  </si>
  <si>
    <t>Loudon + Cumberland</t>
  </si>
  <si>
    <t>Loudon + Sequatchie</t>
  </si>
  <si>
    <t>Loudon + Sullivan</t>
  </si>
  <si>
    <t>Loudon + Hardin</t>
  </si>
  <si>
    <t>Loudon + Anderson</t>
  </si>
  <si>
    <t>4 days</t>
  </si>
  <si>
    <t>Spot, CS, 85TL   +   Mill, CS &amp; OGFC</t>
  </si>
  <si>
    <t>8 days</t>
  </si>
  <si>
    <t>6 days</t>
  </si>
  <si>
    <t>Spot, CS, 85TL   +   Mill, TL &amp; OGFC</t>
  </si>
  <si>
    <t>Spot, CS, 85TL   +   Mill, TLD &amp; OGFC</t>
  </si>
  <si>
    <t>Loudon + Henderson</t>
  </si>
  <si>
    <t>Loudon + Loudon</t>
  </si>
  <si>
    <t>Loudon + Tipton</t>
  </si>
  <si>
    <t>BUND054</t>
  </si>
  <si>
    <t>Loudon + Sevier</t>
  </si>
  <si>
    <t>Loudon + Unicoi</t>
  </si>
  <si>
    <t>Loudon + Greene</t>
  </si>
  <si>
    <t>Average Asphalt Mix Plant Count</t>
  </si>
  <si>
    <t>Mill &amp; 85 lb/sy TLD</t>
  </si>
  <si>
    <t>Chip Seal &amp; 85 lb/sy TLD</t>
  </si>
  <si>
    <t>CS &amp; 411TLD Overlay @ 85 lb/sy</t>
  </si>
  <si>
    <t>Mill, CS &amp; 411TLD</t>
  </si>
  <si>
    <t>CNM020</t>
  </si>
  <si>
    <t>CNM023</t>
  </si>
  <si>
    <t>CNM026</t>
  </si>
  <si>
    <t>CNM029</t>
  </si>
  <si>
    <t>CNM031</t>
  </si>
  <si>
    <t>CNM034</t>
  </si>
  <si>
    <t>CNM035</t>
  </si>
  <si>
    <t>Mill &amp; 85 lb/sy TLD   +   Mill &amp; 85 lb/sy TLD</t>
  </si>
  <si>
    <t>Polk + Polk</t>
  </si>
  <si>
    <t>Coffee + Warren</t>
  </si>
  <si>
    <t>Exactly Bundled Project Count</t>
  </si>
  <si>
    <t>Correctly Unbundled Project Count</t>
  </si>
  <si>
    <t>Exact Result Rate</t>
  </si>
  <si>
    <t>SuccessfulResultRate</t>
  </si>
  <si>
    <t>SuccessfulBundlingRate</t>
  </si>
  <si>
    <t>SuccessfulUnbundlingRate</t>
  </si>
  <si>
    <t>Strict (RunBundlingValidation)</t>
  </si>
  <si>
    <t>Class-based Correctness</t>
  </si>
  <si>
    <t>Correctly Bundled w/ Wrong Partner</t>
  </si>
  <si>
    <t>Total Bundled Projects</t>
  </si>
  <si>
    <t>Total Unbundled Projects</t>
  </si>
  <si>
    <t>Mill, CS &amp; 411D   +   Mill, CS &amp; 411TLD</t>
  </si>
  <si>
    <t>Knox + Campbell</t>
  </si>
  <si>
    <t>ScenarioID</t>
  </si>
  <si>
    <t>wPrimary</t>
  </si>
  <si>
    <t>wSecondary</t>
  </si>
  <si>
    <t>wOverlay</t>
  </si>
  <si>
    <t>wLocation</t>
  </si>
  <si>
    <t>wLaneMiles</t>
  </si>
  <si>
    <t>wCost</t>
  </si>
  <si>
    <t>wAsphaltMix</t>
  </si>
  <si>
    <t>wDate</t>
  </si>
  <si>
    <t>MinThreshold</t>
  </si>
  <si>
    <t>Active (TRUE/FALSE)</t>
  </si>
  <si>
    <t>Notes</t>
  </si>
  <si>
    <t>PIN110</t>
  </si>
  <si>
    <t>PIN136</t>
  </si>
  <si>
    <t>PIN155</t>
  </si>
  <si>
    <t>PIN160</t>
  </si>
  <si>
    <t>PIN161</t>
  </si>
  <si>
    <t>Spot, CS, 85TL</t>
  </si>
  <si>
    <t>Profile Mill &amp; 411D</t>
  </si>
  <si>
    <t>Profile Mill &amp; 85 lb/sy TLD</t>
  </si>
  <si>
    <t>CS &amp; 411D Overlay</t>
  </si>
  <si>
    <t>Longitudinal Joint Stabilization</t>
  </si>
  <si>
    <t>Chip Seal &amp; 65 lb/sy TL</t>
  </si>
  <si>
    <t>Mill, CS &amp; OGFC</t>
  </si>
  <si>
    <t>Mill, TL &amp; OGFC</t>
  </si>
  <si>
    <t>Mill, TLD &amp; OGFC</t>
  </si>
  <si>
    <t>CNM036</t>
  </si>
  <si>
    <t>CNM037</t>
  </si>
  <si>
    <t>CNM038</t>
  </si>
  <si>
    <t>CNM040</t>
  </si>
  <si>
    <t>CNM045</t>
  </si>
  <si>
    <t>CNM051</t>
  </si>
  <si>
    <t>CNM053</t>
  </si>
  <si>
    <t>CNM054</t>
  </si>
  <si>
    <t>CNM056</t>
  </si>
  <si>
    <t>CNM081</t>
  </si>
  <si>
    <t>CNM086</t>
  </si>
  <si>
    <t>CNM087</t>
  </si>
  <si>
    <t>CNM088</t>
  </si>
  <si>
    <t>CNM090</t>
  </si>
  <si>
    <t>CNM091</t>
  </si>
  <si>
    <t>CNM096</t>
  </si>
  <si>
    <t>CNM097</t>
  </si>
  <si>
    <t>CNM098</t>
  </si>
  <si>
    <t>CNM099</t>
  </si>
  <si>
    <t>CNM100</t>
  </si>
  <si>
    <t>CNM101</t>
  </si>
  <si>
    <t>CNM102</t>
  </si>
  <si>
    <t>CNM108</t>
  </si>
  <si>
    <t>CNM109</t>
  </si>
  <si>
    <t>CNM110</t>
  </si>
  <si>
    <t>CNM111</t>
  </si>
  <si>
    <t>CNM112</t>
  </si>
  <si>
    <t>CNM113</t>
  </si>
  <si>
    <t>CNM114</t>
  </si>
  <si>
    <t>CNM115</t>
  </si>
  <si>
    <t>CNM116</t>
  </si>
  <si>
    <t>CNM117</t>
  </si>
  <si>
    <t>CNM121</t>
  </si>
  <si>
    <t>CNM124</t>
  </si>
  <si>
    <t>CNM126</t>
  </si>
  <si>
    <t>CNM129</t>
  </si>
  <si>
    <t>CNM132</t>
  </si>
  <si>
    <t>CNM134</t>
  </si>
  <si>
    <t>CNM135</t>
  </si>
  <si>
    <t>CNM136</t>
  </si>
  <si>
    <t>CNM138</t>
  </si>
  <si>
    <t>CNM142</t>
  </si>
  <si>
    <t>CNM157</t>
  </si>
  <si>
    <t>CNM159</t>
  </si>
  <si>
    <t>CNM160</t>
  </si>
  <si>
    <t>CNM161</t>
  </si>
  <si>
    <t>CNM162</t>
  </si>
  <si>
    <t>CNM163</t>
  </si>
  <si>
    <t>CNM164</t>
  </si>
  <si>
    <t>CNM165</t>
  </si>
  <si>
    <t>CNM166</t>
  </si>
  <si>
    <t>CNM184</t>
  </si>
  <si>
    <t>CNM185</t>
  </si>
  <si>
    <t>CNM186</t>
  </si>
  <si>
    <t>CNM187</t>
  </si>
  <si>
    <t>CNM188</t>
  </si>
  <si>
    <t>CNM189</t>
  </si>
  <si>
    <t>CNM191</t>
  </si>
  <si>
    <t>CNM192</t>
  </si>
  <si>
    <t>CNM194</t>
  </si>
  <si>
    <t>CNM199</t>
  </si>
  <si>
    <t>CNM200</t>
  </si>
  <si>
    <t>CNM201</t>
  </si>
  <si>
    <t>CNM202</t>
  </si>
  <si>
    <t>CNM203</t>
  </si>
  <si>
    <t>CNM204</t>
  </si>
  <si>
    <t>CNM205</t>
  </si>
  <si>
    <t>CNM206</t>
  </si>
  <si>
    <t>CNM207</t>
  </si>
  <si>
    <t>CNM208</t>
  </si>
  <si>
    <t>CNM209</t>
  </si>
  <si>
    <t>CNM210</t>
  </si>
  <si>
    <t>CNM211</t>
  </si>
  <si>
    <t>CNM212</t>
  </si>
  <si>
    <t>CNM213</t>
  </si>
  <si>
    <t>CNM214</t>
  </si>
  <si>
    <t>CNM215</t>
  </si>
  <si>
    <t>CNM216</t>
  </si>
  <si>
    <t>CNM217</t>
  </si>
  <si>
    <t>CNM218</t>
  </si>
  <si>
    <t>CNM219</t>
  </si>
  <si>
    <t>CNM222</t>
  </si>
  <si>
    <t>CNM223</t>
  </si>
  <si>
    <t>CNM225</t>
  </si>
  <si>
    <t>CNM226</t>
  </si>
  <si>
    <t>CNM227</t>
  </si>
  <si>
    <t>CNM230</t>
  </si>
  <si>
    <t>CNM239</t>
  </si>
  <si>
    <t>CNM240</t>
  </si>
  <si>
    <t>CNM241</t>
  </si>
  <si>
    <t>CNM248</t>
  </si>
  <si>
    <t>CNM249</t>
  </si>
  <si>
    <t>CNM254</t>
  </si>
  <si>
    <t>CNM255</t>
  </si>
  <si>
    <t>CNM256</t>
  </si>
  <si>
    <t>CNM262</t>
  </si>
  <si>
    <t>CNM263</t>
  </si>
  <si>
    <t>CNM271</t>
  </si>
  <si>
    <t>CNM272</t>
  </si>
  <si>
    <t>CNM273</t>
  </si>
  <si>
    <t>CNM274</t>
  </si>
  <si>
    <t>CNM275</t>
  </si>
  <si>
    <t>CNM276</t>
  </si>
  <si>
    <t>CNM277</t>
  </si>
  <si>
    <t>CNM278</t>
  </si>
  <si>
    <t>CNM279</t>
  </si>
  <si>
    <t>CNM280</t>
  </si>
  <si>
    <t>CNM281</t>
  </si>
  <si>
    <t>CNM282</t>
  </si>
  <si>
    <t>CNM295</t>
  </si>
  <si>
    <t>CNM323</t>
  </si>
  <si>
    <t>CNM333</t>
  </si>
  <si>
    <t>CNM334</t>
  </si>
  <si>
    <t>CNM336</t>
  </si>
  <si>
    <t>CNM338</t>
  </si>
  <si>
    <t>CNM340</t>
  </si>
  <si>
    <t>CNM341</t>
  </si>
  <si>
    <t>CNM342</t>
  </si>
  <si>
    <t>CNM347</t>
  </si>
  <si>
    <t>CNM348</t>
  </si>
  <si>
    <t>CNM356</t>
  </si>
  <si>
    <t>CNM360</t>
  </si>
  <si>
    <t>CNM361</t>
  </si>
  <si>
    <t>CNM370</t>
  </si>
  <si>
    <t>CNM371</t>
  </si>
  <si>
    <t>CNM372</t>
  </si>
  <si>
    <t>CNM373</t>
  </si>
  <si>
    <t>CNM900</t>
  </si>
  <si>
    <t>CNM903</t>
  </si>
  <si>
    <t>CNM910</t>
  </si>
  <si>
    <t>CNM914</t>
  </si>
  <si>
    <t>CNM916</t>
  </si>
  <si>
    <t>CNM918</t>
  </si>
  <si>
    <t>CNM926</t>
  </si>
  <si>
    <t>CNM927</t>
  </si>
  <si>
    <t>CNM930</t>
  </si>
  <si>
    <t>CNM932</t>
  </si>
  <si>
    <t>CNM946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</si>
</sst>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_);\(&quot;$&quot;#,##0.00\)"/>
    <numFmt numFmtId="164" formatCode="&quot;$&quot;#,##0.00"/>
    <numFmt numFmtId="165" formatCode="0.00\ &quot; Lane Miles&quot;"/>
    <numFmt numFmtId="166" formatCode="0\ &quot; %&quot;"/>
    <numFmt numFmtId="167" formatCode="0.00\ &quot; Miles&quot;"/>
    <numFmt numFmtId="168" formatCode="0.000000"/>
    <numFmt numFmtId="169" formatCode="0\ &quot; Months&quot;"/>
    <numFmt numFmtId="170" formatCode="0.0"/>
    <numFmt numFmtId="171" formatCode="0.00\ &quot; LM&quot;"/>
  </numFmts>
  <fonts count="40" x14ac:knownFonts="1">
    <font>
      <sz val="11"/>
      <color theme="1"/>
      <name val="Aptos Narrow"/>
      <family val="2"/>
      <scheme val="minor"/>
    </font>
    <font>
      <sz val="11"/>
      <color theme="1"/>
      <name val="Aptos Narrow"/>
      <family val="2"/>
      <scheme val="minor"/>
    </font>
    <font>
      <b/>
      <sz val="15"/>
      <color theme="3"/>
      <name val="Aptos Narrow"/>
      <family val="2"/>
      <scheme val="minor"/>
    </font>
    <font>
      <b/>
      <sz val="13"/>
      <color theme="3"/>
      <name val="Aptos Narrow"/>
      <family val="2"/>
      <scheme val="minor"/>
    </font>
    <font>
      <sz val="11"/>
      <color rgb="FF3F3F76"/>
      <name val="Aptos Narrow"/>
      <family val="2"/>
      <scheme val="minor"/>
    </font>
    <font>
      <b/>
      <sz val="11"/>
      <color rgb="FF3F3F3F"/>
      <name val="Aptos Narrow"/>
      <family val="2"/>
      <scheme val="minor"/>
    </font>
    <font>
      <b/>
      <sz val="11"/>
      <color theme="1"/>
      <name val="Aptos Narrow"/>
      <family val="2"/>
      <scheme val="minor"/>
    </font>
    <font>
      <sz val="11"/>
      <color rgb="FF000000"/>
      <name val="Calibri"/>
      <family val="2"/>
    </font>
    <font>
      <sz val="11"/>
      <color theme="5" tint="-0.499984740745262"/>
      <name val="Aptos Narrow"/>
      <family val="2"/>
      <scheme val="minor"/>
    </font>
    <font>
      <sz val="11"/>
      <color theme="1"/>
      <name val="Calibri"/>
      <family val="2"/>
    </font>
    <font>
      <b/>
      <sz val="15"/>
      <color rgb="FFC00000"/>
      <name val="Calibri"/>
      <family val="2"/>
    </font>
    <font>
      <b/>
      <sz val="36"/>
      <color rgb="FFC00000"/>
      <name val="Calibri"/>
      <family val="2"/>
    </font>
    <font>
      <b/>
      <sz val="15"/>
      <color theme="3"/>
      <name val="Calibri"/>
      <family val="2"/>
    </font>
    <font>
      <b/>
      <sz val="11"/>
      <color theme="1"/>
      <name val="Calibri"/>
      <family val="2"/>
    </font>
    <font>
      <b/>
      <sz val="13"/>
      <color theme="3"/>
      <name val="Calibri"/>
      <family val="2"/>
    </font>
    <font>
      <b/>
      <sz val="11"/>
      <color rgb="FF3F3F76"/>
      <name val="Calibri"/>
      <family val="2"/>
    </font>
    <font>
      <sz val="11"/>
      <color theme="5" tint="-0.499984740745262"/>
      <name val="Calibri"/>
      <family val="2"/>
    </font>
    <font>
      <b/>
      <sz val="11"/>
      <color rgb="FF3F3F3F"/>
      <name val="Calibri"/>
      <family val="2"/>
    </font>
    <font>
      <sz val="12"/>
      <color theme="1"/>
      <name val="Calibri"/>
      <family val="2"/>
    </font>
    <font>
      <sz val="14"/>
      <color theme="1"/>
      <name val="Calibri"/>
      <family val="2"/>
    </font>
    <font>
      <b/>
      <sz val="14"/>
      <color rgb="FF002060"/>
      <name val="Calibri"/>
      <family val="2"/>
    </font>
    <font>
      <b/>
      <sz val="16"/>
      <color rgb="FF002060"/>
      <name val="Calibri"/>
      <family val="2"/>
    </font>
    <font>
      <b/>
      <sz val="12"/>
      <color theme="1"/>
      <name val="Calibri"/>
      <family val="2"/>
    </font>
    <font>
      <sz val="12"/>
      <color theme="1"/>
      <name val="Aptos Narrow"/>
      <family val="2"/>
      <scheme val="minor"/>
    </font>
    <font>
      <b/>
      <sz val="12"/>
      <color theme="1"/>
      <name val="Aptos Narrow"/>
      <family val="2"/>
      <scheme val="minor"/>
    </font>
    <font>
      <b/>
      <sz val="16"/>
      <name val="Calibri"/>
      <family val="2"/>
    </font>
    <font>
      <sz val="14"/>
      <color theme="1"/>
      <name val="Aptos Narrow"/>
      <family val="2"/>
      <scheme val="minor"/>
    </font>
    <font>
      <b/>
      <sz val="14"/>
      <color theme="1"/>
      <name val="Aptos Narrow"/>
      <family val="2"/>
      <scheme val="minor"/>
    </font>
    <font>
      <b/>
      <sz val="18"/>
      <color rgb="FF002060"/>
      <name val="Calibri"/>
      <family val="2"/>
    </font>
    <font>
      <b/>
      <sz val="16"/>
      <color theme="1"/>
      <name val="Aptos Narrow"/>
      <family val="2"/>
      <scheme val="minor"/>
    </font>
    <font>
      <b/>
      <sz val="11"/>
      <color rgb="FF002060"/>
      <name val="Aptos Narrow"/>
      <family val="2"/>
      <scheme val="minor"/>
    </font>
    <font>
      <b/>
      <sz val="16"/>
      <color rgb="FFC00000"/>
      <name val="Aptos Narrow"/>
      <family val="2"/>
      <scheme val="minor"/>
    </font>
    <font>
      <sz val="16"/>
      <color rgb="FFC00000"/>
      <name val="Aptos Narrow"/>
      <family val="2"/>
      <scheme val="minor"/>
    </font>
    <font>
      <sz val="8"/>
      <name val="Aptos Narrow"/>
      <family val="2"/>
      <scheme val="minor"/>
    </font>
    <font>
      <b/>
      <sz val="14"/>
      <color rgb="FF002060"/>
      <name val="Aptos Narrow"/>
      <family val="2"/>
      <scheme val="minor"/>
    </font>
    <font>
      <sz val="11"/>
      <color rgb="FF002060"/>
      <name val="Aptos Narrow"/>
      <family val="2"/>
      <scheme val="minor"/>
    </font>
    <font>
      <sz val="14"/>
      <color rgb="FF000000"/>
      <name val="Aptos Narrow"/>
      <family val="2"/>
    </font>
    <font>
      <sz val="11"/>
      <color theme="1"/>
      <name val="Aptos Narrow"/>
      <family val="2"/>
    </font>
    <font>
      <b/>
      <sz val="16"/>
      <color theme="5" tint="-0.499984740745262"/>
      <name val="Aptos Narrow"/>
      <family val="2"/>
      <scheme val="minor"/>
    </font>
    <font>
      <b/>
      <sz val="12"/>
      <color rgb="FF800000"/>
      <name val="Aptos Narrow"/>
      <family val="2"/>
    </font>
  </fonts>
  <fills count="20">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BF3FF"/>
        <bgColor indexed="64"/>
      </patternFill>
    </fill>
    <fill>
      <patternFill patternType="solid">
        <fgColor rgb="FFFCF1B2"/>
        <bgColor indexed="64"/>
      </patternFill>
    </fill>
    <fill>
      <patternFill patternType="solid">
        <fgColor rgb="FFFCE4D6"/>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FFFFFF"/>
        <bgColor indexed="64"/>
      </patternFill>
    </fill>
    <fill>
      <patternFill patternType="solid">
        <fgColor theme="9" tint="0.59999389629810485"/>
        <bgColor indexed="64"/>
      </patternFill>
    </fill>
    <fill>
      <patternFill patternType="solid">
        <fgColor rgb="FFFC6C6C"/>
        <bgColor indexed="64"/>
      </patternFill>
    </fill>
    <fill>
      <patternFill patternType="solid">
        <fgColor rgb="FFFA9948"/>
        <bgColor indexed="64"/>
      </patternFill>
    </fill>
    <fill>
      <patternFill patternType="solid">
        <fgColor rgb="FFFFFFFF"/>
        <bgColor rgb="FF000000"/>
      </patternFill>
    </fill>
    <fill>
      <patternFill patternType="solid">
        <fgColor rgb="FF90EE90"/>
        <bgColor indexed="64"/>
      </patternFill>
    </fill>
    <fill>
      <patternFill patternType="solid">
        <fgColor rgb="FFFF6347"/>
        <bgColor indexed="64"/>
      </patternFill>
    </fill>
    <fill>
      <patternFill patternType="solid">
        <fgColor rgb="FFFFA500"/>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ck">
        <color theme="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ck">
        <color theme="4" tint="0.499984740745262"/>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diagonal/>
    </border>
    <border>
      <left style="medium">
        <color indexed="64"/>
      </left>
      <right style="medium">
        <color indexed="64"/>
      </right>
      <top style="thin">
        <color rgb="FF3F3F3F"/>
      </top>
      <bottom style="thin">
        <color rgb="FF3F3F3F"/>
      </bottom>
      <diagonal/>
    </border>
    <border>
      <left style="medium">
        <color indexed="64"/>
      </left>
      <right style="medium">
        <color indexed="64"/>
      </right>
      <top style="thin">
        <color rgb="FF7F7F7F"/>
      </top>
      <bottom style="medium">
        <color indexed="64"/>
      </bottom>
      <diagonal/>
    </border>
    <border>
      <left/>
      <right/>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1" fillId="0" borderId="0" applyNumberFormat="0" applyBorder="0" applyAlignment="0"/>
    <xf numFmtId="0" fontId="4" fillId="8" borderId="3" applyNumberFormat="0" applyAlignment="0" applyProtection="0"/>
    <xf numFmtId="0" fontId="8" fillId="2" borderId="3" applyNumberFormat="0" applyAlignment="0" applyProtection="0"/>
    <xf numFmtId="0" fontId="5" fillId="2" borderId="4" applyNumberFormat="0" applyAlignment="0" applyProtection="0"/>
    <xf numFmtId="0" fontId="1" fillId="9" borderId="0" applyNumberFormat="0" applyBorder="0" applyAlignment="0">
      <alignment vertical="center"/>
    </xf>
    <xf numFmtId="9" fontId="1" fillId="0" borderId="0" applyFont="0" applyFill="0" applyBorder="0" applyAlignment="0" applyProtection="0"/>
  </cellStyleXfs>
  <cellXfs count="194">
    <xf numFmtId="0" fontId="0" fillId="0" borderId="0" xfId="0"/>
    <xf numFmtId="0" fontId="0" fillId="3" borderId="0" xfId="0" applyFill="1"/>
    <xf numFmtId="0" fontId="9" fillId="3" borderId="0" xfId="3" applyFont="1" applyFill="1" applyAlignment="1">
      <alignment vertical="center"/>
    </xf>
    <xf numFmtId="0" fontId="10" fillId="3" borderId="5" xfId="1" applyFont="1" applyFill="1" applyBorder="1" applyAlignment="1">
      <alignment horizontal="center" vertical="center" wrapText="1"/>
    </xf>
    <xf numFmtId="0" fontId="9" fillId="0" borderId="0" xfId="3" applyFont="1" applyAlignment="1">
      <alignment vertical="center"/>
    </xf>
    <xf numFmtId="0" fontId="12" fillId="3" borderId="6" xfId="1" applyFont="1" applyFill="1" applyBorder="1" applyAlignment="1">
      <alignment vertical="center"/>
    </xf>
    <xf numFmtId="0" fontId="9" fillId="3" borderId="7" xfId="3" applyFont="1" applyFill="1" applyBorder="1" applyAlignment="1">
      <alignment vertical="center"/>
    </xf>
    <xf numFmtId="0" fontId="13" fillId="3" borderId="7" xfId="3" applyFont="1" applyFill="1" applyBorder="1" applyAlignment="1">
      <alignment vertical="center"/>
    </xf>
    <xf numFmtId="0" fontId="9" fillId="3" borderId="8" xfId="3" applyFont="1" applyFill="1" applyBorder="1" applyAlignment="1">
      <alignment vertical="center"/>
    </xf>
    <xf numFmtId="0" fontId="9" fillId="4" borderId="9" xfId="3" applyFont="1" applyFill="1" applyBorder="1" applyAlignment="1">
      <alignment vertical="center" wrapText="1"/>
    </xf>
    <xf numFmtId="0" fontId="9" fillId="3" borderId="7" xfId="3" applyFont="1" applyFill="1" applyBorder="1" applyAlignment="1">
      <alignment vertical="center" wrapText="1"/>
    </xf>
    <xf numFmtId="0" fontId="9" fillId="3" borderId="8" xfId="3" applyFont="1" applyFill="1" applyBorder="1" applyAlignment="1">
      <alignment vertical="center" wrapText="1"/>
    </xf>
    <xf numFmtId="0" fontId="9" fillId="3" borderId="0" xfId="3" applyFont="1" applyFill="1" applyAlignment="1">
      <alignment vertical="center" wrapText="1"/>
    </xf>
    <xf numFmtId="0" fontId="9" fillId="3" borderId="0" xfId="3" applyFont="1" applyFill="1" applyBorder="1" applyAlignment="1">
      <alignment vertical="center" wrapText="1"/>
    </xf>
    <xf numFmtId="0" fontId="12" fillId="3" borderId="1" xfId="1" applyFont="1" applyFill="1" applyAlignment="1">
      <alignment vertical="center"/>
    </xf>
    <xf numFmtId="0" fontId="14" fillId="5" borderId="10" xfId="2" applyFont="1" applyFill="1" applyBorder="1" applyAlignment="1">
      <alignment vertical="center" wrapText="1"/>
    </xf>
    <xf numFmtId="0" fontId="9" fillId="3" borderId="11" xfId="3" applyFont="1" applyFill="1" applyBorder="1" applyAlignment="1">
      <alignment vertical="center" wrapText="1"/>
    </xf>
    <xf numFmtId="0" fontId="9" fillId="0" borderId="12" xfId="3" applyFont="1" applyBorder="1"/>
    <xf numFmtId="0" fontId="14" fillId="6" borderId="10" xfId="2" applyFont="1" applyFill="1" applyBorder="1" applyAlignment="1">
      <alignment vertical="center" wrapText="1"/>
    </xf>
    <xf numFmtId="0" fontId="14" fillId="7" borderId="10" xfId="2" applyFont="1" applyFill="1" applyBorder="1" applyAlignment="1">
      <alignment vertical="center" wrapText="1"/>
    </xf>
    <xf numFmtId="0" fontId="14" fillId="3" borderId="10" xfId="2" applyFont="1" applyFill="1" applyBorder="1" applyAlignment="1">
      <alignment vertical="center"/>
    </xf>
    <xf numFmtId="0" fontId="15" fillId="8" borderId="13" xfId="4" applyFont="1" applyBorder="1"/>
    <xf numFmtId="0" fontId="16" fillId="2" borderId="14" xfId="5" applyFont="1" applyBorder="1"/>
    <xf numFmtId="0" fontId="17" fillId="2" borderId="15" xfId="6" applyFont="1" applyBorder="1"/>
    <xf numFmtId="0" fontId="9" fillId="10" borderId="16" xfId="7" applyFont="1" applyFill="1" applyBorder="1">
      <alignment vertical="center"/>
    </xf>
    <xf numFmtId="0" fontId="9" fillId="9" borderId="16" xfId="7" applyFont="1" applyBorder="1">
      <alignment vertical="center"/>
    </xf>
    <xf numFmtId="0" fontId="9" fillId="3" borderId="16" xfId="7" applyFont="1" applyFill="1" applyBorder="1">
      <alignment vertical="center"/>
    </xf>
    <xf numFmtId="0" fontId="9" fillId="3" borderId="0" xfId="0" applyFont="1" applyFill="1"/>
    <xf numFmtId="0" fontId="20" fillId="3" borderId="18" xfId="0" applyFont="1" applyFill="1" applyBorder="1"/>
    <xf numFmtId="0" fontId="9" fillId="3" borderId="18" xfId="0" applyFont="1" applyFill="1" applyBorder="1"/>
    <xf numFmtId="0" fontId="9" fillId="3" borderId="0" xfId="0" applyFont="1" applyFill="1" applyAlignment="1">
      <alignment horizontal="center"/>
    </xf>
    <xf numFmtId="0" fontId="9" fillId="3" borderId="0" xfId="0" applyFont="1" applyFill="1" applyAlignment="1">
      <alignment horizontal="left" vertical="center"/>
    </xf>
    <xf numFmtId="0" fontId="9" fillId="3" borderId="19" xfId="0" applyFont="1" applyFill="1" applyBorder="1"/>
    <xf numFmtId="0" fontId="21" fillId="3" borderId="0" xfId="0" applyFont="1" applyFill="1"/>
    <xf numFmtId="0" fontId="20" fillId="3" borderId="0" xfId="0" applyFont="1" applyFill="1"/>
    <xf numFmtId="0" fontId="9" fillId="3" borderId="20" xfId="0" applyFont="1" applyFill="1" applyBorder="1"/>
    <xf numFmtId="0" fontId="9" fillId="3" borderId="21" xfId="0" applyFont="1" applyFill="1" applyBorder="1"/>
    <xf numFmtId="0" fontId="22" fillId="3" borderId="19" xfId="0" applyFont="1" applyFill="1" applyBorder="1" applyAlignment="1">
      <alignment horizontal="center"/>
    </xf>
    <xf numFmtId="0" fontId="18" fillId="3" borderId="5" xfId="0" applyFont="1" applyFill="1" applyBorder="1" applyAlignment="1">
      <alignment horizontal="center" vertical="center"/>
    </xf>
    <xf numFmtId="0" fontId="28" fillId="3" borderId="18" xfId="0" applyFont="1" applyFill="1" applyBorder="1"/>
    <xf numFmtId="0" fontId="28" fillId="3" borderId="0" xfId="0" applyFont="1" applyFill="1"/>
    <xf numFmtId="0" fontId="19" fillId="3" borderId="18" xfId="0" applyFont="1" applyFill="1" applyBorder="1" applyAlignment="1">
      <alignment horizontal="center" vertical="center"/>
    </xf>
    <xf numFmtId="0" fontId="19" fillId="3" borderId="0" xfId="0" applyFont="1" applyFill="1" applyAlignment="1">
      <alignment horizontal="center" vertical="center"/>
    </xf>
    <xf numFmtId="0" fontId="29" fillId="3" borderId="9" xfId="7" applyFont="1" applyFill="1" applyBorder="1" applyAlignment="1">
      <alignment horizontal="center" vertical="center"/>
    </xf>
    <xf numFmtId="49" fontId="26" fillId="3" borderId="9" xfId="7" applyNumberFormat="1" applyFont="1" applyFill="1" applyBorder="1" applyAlignment="1" applyProtection="1">
      <alignment horizontal="center" vertical="center" wrapText="1"/>
      <protection locked="0"/>
    </xf>
    <xf numFmtId="49" fontId="26" fillId="3" borderId="9" xfId="7" applyNumberFormat="1" applyFont="1" applyFill="1" applyBorder="1" applyAlignment="1" applyProtection="1">
      <alignment horizontal="center" vertical="center"/>
      <protection locked="0"/>
    </xf>
    <xf numFmtId="0" fontId="6" fillId="0" borderId="0" xfId="0" applyFont="1" applyAlignment="1">
      <alignment horizontal="center" vertical="center"/>
    </xf>
    <xf numFmtId="0" fontId="6" fillId="0" borderId="17" xfId="0" applyFont="1" applyBorder="1" applyAlignment="1">
      <alignment horizontal="center" vertical="center"/>
    </xf>
    <xf numFmtId="0" fontId="30" fillId="11" borderId="0" xfId="0" applyFont="1" applyFill="1" applyAlignment="1">
      <alignment horizontal="center" vertical="center"/>
    </xf>
    <xf numFmtId="0" fontId="30" fillId="11" borderId="24" xfId="0" applyFont="1" applyFill="1" applyBorder="1" applyAlignment="1">
      <alignment horizontal="center" vertical="center"/>
    </xf>
    <xf numFmtId="0" fontId="24" fillId="3" borderId="5" xfId="0" applyFont="1" applyFill="1" applyBorder="1" applyAlignment="1">
      <alignment horizontal="center" vertical="center"/>
    </xf>
    <xf numFmtId="0" fontId="24" fillId="3" borderId="12" xfId="0" applyFont="1" applyFill="1" applyBorder="1" applyAlignment="1">
      <alignment horizontal="center" vertical="center"/>
    </xf>
    <xf numFmtId="0" fontId="0" fillId="3" borderId="19" xfId="0" applyFill="1" applyBorder="1"/>
    <xf numFmtId="0" fontId="0" fillId="3" borderId="20" xfId="0" applyFill="1" applyBorder="1"/>
    <xf numFmtId="0" fontId="0" fillId="3" borderId="21" xfId="0" applyFill="1" applyBorder="1"/>
    <xf numFmtId="0" fontId="0" fillId="3" borderId="5" xfId="0" applyFill="1" applyBorder="1" applyAlignment="1">
      <alignment horizontal="center" vertical="center"/>
    </xf>
    <xf numFmtId="0" fontId="9" fillId="3" borderId="18" xfId="0" applyFont="1" applyFill="1" applyBorder="1" applyAlignment="1">
      <alignment horizontal="center"/>
    </xf>
    <xf numFmtId="0" fontId="26" fillId="3" borderId="9" xfId="7" applyNumberFormat="1" applyFont="1" applyFill="1" applyBorder="1" applyAlignment="1" applyProtection="1">
      <alignment horizontal="center" vertical="center"/>
      <protection locked="0"/>
    </xf>
    <xf numFmtId="0" fontId="0" fillId="3" borderId="18" xfId="0" applyFill="1" applyBorder="1"/>
    <xf numFmtId="0" fontId="29" fillId="3" borderId="0" xfId="7" applyFont="1" applyFill="1" applyBorder="1" applyAlignment="1">
      <alignment horizontal="center" vertical="center"/>
    </xf>
    <xf numFmtId="49" fontId="26" fillId="3" borderId="0" xfId="7" applyNumberFormat="1" applyFont="1" applyFill="1" applyBorder="1" applyAlignment="1" applyProtection="1">
      <alignment horizontal="center" vertical="center"/>
      <protection locked="0"/>
    </xf>
    <xf numFmtId="0" fontId="26" fillId="3" borderId="0" xfId="7" applyNumberFormat="1" applyFont="1" applyFill="1" applyBorder="1" applyAlignment="1" applyProtection="1">
      <alignment horizontal="center" vertical="center"/>
      <protection locked="0"/>
    </xf>
    <xf numFmtId="0" fontId="22" fillId="3" borderId="9" xfId="0" applyFont="1" applyFill="1" applyBorder="1" applyAlignment="1">
      <alignment horizontal="center"/>
    </xf>
    <xf numFmtId="0" fontId="18" fillId="3" borderId="27" xfId="0" applyFont="1" applyFill="1" applyBorder="1" applyAlignment="1">
      <alignment horizontal="center" vertical="center"/>
    </xf>
    <xf numFmtId="49" fontId="23" fillId="3" borderId="8" xfId="7" applyNumberFormat="1" applyFont="1" applyFill="1" applyBorder="1" applyAlignment="1" applyProtection="1">
      <alignment horizontal="center" vertical="center"/>
      <protection locked="0"/>
    </xf>
    <xf numFmtId="0" fontId="23" fillId="3" borderId="9" xfId="7" applyNumberFormat="1" applyFont="1" applyFill="1" applyBorder="1" applyAlignment="1" applyProtection="1">
      <alignment horizontal="center" vertical="center"/>
      <protection locked="0"/>
    </xf>
    <xf numFmtId="0" fontId="18" fillId="3" borderId="27" xfId="0" applyFont="1" applyFill="1" applyBorder="1" applyAlignment="1">
      <alignment horizontal="center" vertical="center" wrapText="1"/>
    </xf>
    <xf numFmtId="0" fontId="22" fillId="3" borderId="27" xfId="0" applyFont="1" applyFill="1" applyBorder="1" applyAlignment="1">
      <alignment horizontal="center"/>
    </xf>
    <xf numFmtId="0" fontId="18" fillId="3" borderId="9" xfId="0" applyFont="1" applyFill="1" applyBorder="1" applyAlignment="1">
      <alignment horizontal="center" vertical="center"/>
    </xf>
    <xf numFmtId="0" fontId="24" fillId="12" borderId="5" xfId="0" applyFont="1" applyFill="1" applyBorder="1" applyAlignment="1">
      <alignment horizontal="center" vertical="center"/>
    </xf>
    <xf numFmtId="0" fontId="24" fillId="12" borderId="5" xfId="0" applyFont="1" applyFill="1" applyBorder="1" applyAlignment="1">
      <alignment horizontal="center" vertical="center" wrapText="1"/>
    </xf>
    <xf numFmtId="2" fontId="24" fillId="12" borderId="5" xfId="0" applyNumberFormat="1" applyFont="1" applyFill="1" applyBorder="1" applyAlignment="1">
      <alignment horizontal="center" vertical="center"/>
    </xf>
    <xf numFmtId="0" fontId="0" fillId="3" borderId="0" xfId="0" applyFill="1" applyAlignment="1">
      <alignment vertical="center"/>
    </xf>
    <xf numFmtId="0" fontId="0" fillId="12" borderId="0" xfId="0" applyFill="1" applyAlignment="1">
      <alignment horizontal="center" vertical="center"/>
    </xf>
    <xf numFmtId="0" fontId="0" fillId="12" borderId="0" xfId="0" applyFill="1" applyAlignment="1">
      <alignment horizontal="center" vertical="center" wrapText="1"/>
    </xf>
    <xf numFmtId="2" fontId="0" fillId="12" borderId="0" xfId="0" applyNumberFormat="1" applyFill="1" applyAlignment="1">
      <alignment horizontal="center" vertical="center"/>
    </xf>
    <xf numFmtId="164" fontId="0" fillId="12" borderId="0" xfId="0" applyNumberFormat="1" applyFill="1" applyAlignment="1">
      <alignment horizontal="center" vertical="center"/>
    </xf>
    <xf numFmtId="0" fontId="9" fillId="3" borderId="9" xfId="3" applyFont="1" applyFill="1" applyBorder="1" applyAlignment="1">
      <alignment horizontal="left" vertical="center" wrapText="1"/>
    </xf>
    <xf numFmtId="0" fontId="9" fillId="0" borderId="12" xfId="3" applyFont="1" applyBorder="1" applyAlignment="1">
      <alignment vertical="center" wrapText="1"/>
    </xf>
    <xf numFmtId="7" fontId="0" fillId="12" borderId="0" xfId="0" applyNumberFormat="1" applyFill="1" applyAlignment="1">
      <alignment horizontal="center" vertical="center"/>
    </xf>
    <xf numFmtId="0" fontId="26" fillId="13" borderId="5" xfId="0" applyFont="1" applyFill="1" applyBorder="1" applyAlignment="1">
      <alignment horizontal="center"/>
    </xf>
    <xf numFmtId="0" fontId="26" fillId="14" borderId="5" xfId="0" applyFont="1" applyFill="1" applyBorder="1" applyAlignment="1">
      <alignment horizontal="center"/>
    </xf>
    <xf numFmtId="0" fontId="26" fillId="15" borderId="5" xfId="0" applyFont="1" applyFill="1" applyBorder="1" applyAlignment="1">
      <alignment horizontal="center"/>
    </xf>
    <xf numFmtId="0" fontId="0" fillId="0" borderId="0" xfId="0" applyAlignment="1">
      <alignment horizontal="center" vertical="center"/>
    </xf>
    <xf numFmtId="9" fontId="27" fillId="3" borderId="5" xfId="8" applyFont="1" applyFill="1" applyBorder="1"/>
    <xf numFmtId="1" fontId="26" fillId="3" borderId="9" xfId="7" applyNumberFormat="1" applyFont="1" applyFill="1" applyBorder="1" applyAlignment="1" applyProtection="1">
      <alignment horizontal="center" vertical="center"/>
      <protection locked="0"/>
    </xf>
    <xf numFmtId="0" fontId="34" fillId="0" borderId="17" xfId="0" applyFont="1" applyBorder="1"/>
    <xf numFmtId="0" fontId="35" fillId="0" borderId="17" xfId="0" applyFont="1" applyBorder="1"/>
    <xf numFmtId="168" fontId="0" fillId="0" borderId="0" xfId="0" applyNumberFormat="1"/>
    <xf numFmtId="168" fontId="0" fillId="0" borderId="0" xfId="0" applyNumberFormat="1" applyAlignment="1">
      <alignment horizontal="center" vertical="center"/>
    </xf>
    <xf numFmtId="0" fontId="9" fillId="3" borderId="9" xfId="0" applyFont="1" applyFill="1" applyBorder="1"/>
    <xf numFmtId="0" fontId="0" fillId="3" borderId="9" xfId="0" applyFill="1" applyBorder="1" applyAlignment="1">
      <alignment horizontal="center" vertical="center"/>
    </xf>
    <xf numFmtId="49" fontId="36" fillId="16" borderId="9" xfId="7" applyNumberFormat="1" applyFont="1" applyFill="1" applyBorder="1" applyAlignment="1" applyProtection="1">
      <alignment horizontal="center" vertical="center"/>
      <protection locked="0"/>
    </xf>
    <xf numFmtId="0" fontId="37" fillId="0" borderId="9" xfId="0" applyFont="1" applyBorder="1" applyAlignment="1">
      <alignment horizontal="center" vertical="center"/>
    </xf>
    <xf numFmtId="0" fontId="27" fillId="0" borderId="26" xfId="0" applyFont="1" applyBorder="1" applyAlignment="1">
      <alignment horizontal="center" vertical="center"/>
    </xf>
    <xf numFmtId="0" fontId="27" fillId="0" borderId="26" xfId="0" applyFont="1" applyBorder="1" applyAlignment="1">
      <alignment horizontal="center" vertical="center" wrapText="1"/>
    </xf>
    <xf numFmtId="0" fontId="0" fillId="3" borderId="27" xfId="0" applyFill="1" applyBorder="1"/>
    <xf numFmtId="0" fontId="0" fillId="3" borderId="28" xfId="0" applyFill="1" applyBorder="1"/>
    <xf numFmtId="1" fontId="0" fillId="0" borderId="0" xfId="0" applyNumberFormat="1" applyAlignment="1">
      <alignment horizontal="center" vertical="center"/>
    </xf>
    <xf numFmtId="1" fontId="0" fillId="0" borderId="0" xfId="0" applyNumberFormat="1" applyAlignment="1">
      <alignment horizontal="center"/>
    </xf>
    <xf numFmtId="0" fontId="0" fillId="12" borderId="0" xfId="0" applyFill="1" applyAlignment="1">
      <alignment vertical="center"/>
    </xf>
    <xf numFmtId="0" fontId="0" fillId="12" borderId="18" xfId="0" applyFill="1" applyBorder="1" applyAlignment="1">
      <alignment horizontal="center" vertical="center"/>
    </xf>
    <xf numFmtId="0" fontId="0" fillId="12" borderId="18" xfId="0" applyFill="1" applyBorder="1" applyAlignment="1">
      <alignment horizontal="center" vertical="center" wrapText="1"/>
    </xf>
    <xf numFmtId="2" fontId="0" fillId="12" borderId="18" xfId="0" applyNumberFormat="1" applyFill="1" applyBorder="1" applyAlignment="1">
      <alignment horizontal="center" vertical="center"/>
    </xf>
    <xf numFmtId="164" fontId="0" fillId="12" borderId="18" xfId="0" applyNumberFormat="1" applyFill="1" applyBorder="1" applyAlignment="1">
      <alignment horizontal="center" vertical="center"/>
    </xf>
    <xf numFmtId="0" fontId="38" fillId="12" borderId="18" xfId="0" applyFont="1" applyFill="1" applyBorder="1" applyAlignment="1">
      <alignment horizontal="left" vertical="center"/>
    </xf>
    <xf numFmtId="0" fontId="0" fillId="3" borderId="0" xfId="0" applyFill="1" applyAlignment="1">
      <alignment horizontal="center" vertical="center"/>
    </xf>
    <xf numFmtId="167" fontId="26" fillId="3" borderId="19" xfId="0" applyNumberFormat="1" applyFont="1" applyFill="1" applyBorder="1" applyAlignment="1">
      <alignment horizontal="center" vertical="center"/>
    </xf>
    <xf numFmtId="166" fontId="26" fillId="3" borderId="19" xfId="0" applyNumberFormat="1" applyFont="1" applyFill="1" applyBorder="1" applyAlignment="1">
      <alignment horizontal="center" vertical="center"/>
    </xf>
    <xf numFmtId="0" fontId="27" fillId="3" borderId="19" xfId="0" applyFont="1" applyFill="1" applyBorder="1" applyAlignment="1">
      <alignment horizontal="center" vertical="center"/>
    </xf>
    <xf numFmtId="0" fontId="27" fillId="3" borderId="20" xfId="0" applyFont="1" applyFill="1" applyBorder="1" applyAlignment="1">
      <alignment horizontal="center" vertical="center"/>
    </xf>
    <xf numFmtId="0" fontId="27" fillId="3" borderId="21" xfId="0" applyFont="1" applyFill="1" applyBorder="1" applyAlignment="1">
      <alignment horizontal="center" vertical="center"/>
    </xf>
    <xf numFmtId="0" fontId="27" fillId="3" borderId="5" xfId="0" applyFont="1" applyFill="1" applyBorder="1" applyAlignment="1">
      <alignment horizontal="left" vertical="center"/>
    </xf>
    <xf numFmtId="0" fontId="24" fillId="3" borderId="5" xfId="0" applyFont="1" applyFill="1" applyBorder="1" applyAlignment="1">
      <alignment horizontal="center" vertical="center" wrapText="1"/>
    </xf>
    <xf numFmtId="0" fontId="0" fillId="3" borderId="19" xfId="0" applyFill="1" applyBorder="1" applyAlignment="1">
      <alignment horizontal="center"/>
    </xf>
    <xf numFmtId="0" fontId="0" fillId="3" borderId="20" xfId="0" applyFill="1" applyBorder="1" applyAlignment="1">
      <alignment horizontal="center"/>
    </xf>
    <xf numFmtId="0" fontId="0" fillId="17" borderId="0" xfId="0" applyFill="1" applyAlignment="1">
      <alignment horizontal="center" vertical="center" wrapText="1"/>
    </xf>
    <xf numFmtId="0" fontId="0" fillId="12" borderId="0" xfId="0" applyFill="1" applyAlignment="1">
      <alignment horizontal="center"/>
    </xf>
    <xf numFmtId="14" fontId="0" fillId="12" borderId="0" xfId="0" applyNumberFormat="1" applyFill="1" applyAlignment="1">
      <alignment horizontal="center"/>
    </xf>
    <xf numFmtId="169" fontId="26" fillId="3" borderId="19" xfId="0" applyNumberFormat="1" applyFont="1" applyFill="1" applyBorder="1" applyAlignment="1">
      <alignment horizontal="center" vertical="center"/>
    </xf>
    <xf numFmtId="0" fontId="0" fillId="3" borderId="0" xfId="0" applyFill="1" applyAlignment="1">
      <alignment horizontal="center"/>
    </xf>
    <xf numFmtId="14" fontId="0" fillId="3" borderId="0" xfId="0" applyNumberFormat="1" applyFill="1" applyAlignment="1">
      <alignment horizontal="center"/>
    </xf>
    <xf numFmtId="14" fontId="0" fillId="3" borderId="0" xfId="0" applyNumberFormat="1" applyFill="1" applyAlignment="1">
      <alignment horizontal="center" vertical="center"/>
    </xf>
    <xf numFmtId="10" fontId="0" fillId="3" borderId="0" xfId="0" applyNumberFormat="1" applyFill="1"/>
    <xf numFmtId="14" fontId="0" fillId="12" borderId="0" xfId="0" applyNumberFormat="1" applyFill="1" applyAlignment="1">
      <alignment horizontal="center" vertical="center" wrapText="1"/>
    </xf>
    <xf numFmtId="14" fontId="0" fillId="12" borderId="0" xfId="0" applyNumberFormat="1" applyFill="1" applyAlignment="1">
      <alignment horizontal="center" vertical="center"/>
    </xf>
    <xf numFmtId="165" fontId="26" fillId="3" borderId="5" xfId="0" applyNumberFormat="1" applyFont="1" applyFill="1" applyBorder="1" applyAlignment="1">
      <alignment horizontal="center" vertical="center" wrapText="1"/>
    </xf>
    <xf numFmtId="165" fontId="26" fillId="3" borderId="5" xfId="0" applyNumberFormat="1" applyFont="1" applyFill="1" applyBorder="1" applyAlignment="1">
      <alignment horizontal="center" vertical="center"/>
    </xf>
    <xf numFmtId="164" fontId="26" fillId="3" borderId="5" xfId="0" applyNumberFormat="1" applyFont="1" applyFill="1" applyBorder="1" applyAlignment="1">
      <alignment horizontal="center" vertical="center"/>
    </xf>
    <xf numFmtId="170" fontId="26" fillId="3" borderId="5" xfId="0" applyNumberFormat="1" applyFont="1" applyFill="1" applyBorder="1" applyAlignment="1">
      <alignment horizontal="center" vertical="center"/>
    </xf>
    <xf numFmtId="1" fontId="26" fillId="3" borderId="5" xfId="0" applyNumberFormat="1" applyFont="1" applyFill="1" applyBorder="1" applyAlignment="1">
      <alignment horizontal="center" vertical="center"/>
    </xf>
    <xf numFmtId="171" fontId="26" fillId="3" borderId="5" xfId="0" applyNumberFormat="1" applyFont="1" applyFill="1" applyBorder="1" applyAlignment="1">
      <alignment horizontal="center" vertical="center" wrapText="1"/>
    </xf>
    <xf numFmtId="9" fontId="27" fillId="3" borderId="0" xfId="8" applyFont="1" applyFill="1" applyBorder="1"/>
    <xf numFmtId="0" fontId="31" fillId="3" borderId="0" xfId="0" applyFont="1" applyFill="1" applyAlignment="1">
      <alignment horizontal="left" vertical="center" wrapText="1"/>
    </xf>
    <xf numFmtId="0" fontId="6" fillId="0" borderId="25" xfId="0" applyFont="1" applyBorder="1" applyAlignment="1">
      <alignment horizontal="center" vertical="center"/>
    </xf>
    <xf numFmtId="0" fontId="30" fillId="0" borderId="0" xfId="0" applyFont="1" applyAlignment="1">
      <alignment horizontal="center" vertical="center"/>
    </xf>
    <xf numFmtId="0" fontId="6" fillId="11" borderId="17" xfId="0" applyFont="1" applyFill="1" applyBorder="1" applyAlignment="1">
      <alignment horizontal="center" vertical="center"/>
    </xf>
    <xf numFmtId="0" fontId="0" fillId="3" borderId="12" xfId="0" applyFill="1" applyBorder="1"/>
    <xf numFmtId="0" fontId="24" fillId="3" borderId="12" xfId="0" applyFont="1" applyFill="1" applyBorder="1" applyAlignment="1">
      <alignment horizontal="center" vertical="center" wrapText="1"/>
    </xf>
    <xf numFmtId="0" fontId="24" fillId="3" borderId="29" xfId="0" applyFont="1" applyFill="1" applyBorder="1" applyAlignment="1">
      <alignment horizontal="center" vertical="center"/>
    </xf>
    <xf numFmtId="0" fontId="24" fillId="3" borderId="23" xfId="0" applyFont="1" applyFill="1" applyBorder="1" applyAlignment="1">
      <alignment horizontal="center" vertical="center" wrapText="1"/>
    </xf>
    <xf numFmtId="0" fontId="6" fillId="0" borderId="0" xfId="0" applyFont="1"/>
    <xf numFmtId="4" fontId="0" fillId="0" borderId="0" xfId="0" applyNumberFormat="1"/>
    <xf numFmtId="164" fontId="0" fillId="0" borderId="0" xfId="0" applyNumberFormat="1"/>
    <xf numFmtId="0" fontId="6" fillId="0" borderId="0" xfId="0" applyFont="1" applyAlignment="1">
      <alignment horizontal="center"/>
    </xf>
    <xf numFmtId="4" fontId="6" fillId="0" borderId="0" xfId="0" applyNumberFormat="1" applyFont="1" applyAlignment="1">
      <alignment horizontal="center"/>
    </xf>
    <xf numFmtId="164" fontId="6" fillId="0" borderId="0" xfId="0" applyNumberFormat="1" applyFont="1" applyAlignment="1">
      <alignment horizontal="center"/>
    </xf>
    <xf numFmtId="0" fontId="0" fillId="0" borderId="0" xfId="0" applyAlignment="1">
      <alignment horizontal="center"/>
    </xf>
    <xf numFmtId="4" fontId="0" fillId="0" borderId="0" xfId="0" applyNumberFormat="1" applyAlignment="1">
      <alignment horizontal="center"/>
    </xf>
    <xf numFmtId="164" fontId="0" fillId="0" borderId="0" xfId="0" applyNumberFormat="1" applyAlignment="1">
      <alignment horizontal="center"/>
    </xf>
    <xf numFmtId="0" fontId="6" fillId="0" borderId="0" xfId="0" applyFont="1" applyAlignment="1">
      <alignment horizontal="left" wrapText="1"/>
    </xf>
    <xf numFmtId="0" fontId="0" fillId="0" borderId="0" xfId="0" applyAlignment="1">
      <alignment horizontal="left" wrapText="1"/>
    </xf>
    <xf numFmtId="10" fontId="0" fillId="17" borderId="0" xfId="0" applyNumberFormat="1" applyFill="1" applyAlignment="1">
      <alignment horizontal="center"/>
    </xf>
    <xf numFmtId="0" fontId="0" fillId="17" borderId="0" xfId="0" applyFill="1" applyAlignment="1">
      <alignment horizontal="center"/>
    </xf>
    <xf numFmtId="0" fontId="0" fillId="18" borderId="0" xfId="0" applyFill="1" applyAlignment="1">
      <alignment horizontal="center"/>
    </xf>
    <xf numFmtId="10" fontId="0" fillId="0" borderId="0" xfId="0" applyNumberFormat="1"/>
    <xf numFmtId="0" fontId="0" fillId="19" borderId="0" xfId="0" applyFill="1" applyAlignment="1">
      <alignment horizontal="center"/>
    </xf>
    <xf numFmtId="0" fontId="6" fillId="3" borderId="9" xfId="0" applyFont="1" applyFill="1" applyBorder="1"/>
    <xf numFmtId="0" fontId="1" fillId="3" borderId="9" xfId="0" applyFont="1" applyFill="1" applyBorder="1"/>
    <xf numFmtId="14" fontId="0" fillId="17" borderId="0" xfId="0" applyNumberFormat="1" applyFill="1" applyAlignment="1">
      <alignment horizontal="center" vertical="center" wrapText="1"/>
    </xf>
    <xf numFmtId="10" fontId="0" fillId="18" borderId="0" xfId="0" applyNumberFormat="1" applyFill="1" applyAlignment="1">
      <alignment horizontal="center"/>
    </xf>
    <xf numFmtId="0" fontId="24" fillId="12" borderId="5" xfId="0" applyFont="1" applyFill="1" applyBorder="1" applyAlignment="1">
      <alignment horizontal="center"/>
    </xf>
    <xf numFmtId="0" fontId="24" fillId="3" borderId="5" xfId="0" applyFont="1" applyFill="1" applyBorder="1" applyAlignment="1">
      <alignment horizontal="center"/>
    </xf>
    <xf numFmtId="0" fontId="0" fillId="12" borderId="0" xfId="0" applyFill="1" applyAlignment="1">
      <alignment horizontal="left" vertical="center" wrapText="1"/>
    </xf>
    <xf numFmtId="0" fontId="25" fillId="3" borderId="19" xfId="0" applyFont="1" applyFill="1" applyBorder="1" applyAlignment="1">
      <alignment horizontal="center"/>
    </xf>
    <xf numFmtId="0" fontId="25" fillId="3" borderId="20" xfId="0" applyFont="1" applyFill="1" applyBorder="1" applyAlignment="1">
      <alignment horizontal="center"/>
    </xf>
    <xf numFmtId="0" fontId="25" fillId="3" borderId="21" xfId="0" applyFont="1" applyFill="1" applyBorder="1" applyAlignment="1">
      <alignment horizontal="center"/>
    </xf>
    <xf numFmtId="0" fontId="27" fillId="3" borderId="19" xfId="0" applyFont="1" applyFill="1" applyBorder="1" applyAlignment="1">
      <alignment horizontal="left" vertical="center"/>
    </xf>
    <xf numFmtId="0" fontId="27" fillId="3" borderId="21" xfId="0" applyFont="1" applyFill="1" applyBorder="1" applyAlignment="1">
      <alignment horizontal="left" vertical="center"/>
    </xf>
    <xf numFmtId="0" fontId="27" fillId="3" borderId="5" xfId="0" applyFont="1" applyFill="1" applyBorder="1" applyAlignment="1">
      <alignment horizontal="left" vertical="center"/>
    </xf>
    <xf numFmtId="0" fontId="25" fillId="3" borderId="19"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0" fontId="25" fillId="3" borderId="30" xfId="0" applyFont="1" applyFill="1" applyBorder="1" applyAlignment="1">
      <alignment horizontal="center" vertical="center"/>
    </xf>
    <xf numFmtId="0" fontId="25" fillId="3" borderId="31" xfId="0" applyFont="1" applyFill="1" applyBorder="1" applyAlignment="1">
      <alignment horizontal="center" vertical="center"/>
    </xf>
    <xf numFmtId="0" fontId="25" fillId="3" borderId="22" xfId="0" applyFont="1" applyFill="1" applyBorder="1" applyAlignment="1">
      <alignment horizontal="center" vertical="center"/>
    </xf>
    <xf numFmtId="0" fontId="9" fillId="3" borderId="9" xfId="0" applyFont="1" applyFill="1" applyBorder="1" applyAlignment="1">
      <alignment horizontal="center"/>
    </xf>
    <xf numFmtId="0" fontId="31" fillId="0" borderId="0" xfId="0" applyFont="1" applyAlignment="1">
      <alignment horizontal="left" vertical="center" wrapText="1"/>
    </xf>
    <xf numFmtId="0" fontId="25" fillId="3" borderId="26" xfId="0" applyFont="1" applyFill="1" applyBorder="1" applyAlignment="1">
      <alignment horizontal="center"/>
    </xf>
    <xf numFmtId="0" fontId="26" fillId="0" borderId="9" xfId="0" applyFont="1" applyBorder="1" applyAlignment="1">
      <alignment horizontal="center" vertical="center" wrapText="1"/>
    </xf>
    <xf numFmtId="0" fontId="18" fillId="3" borderId="19" xfId="0" applyFont="1" applyFill="1" applyBorder="1" applyAlignment="1">
      <alignment horizontal="center" vertical="center"/>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23" fillId="0" borderId="19" xfId="0" applyFont="1" applyBorder="1" applyAlignment="1">
      <alignment horizontal="center" vertical="center" wrapText="1"/>
    </xf>
    <xf numFmtId="0" fontId="23" fillId="0" borderId="20" xfId="0" applyFont="1" applyBorder="1" applyAlignment="1">
      <alignment horizontal="center" vertical="center" wrapText="1"/>
    </xf>
    <xf numFmtId="0" fontId="23" fillId="0" borderId="21" xfId="0" applyFont="1" applyBorder="1" applyAlignment="1">
      <alignment horizontal="center" vertical="center" wrapText="1"/>
    </xf>
    <xf numFmtId="0" fontId="26" fillId="0" borderId="19" xfId="0" applyFont="1" applyBorder="1" applyAlignment="1">
      <alignment horizontal="center" vertical="center" wrapText="1"/>
    </xf>
    <xf numFmtId="0" fontId="26" fillId="0" borderId="20" xfId="0" applyFont="1" applyBorder="1" applyAlignment="1">
      <alignment horizontal="center" vertical="center" wrapText="1"/>
    </xf>
    <xf numFmtId="0" fontId="26" fillId="0" borderId="21" xfId="0" applyFont="1" applyBorder="1" applyAlignment="1">
      <alignment horizontal="center" vertical="center" wrapText="1"/>
    </xf>
    <xf numFmtId="0" fontId="25" fillId="3" borderId="5" xfId="0" applyFont="1" applyFill="1" applyBorder="1" applyAlignment="1">
      <alignment horizontal="center"/>
    </xf>
    <xf numFmtId="0" fontId="22" fillId="3" borderId="19" xfId="0" applyFont="1" applyFill="1" applyBorder="1" applyAlignment="1">
      <alignment horizontal="center"/>
    </xf>
    <xf numFmtId="0" fontId="22" fillId="3" borderId="20" xfId="0" applyFont="1" applyFill="1" applyBorder="1" applyAlignment="1">
      <alignment horizontal="center"/>
    </xf>
    <xf numFmtId="0" fontId="22" fillId="3" borderId="21" xfId="0" applyFont="1" applyFill="1" applyBorder="1" applyAlignment="1">
      <alignment horizontal="center"/>
    </xf>
    <xf numFmtId="0" fontId="0" fillId="0" borderId="0" xfId="0" applyAlignment="1">
      <alignment horizontal="center" vertical="center" wrapText="1"/>
    </xf>
  </cellXfs>
  <cellStyles count="9">
    <cellStyle name="Heading 1" xfId="1" builtinId="16"/>
    <cellStyle name="Heading 2" xfId="2" builtinId="17"/>
    <cellStyle name="Normal" xfId="0" builtinId="0"/>
    <cellStyle name="Normal 2" xfId="3" xr:uid="{31F5996B-7713-449A-98DA-F4E356058FC0}"/>
    <cellStyle name="Percent" xfId="8" builtinId="5"/>
    <cellStyle name="SCalculation" xfId="5" xr:uid="{3B64CDAC-807E-4603-AC33-67032C4E93F6}"/>
    <cellStyle name="SInput" xfId="4" xr:uid="{ECD56669-59E2-4412-98C3-908D362BB3EF}"/>
    <cellStyle name="SLinkedData" xfId="7" xr:uid="{2217EF95-F4E0-49FC-A8F7-0AEBE25896A3}"/>
    <cellStyle name="SOutputs" xfId="6" xr:uid="{465003E7-F2FB-4958-9B85-DFB8D94EC1A9}"/>
  </cellStyles>
  <dxfs count="1">
    <dxf>
      <font>
        <color theme="0"/>
      </font>
      <fill>
        <patternFill>
          <bgColor rgb="FFFF0000"/>
        </patternFill>
      </fill>
    </dxf>
  </dxfs>
  <tableStyles count="0" defaultTableStyle="TableStyleMedium2" defaultPivotStyle="PivotStyleLight16"/>
  <colors>
    <mruColors>
      <color rgb="FFFFFFCC"/>
      <color rgb="FFFC6C6C"/>
      <color rgb="FFFA99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3566160</xdr:colOff>
          <xdr:row>33</xdr:row>
          <xdr:rowOff>38100</xdr:rowOff>
        </xdr:from>
        <xdr:to>
          <xdr:col>1</xdr:col>
          <xdr:colOff>6096000</xdr:colOff>
          <xdr:row>33</xdr:row>
          <xdr:rowOff>312420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Input Sheet</a:t>
              </a:r>
            </a:p>
          </xdr:txBody>
        </xdr:sp>
        <xdr:clientData fPrintsWithSheet="0"/>
      </xdr:twoCellAnchor>
    </mc:Choice>
    <mc:Fallback/>
  </mc:AlternateContent>
  <xdr:oneCellAnchor>
    <xdr:from>
      <xdr:col>1</xdr:col>
      <xdr:colOff>38100</xdr:colOff>
      <xdr:row>22</xdr:row>
      <xdr:rowOff>85725</xdr:rowOff>
    </xdr:from>
    <xdr:ext cx="4296375" cy="266737"/>
    <xdr:pic>
      <xdr:nvPicPr>
        <xdr:cNvPr id="2" name="Picture 1">
          <a:extLst>
            <a:ext uri="{FF2B5EF4-FFF2-40B4-BE49-F238E27FC236}">
              <a16:creationId xmlns:a16="http://schemas.microsoft.com/office/drawing/2014/main" id="{E8146D2B-E40C-4CC3-B23B-CFE9E875CBA5}"/>
            </a:ext>
          </a:extLst>
        </xdr:cNvPr>
        <xdr:cNvPicPr>
          <a:picLocks noChangeAspect="1"/>
        </xdr:cNvPicPr>
      </xdr:nvPicPr>
      <xdr:blipFill>
        <a:blip xmlns:r="http://schemas.openxmlformats.org/officeDocument/2006/relationships" r:embed="rId1"/>
        <a:stretch>
          <a:fillRect/>
        </a:stretch>
      </xdr:blipFill>
      <xdr:spPr>
        <a:xfrm>
          <a:off x="670560" y="6814185"/>
          <a:ext cx="4296375" cy="266737"/>
        </a:xfrm>
        <a:prstGeom prst="rect">
          <a:avLst/>
        </a:prstGeom>
      </xdr:spPr>
    </xdr:pic>
    <xdr:clientData/>
  </xdr:oneCellAnchor>
  <xdr:oneCellAnchor>
    <xdr:from>
      <xdr:col>1</xdr:col>
      <xdr:colOff>76200</xdr:colOff>
      <xdr:row>25</xdr:row>
      <xdr:rowOff>38100</xdr:rowOff>
    </xdr:from>
    <xdr:ext cx="3886742" cy="1676634"/>
    <xdr:pic>
      <xdr:nvPicPr>
        <xdr:cNvPr id="3" name="Picture 2">
          <a:extLst>
            <a:ext uri="{FF2B5EF4-FFF2-40B4-BE49-F238E27FC236}">
              <a16:creationId xmlns:a16="http://schemas.microsoft.com/office/drawing/2014/main" id="{D6B0BC79-5755-4A78-B8B0-5741461434B3}"/>
            </a:ext>
          </a:extLst>
        </xdr:cNvPr>
        <xdr:cNvPicPr>
          <a:picLocks noChangeAspect="1"/>
        </xdr:cNvPicPr>
      </xdr:nvPicPr>
      <xdr:blipFill>
        <a:blip xmlns:r="http://schemas.openxmlformats.org/officeDocument/2006/relationships" r:embed="rId2"/>
        <a:stretch>
          <a:fillRect/>
        </a:stretch>
      </xdr:blipFill>
      <xdr:spPr>
        <a:xfrm>
          <a:off x="708660" y="7757160"/>
          <a:ext cx="3886742" cy="1676634"/>
        </a:xfrm>
        <a:prstGeom prst="rect">
          <a:avLst/>
        </a:prstGeom>
      </xdr:spPr>
    </xdr:pic>
    <xdr:clientData/>
  </xdr:oneCellAnchor>
  <xdr:oneCellAnchor>
    <xdr:from>
      <xdr:col>1</xdr:col>
      <xdr:colOff>20295</xdr:colOff>
      <xdr:row>1</xdr:row>
      <xdr:rowOff>20708</xdr:rowOff>
    </xdr:from>
    <xdr:ext cx="1092225" cy="477377"/>
    <xdr:pic>
      <xdr:nvPicPr>
        <xdr:cNvPr id="4" name="Picture 3" descr="TDOT Logos">
          <a:extLst>
            <a:ext uri="{FF2B5EF4-FFF2-40B4-BE49-F238E27FC236}">
              <a16:creationId xmlns:a16="http://schemas.microsoft.com/office/drawing/2014/main" id="{F45A5888-9032-4E19-800B-76CB88E1590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2755" y="211208"/>
          <a:ext cx="1092225" cy="4773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4971498</xdr:colOff>
      <xdr:row>1</xdr:row>
      <xdr:rowOff>15654</xdr:rowOff>
    </xdr:from>
    <xdr:ext cx="1312380" cy="245413"/>
    <xdr:pic>
      <xdr:nvPicPr>
        <xdr:cNvPr id="5" name="Picture 4" descr="Johnson City Center | ETSU - TSBDC | Tennessee Small Business Development Centers">
          <a:extLst>
            <a:ext uri="{FF2B5EF4-FFF2-40B4-BE49-F238E27FC236}">
              <a16:creationId xmlns:a16="http://schemas.microsoft.com/office/drawing/2014/main" id="{0E70490E-0EEB-4FE4-A913-86B7A373DE4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03958" y="206154"/>
          <a:ext cx="1312380" cy="2454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1</xdr:col>
          <xdr:colOff>3550920</xdr:colOff>
          <xdr:row>37</xdr:row>
          <xdr:rowOff>38100</xdr:rowOff>
        </xdr:from>
        <xdr:to>
          <xdr:col>1</xdr:col>
          <xdr:colOff>6088380</xdr:colOff>
          <xdr:row>37</xdr:row>
          <xdr:rowOff>312420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Options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3528060</xdr:colOff>
          <xdr:row>41</xdr:row>
          <xdr:rowOff>45720</xdr:rowOff>
        </xdr:from>
        <xdr:to>
          <xdr:col>1</xdr:col>
          <xdr:colOff>6065520</xdr:colOff>
          <xdr:row>41</xdr:row>
          <xdr:rowOff>327660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Bundling Compatability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754380</xdr:colOff>
          <xdr:row>6</xdr:row>
          <xdr:rowOff>45720</xdr:rowOff>
        </xdr:from>
        <xdr:to>
          <xdr:col>3</xdr:col>
          <xdr:colOff>1135380</xdr:colOff>
          <xdr:row>8</xdr:row>
          <xdr:rowOff>160020</xdr:rowOff>
        </xdr:to>
        <xdr:sp macro="" textlink="">
          <xdr:nvSpPr>
            <xdr:cNvPr id="2165" name="Button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Reset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1470660</xdr:colOff>
          <xdr:row>6</xdr:row>
          <xdr:rowOff>45720</xdr:rowOff>
        </xdr:from>
        <xdr:to>
          <xdr:col>4</xdr:col>
          <xdr:colOff>1066800</xdr:colOff>
          <xdr:row>8</xdr:row>
          <xdr:rowOff>160020</xdr:rowOff>
        </xdr:to>
        <xdr:sp macro="" textlink="">
          <xdr:nvSpPr>
            <xdr:cNvPr id="2168" name="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Map Treatments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327660</xdr:colOff>
          <xdr:row>6</xdr:row>
          <xdr:rowOff>45720</xdr:rowOff>
        </xdr:from>
        <xdr:to>
          <xdr:col>6</xdr:col>
          <xdr:colOff>708660</xdr:colOff>
          <xdr:row>8</xdr:row>
          <xdr:rowOff>160020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Undo Treatment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1051560</xdr:colOff>
          <xdr:row>6</xdr:row>
          <xdr:rowOff>45720</xdr:rowOff>
        </xdr:from>
        <xdr:to>
          <xdr:col>8</xdr:col>
          <xdr:colOff>342900</xdr:colOff>
          <xdr:row>8</xdr:row>
          <xdr:rowOff>160020</xdr:rowOff>
        </xdr:to>
        <xdr:sp macro="" textlink="">
          <xdr:nvSpPr>
            <xdr:cNvPr id="2172" name="Button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Focused </a:t>
              </a:r>
            </a:p>
            <a:p>
              <a:pPr algn="ctr" rtl="0">
                <a:defRPr sz="1000"/>
              </a:pPr>
              <a:r>
                <a:rPr lang="en-US" sz="1200" b="1" i="0" u="none" strike="noStrike" baseline="0">
                  <a:solidFill>
                    <a:srgbClr val="800000"/>
                  </a:solidFill>
                  <a:latin typeface="Aptos Narrow"/>
                </a:rPr>
                <a:t>Bundling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685800</xdr:colOff>
          <xdr:row>6</xdr:row>
          <xdr:rowOff>45720</xdr:rowOff>
        </xdr:from>
        <xdr:to>
          <xdr:col>9</xdr:col>
          <xdr:colOff>1066800</xdr:colOff>
          <xdr:row>8</xdr:row>
          <xdr:rowOff>160020</xdr:rowOff>
        </xdr:to>
        <xdr:sp macro="" textlink="">
          <xdr:nvSpPr>
            <xdr:cNvPr id="2174" name="Button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Comprehensive Bundling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6</xdr:row>
          <xdr:rowOff>45720</xdr:rowOff>
        </xdr:from>
        <xdr:to>
          <xdr:col>2</xdr:col>
          <xdr:colOff>411480</xdr:colOff>
          <xdr:row>8</xdr:row>
          <xdr:rowOff>160020</xdr:rowOff>
        </xdr:to>
        <xdr:sp macro="" textlink="">
          <xdr:nvSpPr>
            <xdr:cNvPr id="2184" name="Button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6</xdr:row>
          <xdr:rowOff>60960</xdr:rowOff>
        </xdr:from>
        <xdr:to>
          <xdr:col>11</xdr:col>
          <xdr:colOff>434340</xdr:colOff>
          <xdr:row>8</xdr:row>
          <xdr:rowOff>175260</xdr:rowOff>
        </xdr:to>
        <xdr:sp macro="" textlink="">
          <xdr:nvSpPr>
            <xdr:cNvPr id="2186" name="Button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800000"/>
                  </a:solidFill>
                  <a:latin typeface="Aptos Narrow"/>
                </a:rPr>
                <a:t>Super </a:t>
              </a:r>
            </a:p>
            <a:p>
              <a:pPr algn="ctr" rtl="0">
                <a:defRPr sz="1000"/>
              </a:pPr>
              <a:r>
                <a:rPr lang="en-US" sz="1200" b="1" i="0" u="none" strike="noStrike" baseline="0">
                  <a:solidFill>
                    <a:srgbClr val="800000"/>
                  </a:solidFill>
                  <a:latin typeface="Aptos Narrow"/>
                </a:rPr>
                <a:t>Validation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Downloads\2025.06.23%20Automated%20Maintenance%20Project%20Bundling%20(AMPB)%20Tool%20v0.54.xlsm" TargetMode="External"/><Relationship Id="rId1" Type="http://schemas.openxmlformats.org/officeDocument/2006/relationships/externalLinkPath" Target="file:///C:\Users\david\Downloads\2025.06.23%20Automated%20Maintenance%20Project%20Bundling%20(AMPB)%20Tool%20v0.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
      <sheetName val="Main"/>
      <sheetName val="StatusPage"/>
      <sheetName val="Options"/>
      <sheetName val="TreatmentComponentInfo"/>
      <sheetName val="Xtra_Main_Validation"/>
      <sheetName val="Xtra_Tasks_Changelog"/>
      <sheetName val="TreatmentMappingMatrix"/>
      <sheetName val="PrimaryTreatmentCompScores"/>
      <sheetName val="SecondaryTreatmentCompScores"/>
      <sheetName val="OverlayTreatmentCompScores"/>
      <sheetName val="CountyDistanceMatrix"/>
      <sheetName val="LocationDistanceScores"/>
      <sheetName val="RegionMultiplierMatrix"/>
      <sheetName val="AsphaltMixPlantMatrix"/>
      <sheetName val="AsphaltMixPlantCompScores"/>
      <sheetName val="LaneMileMatrix"/>
      <sheetName val="CostMatrix"/>
      <sheetName val="Xtra_MainDataBackup"/>
      <sheetName val="Xtra_TemplateForData"/>
      <sheetName val="CountyRegionMatrix"/>
      <sheetName val="RecommendedBundles_Sample"/>
      <sheetName val="MatchExplorer_Sample"/>
      <sheetName val="Xtra_Validation_Date_Sample"/>
      <sheetName val="RecommendedBundles_Template"/>
      <sheetName val="RecommendedBundles"/>
      <sheetName val="RecommendedBundles_3"/>
      <sheetName val="Validation_Result"/>
      <sheetName val="RecommendedBundles_1"/>
      <sheetName val="Validation_Result_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9">
          <cell r="C9" t="str">
            <v>Anderson</v>
          </cell>
        </row>
        <row r="10">
          <cell r="C10" t="str">
            <v>Bedford</v>
          </cell>
        </row>
        <row r="11">
          <cell r="C11" t="str">
            <v>Benton</v>
          </cell>
        </row>
        <row r="12">
          <cell r="C12" t="str">
            <v>Bledsoe</v>
          </cell>
        </row>
        <row r="13">
          <cell r="C13" t="str">
            <v>Blount</v>
          </cell>
        </row>
        <row r="14">
          <cell r="C14" t="str">
            <v>Bradley</v>
          </cell>
        </row>
        <row r="15">
          <cell r="C15" t="str">
            <v>Campbell</v>
          </cell>
        </row>
        <row r="16">
          <cell r="C16" t="str">
            <v>Cannon</v>
          </cell>
        </row>
        <row r="17">
          <cell r="C17" t="str">
            <v>Carroll</v>
          </cell>
        </row>
        <row r="18">
          <cell r="C18" t="str">
            <v>Carter</v>
          </cell>
        </row>
        <row r="19">
          <cell r="C19" t="str">
            <v>Cheatham</v>
          </cell>
        </row>
        <row r="20">
          <cell r="C20" t="str">
            <v>Chester</v>
          </cell>
        </row>
        <row r="21">
          <cell r="C21" t="str">
            <v>Claiborne</v>
          </cell>
        </row>
        <row r="22">
          <cell r="C22" t="str">
            <v>Clay</v>
          </cell>
        </row>
        <row r="23">
          <cell r="C23" t="str">
            <v>Cocke</v>
          </cell>
        </row>
        <row r="24">
          <cell r="C24" t="str">
            <v>Coffee</v>
          </cell>
        </row>
        <row r="25">
          <cell r="C25" t="str">
            <v>Crockett</v>
          </cell>
        </row>
        <row r="26">
          <cell r="C26" t="str">
            <v>Cumberland</v>
          </cell>
        </row>
        <row r="27">
          <cell r="C27" t="str">
            <v>Davidson</v>
          </cell>
        </row>
        <row r="28">
          <cell r="C28" t="str">
            <v>Decatur</v>
          </cell>
        </row>
        <row r="29">
          <cell r="C29" t="str">
            <v>DeKalb</v>
          </cell>
        </row>
        <row r="30">
          <cell r="C30" t="str">
            <v>Dickson</v>
          </cell>
        </row>
        <row r="31">
          <cell r="C31" t="str">
            <v>Dyer</v>
          </cell>
        </row>
        <row r="32">
          <cell r="C32" t="str">
            <v>Fayette</v>
          </cell>
        </row>
        <row r="33">
          <cell r="C33" t="str">
            <v>Fentress</v>
          </cell>
        </row>
        <row r="34">
          <cell r="C34" t="str">
            <v>Franklin</v>
          </cell>
        </row>
        <row r="35">
          <cell r="C35" t="str">
            <v>Gibson</v>
          </cell>
        </row>
        <row r="36">
          <cell r="C36" t="str">
            <v>Giles</v>
          </cell>
        </row>
        <row r="37">
          <cell r="C37" t="str">
            <v>Grainger</v>
          </cell>
        </row>
        <row r="38">
          <cell r="C38" t="str">
            <v>Greene</v>
          </cell>
        </row>
        <row r="39">
          <cell r="C39" t="str">
            <v>Grundy</v>
          </cell>
        </row>
        <row r="40">
          <cell r="C40" t="str">
            <v>Hamblen</v>
          </cell>
        </row>
        <row r="41">
          <cell r="C41" t="str">
            <v>Hamilton</v>
          </cell>
        </row>
        <row r="42">
          <cell r="C42" t="str">
            <v>Hancock</v>
          </cell>
        </row>
        <row r="43">
          <cell r="C43" t="str">
            <v>Hardeman</v>
          </cell>
        </row>
        <row r="44">
          <cell r="C44" t="str">
            <v>Hardin</v>
          </cell>
        </row>
        <row r="45">
          <cell r="C45" t="str">
            <v>Hawkins</v>
          </cell>
        </row>
        <row r="46">
          <cell r="C46" t="str">
            <v>Haywood</v>
          </cell>
        </row>
        <row r="47">
          <cell r="C47" t="str">
            <v>Henderson</v>
          </cell>
        </row>
        <row r="48">
          <cell r="C48" t="str">
            <v>Henry</v>
          </cell>
        </row>
        <row r="49">
          <cell r="C49" t="str">
            <v>Hickman</v>
          </cell>
        </row>
        <row r="50">
          <cell r="C50" t="str">
            <v>Houston</v>
          </cell>
        </row>
        <row r="51">
          <cell r="C51" t="str">
            <v>Humphreys</v>
          </cell>
        </row>
        <row r="52">
          <cell r="C52" t="str">
            <v>Jackson</v>
          </cell>
        </row>
        <row r="53">
          <cell r="C53" t="str">
            <v>Jefferson</v>
          </cell>
        </row>
        <row r="54">
          <cell r="C54" t="str">
            <v>Johnson</v>
          </cell>
        </row>
        <row r="55">
          <cell r="C55" t="str">
            <v>Knox</v>
          </cell>
        </row>
        <row r="56">
          <cell r="C56" t="str">
            <v>Lake</v>
          </cell>
        </row>
        <row r="57">
          <cell r="C57" t="str">
            <v>Lauderdale</v>
          </cell>
        </row>
        <row r="58">
          <cell r="C58" t="str">
            <v>Lawrence</v>
          </cell>
        </row>
        <row r="59">
          <cell r="C59" t="str">
            <v>Lewis</v>
          </cell>
        </row>
        <row r="60">
          <cell r="C60" t="str">
            <v>Lincoln</v>
          </cell>
        </row>
        <row r="61">
          <cell r="C61" t="str">
            <v>Loudon</v>
          </cell>
        </row>
        <row r="62">
          <cell r="C62" t="str">
            <v>McMinn</v>
          </cell>
        </row>
        <row r="63">
          <cell r="C63" t="str">
            <v>McNairy</v>
          </cell>
        </row>
        <row r="64">
          <cell r="C64" t="str">
            <v>Macon</v>
          </cell>
        </row>
        <row r="65">
          <cell r="C65" t="str">
            <v>Madison</v>
          </cell>
        </row>
        <row r="66">
          <cell r="C66" t="str">
            <v>Marion</v>
          </cell>
        </row>
        <row r="67">
          <cell r="C67" t="str">
            <v>Marshall</v>
          </cell>
        </row>
        <row r="68">
          <cell r="C68" t="str">
            <v>Maury</v>
          </cell>
        </row>
        <row r="69">
          <cell r="C69" t="str">
            <v>Meigs</v>
          </cell>
        </row>
        <row r="70">
          <cell r="C70" t="str">
            <v>Monroe</v>
          </cell>
        </row>
        <row r="71">
          <cell r="C71" t="str">
            <v>Montgomery</v>
          </cell>
        </row>
        <row r="72">
          <cell r="C72" t="str">
            <v>Moore</v>
          </cell>
        </row>
        <row r="73">
          <cell r="C73" t="str">
            <v>Morgan</v>
          </cell>
        </row>
        <row r="74">
          <cell r="C74" t="str">
            <v>Obion</v>
          </cell>
        </row>
        <row r="75">
          <cell r="C75" t="str">
            <v>Overton</v>
          </cell>
        </row>
        <row r="76">
          <cell r="C76" t="str">
            <v>Perry</v>
          </cell>
        </row>
        <row r="77">
          <cell r="C77" t="str">
            <v>Pickett</v>
          </cell>
        </row>
        <row r="78">
          <cell r="C78" t="str">
            <v>Polk</v>
          </cell>
        </row>
        <row r="79">
          <cell r="C79" t="str">
            <v>Putnam</v>
          </cell>
        </row>
        <row r="80">
          <cell r="C80" t="str">
            <v>Rhea</v>
          </cell>
        </row>
        <row r="81">
          <cell r="C81" t="str">
            <v>Roane</v>
          </cell>
        </row>
        <row r="82">
          <cell r="C82" t="str">
            <v>Robertson</v>
          </cell>
        </row>
        <row r="83">
          <cell r="C83" t="str">
            <v>Rutherford</v>
          </cell>
        </row>
        <row r="84">
          <cell r="C84" t="str">
            <v>Scott</v>
          </cell>
        </row>
        <row r="85">
          <cell r="C85" t="str">
            <v>Sequatchie</v>
          </cell>
        </row>
        <row r="86">
          <cell r="C86" t="str">
            <v>Sevier</v>
          </cell>
        </row>
        <row r="87">
          <cell r="C87" t="str">
            <v>Shelby</v>
          </cell>
        </row>
        <row r="88">
          <cell r="C88" t="str">
            <v>Smith</v>
          </cell>
        </row>
        <row r="89">
          <cell r="C89" t="str">
            <v>Stewart</v>
          </cell>
        </row>
        <row r="90">
          <cell r="C90" t="str">
            <v>Sullivan</v>
          </cell>
        </row>
        <row r="91">
          <cell r="C91" t="str">
            <v>Sumner</v>
          </cell>
        </row>
        <row r="92">
          <cell r="C92" t="str">
            <v>Tipton</v>
          </cell>
        </row>
        <row r="93">
          <cell r="C93" t="str">
            <v>Trousdale</v>
          </cell>
        </row>
        <row r="94">
          <cell r="C94" t="str">
            <v>Unicoi</v>
          </cell>
        </row>
        <row r="95">
          <cell r="C95" t="str">
            <v>Union</v>
          </cell>
        </row>
        <row r="96">
          <cell r="C96" t="str">
            <v>Van Buren</v>
          </cell>
        </row>
        <row r="97">
          <cell r="C97" t="str">
            <v>Warren</v>
          </cell>
        </row>
        <row r="98">
          <cell r="C98" t="str">
            <v>Washington</v>
          </cell>
        </row>
        <row r="99">
          <cell r="C99" t="str">
            <v>Wayne</v>
          </cell>
        </row>
        <row r="100">
          <cell r="C100" t="str">
            <v>Weakley</v>
          </cell>
        </row>
        <row r="101">
          <cell r="C101" t="str">
            <v>White</v>
          </cell>
        </row>
        <row r="102">
          <cell r="C102" t="str">
            <v>Williamson</v>
          </cell>
        </row>
        <row r="103">
          <cell r="C103" t="str">
            <v>Wilson</v>
          </cell>
        </row>
        <row r="104">
          <cell r="C104" t="str">
            <v>None</v>
          </cell>
        </row>
      </sheetData>
      <sheetData sheetId="21"/>
      <sheetData sheetId="22"/>
      <sheetData sheetId="23"/>
      <sheetData sheetId="24"/>
      <sheetData sheetId="25"/>
      <sheetData sheetId="26"/>
      <sheetData sheetId="27"/>
      <sheetData sheetId="28"/>
      <sheetData sheetId="29"/>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6AFF7-157F-4D7B-8D0A-5BDF44F92882}">
  <sheetPr codeName="Sheet1"/>
  <dimension ref="B1:H69"/>
  <sheetViews>
    <sheetView workbookViewId="0">
      <selection activeCell="D5" sqref="D5"/>
    </sheetView>
  </sheetViews>
  <sheetFormatPr defaultColWidth="9.33203125" defaultRowHeight="14.4" x14ac:dyDescent="0.3"/>
  <cols>
    <col min="1" max="1" width="9.33203125" style="2"/>
    <col min="2" max="2" width="92.33203125" style="2" customWidth="1"/>
    <col min="3" max="16384" width="9.33203125" style="2"/>
  </cols>
  <sheetData>
    <row r="1" spans="2:8" ht="15" thickBot="1" x14ac:dyDescent="0.35"/>
    <row r="2" spans="2:8" ht="145.94999999999999" customHeight="1" thickBot="1" x14ac:dyDescent="0.35">
      <c r="B2" s="3" t="s">
        <v>17</v>
      </c>
      <c r="C2" s="4"/>
    </row>
    <row r="5" spans="2:8" ht="25.95" customHeight="1" thickBot="1" x14ac:dyDescent="0.35">
      <c r="B5" s="5" t="s">
        <v>0</v>
      </c>
    </row>
    <row r="6" spans="2:8" ht="10.95" customHeight="1" thickTop="1" x14ac:dyDescent="0.3">
      <c r="B6" s="6"/>
    </row>
    <row r="7" spans="2:8" x14ac:dyDescent="0.3">
      <c r="B7" s="7" t="s">
        <v>243</v>
      </c>
    </row>
    <row r="8" spans="2:8" x14ac:dyDescent="0.3">
      <c r="B8" s="6" t="s">
        <v>1</v>
      </c>
      <c r="F8" s="1"/>
      <c r="G8" s="1"/>
      <c r="H8" s="123"/>
    </row>
    <row r="9" spans="2:8" x14ac:dyDescent="0.3">
      <c r="B9" s="6" t="s">
        <v>2</v>
      </c>
      <c r="F9" s="1"/>
      <c r="G9" s="1"/>
      <c r="H9" s="123"/>
    </row>
    <row r="10" spans="2:8" x14ac:dyDescent="0.3">
      <c r="B10" s="6" t="s">
        <v>3</v>
      </c>
      <c r="F10" s="1"/>
      <c r="G10" s="1"/>
      <c r="H10" s="123"/>
    </row>
    <row r="11" spans="2:8" x14ac:dyDescent="0.3">
      <c r="B11" s="6" t="s">
        <v>4</v>
      </c>
      <c r="F11" s="1"/>
      <c r="G11" s="1"/>
      <c r="H11" s="123"/>
    </row>
    <row r="12" spans="2:8" x14ac:dyDescent="0.3">
      <c r="B12" s="6" t="s">
        <v>5</v>
      </c>
      <c r="F12" s="1"/>
      <c r="G12" s="1"/>
      <c r="H12" s="123"/>
    </row>
    <row r="13" spans="2:8" x14ac:dyDescent="0.3">
      <c r="B13" s="6" t="s">
        <v>6</v>
      </c>
    </row>
    <row r="14" spans="2:8" ht="13.2" customHeight="1" x14ac:dyDescent="0.3">
      <c r="B14" s="8"/>
    </row>
    <row r="17" spans="2:2" ht="64.2" customHeight="1" x14ac:dyDescent="0.3">
      <c r="B17" s="9" t="s">
        <v>19</v>
      </c>
    </row>
    <row r="20" spans="2:2" ht="25.5" customHeight="1" thickBot="1" x14ac:dyDescent="0.35">
      <c r="B20" s="5" t="s">
        <v>7</v>
      </c>
    </row>
    <row r="21" spans="2:2" ht="15" thickTop="1" x14ac:dyDescent="0.3">
      <c r="B21" s="10"/>
    </row>
    <row r="22" spans="2:2" ht="28.8" x14ac:dyDescent="0.3">
      <c r="B22" s="10" t="s">
        <v>8</v>
      </c>
    </row>
    <row r="23" spans="2:2" ht="35.25" customHeight="1" x14ac:dyDescent="0.3">
      <c r="B23" s="10"/>
    </row>
    <row r="24" spans="2:2" x14ac:dyDescent="0.3">
      <c r="B24" s="10"/>
    </row>
    <row r="25" spans="2:2" ht="28.8" x14ac:dyDescent="0.3">
      <c r="B25" s="10" t="s">
        <v>18</v>
      </c>
    </row>
    <row r="26" spans="2:2" ht="142.5" customHeight="1" x14ac:dyDescent="0.3">
      <c r="B26" s="11"/>
    </row>
    <row r="27" spans="2:2" x14ac:dyDescent="0.3">
      <c r="B27" s="12"/>
    </row>
    <row r="28" spans="2:2" x14ac:dyDescent="0.3">
      <c r="B28" s="12"/>
    </row>
    <row r="29" spans="2:2" ht="25.95" customHeight="1" thickBot="1" x14ac:dyDescent="0.35">
      <c r="B29" s="5" t="s">
        <v>239</v>
      </c>
    </row>
    <row r="30" spans="2:2" ht="96.6" customHeight="1" thickTop="1" x14ac:dyDescent="0.3">
      <c r="B30" s="77" t="s">
        <v>241</v>
      </c>
    </row>
    <row r="31" spans="2:2" ht="18" customHeight="1" x14ac:dyDescent="0.3">
      <c r="B31" s="13"/>
    </row>
    <row r="32" spans="2:2" ht="18" customHeight="1" thickBot="1" x14ac:dyDescent="0.35">
      <c r="B32" s="14" t="s">
        <v>9</v>
      </c>
    </row>
    <row r="33" spans="2:2" ht="15.6" thickTop="1" thickBot="1" x14ac:dyDescent="0.35">
      <c r="B33" s="12"/>
    </row>
    <row r="34" spans="2:2" ht="27.75" customHeight="1" thickBot="1" x14ac:dyDescent="0.35">
      <c r="B34" s="15" t="s">
        <v>238</v>
      </c>
    </row>
    <row r="35" spans="2:2" ht="351.6" customHeight="1" thickTop="1" x14ac:dyDescent="0.3">
      <c r="B35" s="16" t="s">
        <v>257</v>
      </c>
    </row>
    <row r="36" spans="2:2" ht="15" thickBot="1" x14ac:dyDescent="0.35">
      <c r="B36" s="17"/>
    </row>
    <row r="37" spans="2:2" ht="15" thickBot="1" x14ac:dyDescent="0.35">
      <c r="B37" s="12"/>
    </row>
    <row r="38" spans="2:2" ht="29.7" customHeight="1" thickBot="1" x14ac:dyDescent="0.35">
      <c r="B38" s="18" t="s">
        <v>178</v>
      </c>
    </row>
    <row r="39" spans="2:2" ht="15" thickTop="1" x14ac:dyDescent="0.3">
      <c r="B39" s="16"/>
    </row>
    <row r="40" spans="2:2" ht="172.95" customHeight="1" thickBot="1" x14ac:dyDescent="0.35">
      <c r="B40" s="78" t="s">
        <v>242</v>
      </c>
    </row>
    <row r="41" spans="2:2" ht="15" thickBot="1" x14ac:dyDescent="0.35">
      <c r="B41" s="12"/>
    </row>
    <row r="42" spans="2:2" ht="28.5" customHeight="1" thickBot="1" x14ac:dyDescent="0.35">
      <c r="B42" s="19" t="s">
        <v>168</v>
      </c>
    </row>
    <row r="43" spans="2:2" ht="267.60000000000002" customHeight="1" thickTop="1" x14ac:dyDescent="0.3">
      <c r="B43" s="16" t="s">
        <v>240</v>
      </c>
    </row>
    <row r="44" spans="2:2" ht="15" thickBot="1" x14ac:dyDescent="0.35">
      <c r="B44" s="17"/>
    </row>
    <row r="45" spans="2:2" x14ac:dyDescent="0.3">
      <c r="B45" s="12"/>
    </row>
    <row r="46" spans="2:2" ht="26.7" customHeight="1" x14ac:dyDescent="0.3">
      <c r="B46" s="1"/>
    </row>
    <row r="47" spans="2:2" x14ac:dyDescent="0.3">
      <c r="B47" s="1"/>
    </row>
    <row r="48" spans="2:2" x14ac:dyDescent="0.3">
      <c r="B48" s="1"/>
    </row>
    <row r="49" spans="2:2" x14ac:dyDescent="0.3">
      <c r="B49" s="1"/>
    </row>
    <row r="50" spans="2:2" ht="26.7" customHeight="1" x14ac:dyDescent="0.3">
      <c r="B50" s="1"/>
    </row>
    <row r="51" spans="2:2" x14ac:dyDescent="0.3">
      <c r="B51" s="1"/>
    </row>
    <row r="52" spans="2:2" x14ac:dyDescent="0.3">
      <c r="B52" s="1"/>
    </row>
    <row r="53" spans="2:2" x14ac:dyDescent="0.3">
      <c r="B53" s="1"/>
    </row>
    <row r="54" spans="2:2" ht="26.7" customHeight="1" x14ac:dyDescent="0.3">
      <c r="B54" s="1"/>
    </row>
    <row r="55" spans="2:2" x14ac:dyDescent="0.3">
      <c r="B55" s="1"/>
    </row>
    <row r="56" spans="2:2" x14ac:dyDescent="0.3">
      <c r="B56" s="1"/>
    </row>
    <row r="57" spans="2:2" x14ac:dyDescent="0.3">
      <c r="B57" s="1"/>
    </row>
    <row r="58" spans="2:2" ht="25.2" customHeight="1" x14ac:dyDescent="0.3">
      <c r="B58" s="1"/>
    </row>
    <row r="59" spans="2:2" x14ac:dyDescent="0.3">
      <c r="B59" s="1"/>
    </row>
    <row r="60" spans="2:2" x14ac:dyDescent="0.3">
      <c r="B60" s="1"/>
    </row>
    <row r="61" spans="2:2" x14ac:dyDescent="0.3">
      <c r="B61" s="12"/>
    </row>
    <row r="62" spans="2:2" ht="15" thickBot="1" x14ac:dyDescent="0.35"/>
    <row r="63" spans="2:2" ht="18" thickBot="1" x14ac:dyDescent="0.35">
      <c r="B63" s="20" t="s">
        <v>10</v>
      </c>
    </row>
    <row r="64" spans="2:2" ht="15" thickTop="1" x14ac:dyDescent="0.3">
      <c r="B64" s="21" t="s">
        <v>11</v>
      </c>
    </row>
    <row r="65" spans="2:2" x14ac:dyDescent="0.3">
      <c r="B65" s="22" t="s">
        <v>12</v>
      </c>
    </row>
    <row r="66" spans="2:2" x14ac:dyDescent="0.3">
      <c r="B66" s="23" t="s">
        <v>13</v>
      </c>
    </row>
    <row r="67" spans="2:2" ht="15" thickBot="1" x14ac:dyDescent="0.35">
      <c r="B67" s="24" t="s">
        <v>14</v>
      </c>
    </row>
    <row r="68" spans="2:2" ht="15" thickBot="1" x14ac:dyDescent="0.35">
      <c r="B68" s="25" t="s">
        <v>15</v>
      </c>
    </row>
    <row r="69" spans="2:2" ht="15" thickBot="1" x14ac:dyDescent="0.35">
      <c r="B69" s="26" t="s">
        <v>16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nputSheet">
                <anchor moveWithCells="1" sizeWithCells="1">
                  <from>
                    <xdr:col>1</xdr:col>
                    <xdr:colOff>3566160</xdr:colOff>
                    <xdr:row>33</xdr:row>
                    <xdr:rowOff>38100</xdr:rowOff>
                  </from>
                  <to>
                    <xdr:col>1</xdr:col>
                    <xdr:colOff>6096000</xdr:colOff>
                    <xdr:row>33</xdr:row>
                    <xdr:rowOff>312420</xdr:rowOff>
                  </to>
                </anchor>
              </controlPr>
            </control>
          </mc:Choice>
        </mc:AlternateContent>
        <mc:AlternateContent xmlns:mc="http://schemas.openxmlformats.org/markup-compatibility/2006">
          <mc:Choice Requires="x14">
            <control shapeId="1026" r:id="rId4" name="Button 2">
              <controlPr defaultSize="0" print="0" autoFill="0" autoPict="0" macro="[0]!OptionsSheet">
                <anchor moveWithCells="1" sizeWithCells="1">
                  <from>
                    <xdr:col>1</xdr:col>
                    <xdr:colOff>3550920</xdr:colOff>
                    <xdr:row>37</xdr:row>
                    <xdr:rowOff>38100</xdr:rowOff>
                  </from>
                  <to>
                    <xdr:col>1</xdr:col>
                    <xdr:colOff>6088380</xdr:colOff>
                    <xdr:row>37</xdr:row>
                    <xdr:rowOff>312420</xdr:rowOff>
                  </to>
                </anchor>
              </controlPr>
            </control>
          </mc:Choice>
        </mc:AlternateContent>
        <mc:AlternateContent xmlns:mc="http://schemas.openxmlformats.org/markup-compatibility/2006">
          <mc:Choice Requires="x14">
            <control shapeId="1027" r:id="rId5" name="Button 3">
              <controlPr defaultSize="0" print="0" autoFill="0" autoPict="0" macro="[0]!BundlingSheet">
                <anchor moveWithCells="1" sizeWithCells="1">
                  <from>
                    <xdr:col>1</xdr:col>
                    <xdr:colOff>3528060</xdr:colOff>
                    <xdr:row>41</xdr:row>
                    <xdr:rowOff>45720</xdr:rowOff>
                  </from>
                  <to>
                    <xdr:col>1</xdr:col>
                    <xdr:colOff>6065520</xdr:colOff>
                    <xdr:row>41</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5D00-D31E-43DD-831C-E15B59C880C8}">
  <sheetPr codeName="Sheet2"/>
  <dimension ref="B2:T235"/>
  <sheetViews>
    <sheetView tabSelected="1" zoomScaleNormal="100" workbookViewId="0">
      <selection activeCell="L20" sqref="L20"/>
    </sheetView>
  </sheetViews>
  <sheetFormatPr defaultColWidth="8.88671875" defaultRowHeight="14.4" x14ac:dyDescent="0.3"/>
  <cols>
    <col min="1" max="1" width="2.6640625" style="72" customWidth="1"/>
    <col min="2" max="2" width="7.6640625" style="73" customWidth="1"/>
    <col min="3" max="3" width="15.6640625" style="73" customWidth="1"/>
    <col min="4" max="4" width="27.33203125" style="74" customWidth="1"/>
    <col min="5" max="8" width="15.6640625" style="73" customWidth="1"/>
    <col min="9" max="9" width="15.6640625" style="75" customWidth="1"/>
    <col min="10" max="10" width="15.6640625" style="76" customWidth="1"/>
    <col min="11" max="11" width="17" style="73" customWidth="1"/>
    <col min="12" max="12" width="14.33203125" style="73" customWidth="1"/>
    <col min="13" max="13" width="13.44140625" style="106" customWidth="1"/>
    <col min="14" max="16384" width="8.88671875" style="72"/>
  </cols>
  <sheetData>
    <row r="2" spans="2:20" ht="21.6" thickBot="1" x14ac:dyDescent="0.35">
      <c r="B2" s="105" t="s">
        <v>256</v>
      </c>
      <c r="C2" s="101"/>
      <c r="D2" s="102"/>
      <c r="E2" s="101"/>
      <c r="F2" s="101"/>
      <c r="G2" s="101"/>
      <c r="H2" s="101"/>
      <c r="I2" s="103"/>
      <c r="J2" s="104"/>
    </row>
    <row r="3" spans="2:20" ht="14.4" customHeight="1" x14ac:dyDescent="0.3">
      <c r="B3" s="100"/>
      <c r="C3" s="100"/>
      <c r="D3" s="100"/>
      <c r="E3" s="100"/>
      <c r="F3" s="100"/>
      <c r="G3" s="100"/>
      <c r="H3" s="100"/>
      <c r="I3" s="100"/>
      <c r="J3" s="100"/>
    </row>
    <row r="4" spans="2:20" ht="14.4" customHeight="1" x14ac:dyDescent="0.3">
      <c r="B4" s="163" t="s">
        <v>258</v>
      </c>
      <c r="C4" s="163"/>
      <c r="D4" s="163"/>
      <c r="E4" s="163"/>
      <c r="F4" s="163"/>
      <c r="G4" s="163"/>
      <c r="H4" s="163"/>
      <c r="I4" s="163"/>
      <c r="J4" s="163"/>
      <c r="K4" s="74"/>
    </row>
    <row r="5" spans="2:20" x14ac:dyDescent="0.3">
      <c r="B5" s="163"/>
      <c r="C5" s="163"/>
      <c r="D5" s="163"/>
      <c r="E5" s="163"/>
      <c r="F5" s="163"/>
      <c r="G5" s="163"/>
      <c r="H5" s="163"/>
      <c r="I5" s="163"/>
      <c r="J5" s="163"/>
      <c r="K5" s="74"/>
    </row>
    <row r="6" spans="2:20" x14ac:dyDescent="0.3">
      <c r="B6" s="100"/>
      <c r="C6" s="100"/>
      <c r="D6" s="100"/>
      <c r="E6" s="100"/>
      <c r="F6" s="100"/>
      <c r="G6" s="100"/>
      <c r="H6" s="100"/>
      <c r="I6" s="100"/>
      <c r="J6" s="100"/>
    </row>
    <row r="10" spans="2:20" ht="15" thickBot="1" x14ac:dyDescent="0.35">
      <c r="K10" s="117"/>
      <c r="L10" s="117"/>
      <c r="M10" s="120"/>
      <c r="N10" s="1"/>
      <c r="O10" s="1"/>
      <c r="P10" s="1"/>
      <c r="Q10" s="1"/>
      <c r="R10" s="1"/>
      <c r="S10" s="1"/>
      <c r="T10" s="1"/>
    </row>
    <row r="11" spans="2:20" ht="16.2" thickBot="1" x14ac:dyDescent="0.35">
      <c r="B11" s="69" t="s">
        <v>179</v>
      </c>
      <c r="C11" s="69" t="s">
        <v>161</v>
      </c>
      <c r="D11" s="70" t="s">
        <v>237</v>
      </c>
      <c r="E11" s="70" t="s">
        <v>162</v>
      </c>
      <c r="F11" s="70" t="s">
        <v>163</v>
      </c>
      <c r="G11" s="70" t="s">
        <v>164</v>
      </c>
      <c r="H11" s="70" t="s">
        <v>155</v>
      </c>
      <c r="I11" s="71" t="s">
        <v>165</v>
      </c>
      <c r="J11" s="71" t="s">
        <v>166</v>
      </c>
      <c r="K11" s="161" t="s">
        <v>259</v>
      </c>
      <c r="L11" s="161" t="s">
        <v>260</v>
      </c>
      <c r="M11" s="162" t="s">
        <v>269</v>
      </c>
      <c r="N11" s="1"/>
      <c r="O11" s="1"/>
      <c r="P11" s="1"/>
      <c r="Q11" s="1"/>
      <c r="R11" s="1"/>
      <c r="S11" s="1"/>
      <c r="T11" s="1"/>
    </row>
    <row r="12" spans="2:20" x14ac:dyDescent="0.3">
      <c r="B12" s="73">
        <v>1</v>
      </c>
      <c r="C12" s="125" t="s">
        <v>359</v>
      </c>
      <c r="D12" s="124" t="s">
        <v>184</v>
      </c>
      <c r="E12" s="73" t="s">
        <v>25</v>
      </c>
      <c r="G12" s="73" t="s">
        <v>53</v>
      </c>
      <c r="H12" s="73" t="s">
        <v>129</v>
      </c>
      <c r="I12" s="75">
        <v>3.681</v>
      </c>
      <c r="J12" s="76">
        <v>549296.93999999994</v>
      </c>
      <c r="K12" s="118" t="s">
        <v>259</v>
      </c>
      <c r="L12" s="117" t="s">
        <v>658</v>
      </c>
      <c r="M12" s="121">
        <v>41320</v>
      </c>
      <c r="N12" s="1"/>
      <c r="O12" s="1"/>
      <c r="P12" s="1"/>
      <c r="Q12" s="1"/>
      <c r="R12" s="1"/>
      <c r="S12" s="1"/>
      <c r="T12" s="1"/>
    </row>
    <row r="13" spans="2:20" x14ac:dyDescent="0.3">
      <c r="B13" s="73">
        <v>2</v>
      </c>
      <c r="C13" s="125" t="s">
        <v>360</v>
      </c>
      <c r="D13" s="124" t="s">
        <v>184</v>
      </c>
      <c r="E13" s="73" t="s">
        <v>25</v>
      </c>
      <c r="G13" s="73" t="s">
        <v>53</v>
      </c>
      <c r="H13" s="73" t="s">
        <v>129</v>
      </c>
      <c r="I13" s="75">
        <v>7.1</v>
      </c>
      <c r="J13" s="76">
        <v>896227.76</v>
      </c>
      <c r="K13" s="118" t="s">
        <v>259</v>
      </c>
      <c r="L13" s="117" t="s">
        <v>658</v>
      </c>
      <c r="M13" s="121">
        <v>41320</v>
      </c>
      <c r="N13" s="1"/>
      <c r="O13" s="1"/>
      <c r="P13" s="1"/>
      <c r="Q13" s="1"/>
      <c r="R13" s="1"/>
      <c r="S13" s="1"/>
      <c r="T13" s="1"/>
    </row>
    <row r="14" spans="2:20" x14ac:dyDescent="0.3">
      <c r="B14" s="73">
        <v>3</v>
      </c>
      <c r="C14" s="125" t="s">
        <v>361</v>
      </c>
      <c r="D14" s="124" t="s">
        <v>654</v>
      </c>
      <c r="E14" s="73" t="s">
        <v>25</v>
      </c>
      <c r="G14" s="73" t="s">
        <v>214</v>
      </c>
      <c r="H14" s="73" t="s">
        <v>159</v>
      </c>
      <c r="I14" s="75">
        <v>8.7602499999999992</v>
      </c>
      <c r="J14" s="76">
        <v>1121990.25</v>
      </c>
      <c r="K14" s="118" t="s">
        <v>261</v>
      </c>
      <c r="L14" s="117" t="s">
        <v>659</v>
      </c>
      <c r="M14" s="121">
        <v>41320</v>
      </c>
      <c r="N14" s="1"/>
      <c r="O14" s="1"/>
      <c r="P14" s="1"/>
      <c r="Q14" s="1"/>
      <c r="R14" s="1"/>
      <c r="S14" s="1"/>
      <c r="T14" s="1"/>
    </row>
    <row r="15" spans="2:20" x14ac:dyDescent="0.3">
      <c r="B15" s="73">
        <v>4</v>
      </c>
      <c r="C15" s="125" t="s">
        <v>362</v>
      </c>
      <c r="D15" s="124" t="s">
        <v>655</v>
      </c>
      <c r="F15" s="73" t="s">
        <v>42</v>
      </c>
      <c r="G15" s="73" t="s">
        <v>214</v>
      </c>
      <c r="H15" s="73" t="s">
        <v>84</v>
      </c>
      <c r="I15" s="75">
        <v>12.28</v>
      </c>
      <c r="J15" s="76">
        <v>1690789.27</v>
      </c>
      <c r="K15" s="118" t="s">
        <v>261</v>
      </c>
      <c r="L15" s="117" t="s">
        <v>660</v>
      </c>
      <c r="M15" s="121">
        <v>41320</v>
      </c>
      <c r="N15" s="1"/>
      <c r="O15" s="1"/>
      <c r="P15" s="1"/>
      <c r="Q15" s="1"/>
      <c r="R15" s="1"/>
      <c r="S15" s="1"/>
      <c r="T15" s="1"/>
    </row>
    <row r="16" spans="2:20" x14ac:dyDescent="0.3">
      <c r="B16" s="73">
        <v>5</v>
      </c>
      <c r="C16" s="125" t="s">
        <v>363</v>
      </c>
      <c r="D16" s="125" t="s">
        <v>654</v>
      </c>
      <c r="E16" s="73" t="s">
        <v>25</v>
      </c>
      <c r="G16" s="73" t="s">
        <v>214</v>
      </c>
      <c r="H16" s="73" t="s">
        <v>75</v>
      </c>
      <c r="I16" s="75">
        <v>21.9648</v>
      </c>
      <c r="J16" s="76">
        <v>1859685.93</v>
      </c>
      <c r="K16" s="118" t="s">
        <v>259</v>
      </c>
      <c r="L16" s="117" t="s">
        <v>661</v>
      </c>
      <c r="M16" s="121">
        <v>41320</v>
      </c>
      <c r="N16" s="1"/>
      <c r="O16" s="1"/>
      <c r="P16" s="1"/>
      <c r="Q16" s="1"/>
      <c r="R16" s="1"/>
      <c r="S16" s="1"/>
      <c r="T16" s="1"/>
    </row>
    <row r="17" spans="2:20" ht="14.4" customHeight="1" x14ac:dyDescent="0.3">
      <c r="B17" s="73">
        <v>5</v>
      </c>
      <c r="C17" s="125" t="s">
        <v>364</v>
      </c>
      <c r="D17" s="125" t="s">
        <v>654</v>
      </c>
      <c r="E17" s="73" t="s">
        <v>25</v>
      </c>
      <c r="G17" s="73" t="s">
        <v>214</v>
      </c>
      <c r="H17" s="73" t="s">
        <v>148</v>
      </c>
      <c r="I17" s="75">
        <v>4.5125999999999999</v>
      </c>
      <c r="J17" s="76">
        <v>349190.21</v>
      </c>
      <c r="K17" s="118" t="s">
        <v>259</v>
      </c>
      <c r="L17" s="117" t="s">
        <v>661</v>
      </c>
      <c r="M17" s="121">
        <v>41320</v>
      </c>
      <c r="N17" s="1"/>
      <c r="O17" s="1"/>
      <c r="P17" s="1"/>
      <c r="Q17" s="1"/>
      <c r="R17" s="1"/>
      <c r="S17" s="1"/>
      <c r="T17" s="1"/>
    </row>
    <row r="18" spans="2:20" x14ac:dyDescent="0.3">
      <c r="B18" s="73">
        <v>6</v>
      </c>
      <c r="C18" s="125" t="s">
        <v>365</v>
      </c>
      <c r="D18" s="125" t="s">
        <v>656</v>
      </c>
      <c r="F18" s="73" t="s">
        <v>42</v>
      </c>
      <c r="G18" s="73" t="s">
        <v>214</v>
      </c>
      <c r="H18" s="73" t="s">
        <v>151</v>
      </c>
      <c r="I18" s="75">
        <v>18.96</v>
      </c>
      <c r="J18" s="76">
        <v>3541703.49</v>
      </c>
      <c r="K18" s="118" t="s">
        <v>259</v>
      </c>
      <c r="L18" s="117" t="s">
        <v>662</v>
      </c>
      <c r="M18" s="121">
        <v>41320</v>
      </c>
      <c r="N18" s="1"/>
      <c r="O18" s="1"/>
      <c r="P18" s="1"/>
      <c r="Q18" s="1"/>
      <c r="R18" s="1"/>
      <c r="S18" s="1"/>
      <c r="T18" s="1"/>
    </row>
    <row r="19" spans="2:20" ht="15" customHeight="1" x14ac:dyDescent="0.3">
      <c r="B19" s="73">
        <v>7</v>
      </c>
      <c r="C19" s="125" t="s">
        <v>366</v>
      </c>
      <c r="D19" s="125" t="s">
        <v>184</v>
      </c>
      <c r="E19" s="73" t="s">
        <v>25</v>
      </c>
      <c r="G19" s="79" t="s">
        <v>53</v>
      </c>
      <c r="H19" s="73" t="s">
        <v>125</v>
      </c>
      <c r="I19" s="75">
        <v>12.4</v>
      </c>
      <c r="J19" s="76">
        <v>2901127.5</v>
      </c>
      <c r="K19" s="118" t="s">
        <v>259</v>
      </c>
      <c r="L19" s="117" t="s">
        <v>662</v>
      </c>
      <c r="M19" s="121">
        <v>41320</v>
      </c>
      <c r="N19" s="1"/>
      <c r="O19" s="1"/>
      <c r="P19" s="1"/>
      <c r="Q19" s="1"/>
      <c r="R19" s="1"/>
      <c r="S19" s="1"/>
      <c r="T19" s="1"/>
    </row>
    <row r="20" spans="2:20" x14ac:dyDescent="0.3">
      <c r="B20" s="73">
        <v>8</v>
      </c>
      <c r="C20" s="125" t="s">
        <v>367</v>
      </c>
      <c r="D20" s="125" t="s">
        <v>320</v>
      </c>
      <c r="E20" s="73" t="s">
        <v>25</v>
      </c>
      <c r="F20" s="73" t="s">
        <v>42</v>
      </c>
      <c r="G20" s="73" t="s">
        <v>53</v>
      </c>
      <c r="H20" s="73" t="s">
        <v>106</v>
      </c>
      <c r="I20" s="75">
        <v>11.5731</v>
      </c>
      <c r="J20" s="76">
        <v>1779471.46</v>
      </c>
      <c r="K20" s="118" t="s">
        <v>261</v>
      </c>
      <c r="L20" s="117" t="s">
        <v>663</v>
      </c>
      <c r="M20" s="121">
        <v>41320</v>
      </c>
      <c r="N20" s="1"/>
      <c r="O20" s="1"/>
      <c r="P20" s="1"/>
      <c r="Q20" s="1"/>
      <c r="R20" s="1"/>
      <c r="S20" s="1"/>
      <c r="T20" s="1"/>
    </row>
    <row r="21" spans="2:20" x14ac:dyDescent="0.3">
      <c r="B21" s="73">
        <v>9</v>
      </c>
      <c r="C21" s="125" t="s">
        <v>368</v>
      </c>
      <c r="D21" s="124" t="s">
        <v>657</v>
      </c>
      <c r="E21" s="73" t="s">
        <v>25</v>
      </c>
      <c r="F21" s="73" t="s">
        <v>42</v>
      </c>
      <c r="G21" s="73" t="s">
        <v>54</v>
      </c>
      <c r="H21" s="73" t="s">
        <v>66</v>
      </c>
      <c r="I21" s="75">
        <v>3.46</v>
      </c>
      <c r="J21" s="76">
        <v>685317.35</v>
      </c>
      <c r="K21" s="118" t="s">
        <v>261</v>
      </c>
      <c r="L21" s="117" t="s">
        <v>664</v>
      </c>
      <c r="M21" s="121">
        <v>41320</v>
      </c>
      <c r="N21" s="1"/>
      <c r="O21" s="1"/>
      <c r="P21" s="1"/>
      <c r="Q21" s="1"/>
      <c r="R21" s="1"/>
      <c r="S21" s="1"/>
      <c r="T21" s="1"/>
    </row>
    <row r="22" spans="2:20" x14ac:dyDescent="0.3">
      <c r="B22" s="73">
        <v>10</v>
      </c>
      <c r="C22" s="125" t="s">
        <v>369</v>
      </c>
      <c r="D22" s="124" t="s">
        <v>698</v>
      </c>
      <c r="E22" s="73" t="s">
        <v>35</v>
      </c>
      <c r="F22" s="73" t="s">
        <v>42</v>
      </c>
      <c r="G22" s="73" t="s">
        <v>214</v>
      </c>
      <c r="H22" s="73" t="s">
        <v>124</v>
      </c>
      <c r="I22" s="75">
        <v>7.32</v>
      </c>
      <c r="J22" s="76">
        <v>1064632.19</v>
      </c>
      <c r="K22" s="118" t="s">
        <v>261</v>
      </c>
      <c r="L22" s="117" t="s">
        <v>707</v>
      </c>
      <c r="M22" s="121">
        <v>41320</v>
      </c>
      <c r="N22" s="1"/>
      <c r="O22" s="1"/>
      <c r="P22" s="1"/>
      <c r="Q22" s="1"/>
      <c r="R22" s="1"/>
      <c r="S22" s="1"/>
      <c r="T22" s="1"/>
    </row>
    <row r="23" spans="2:20" x14ac:dyDescent="0.3">
      <c r="B23" s="73">
        <v>11</v>
      </c>
      <c r="C23" s="125" t="s">
        <v>370</v>
      </c>
      <c r="D23" s="124" t="s">
        <v>185</v>
      </c>
      <c r="G23" s="73" t="s">
        <v>53</v>
      </c>
      <c r="H23" s="73" t="s">
        <v>72</v>
      </c>
      <c r="I23" s="75">
        <v>19.8</v>
      </c>
      <c r="J23" s="76">
        <v>2915046.47</v>
      </c>
      <c r="K23" s="118" t="s">
        <v>261</v>
      </c>
      <c r="L23" s="117" t="s">
        <v>708</v>
      </c>
      <c r="M23" s="121">
        <v>41320</v>
      </c>
      <c r="N23" s="1"/>
      <c r="O23" s="1"/>
      <c r="P23" s="1"/>
      <c r="Q23" s="1"/>
      <c r="R23" s="1"/>
      <c r="S23" s="1"/>
      <c r="T23" s="1"/>
    </row>
    <row r="24" spans="2:20" x14ac:dyDescent="0.3">
      <c r="B24" s="73">
        <v>12</v>
      </c>
      <c r="C24" s="125" t="s">
        <v>371</v>
      </c>
      <c r="D24" s="124" t="s">
        <v>656</v>
      </c>
      <c r="F24" s="73" t="s">
        <v>42</v>
      </c>
      <c r="G24" s="73" t="s">
        <v>214</v>
      </c>
      <c r="H24" s="73" t="s">
        <v>86</v>
      </c>
      <c r="I24" s="75">
        <v>2.12</v>
      </c>
      <c r="J24" s="76">
        <v>514916.12</v>
      </c>
      <c r="K24" s="118" t="s">
        <v>259</v>
      </c>
      <c r="L24" s="117" t="s">
        <v>709</v>
      </c>
      <c r="M24" s="121">
        <v>41320</v>
      </c>
      <c r="N24" s="1"/>
      <c r="O24" s="1"/>
      <c r="P24" s="1"/>
      <c r="Q24" s="1"/>
      <c r="R24" s="1"/>
      <c r="S24" s="1"/>
      <c r="T24" s="1"/>
    </row>
    <row r="25" spans="2:20" ht="15" customHeight="1" x14ac:dyDescent="0.3">
      <c r="B25" s="73">
        <v>13</v>
      </c>
      <c r="C25" s="125" t="s">
        <v>372</v>
      </c>
      <c r="D25" s="125" t="s">
        <v>184</v>
      </c>
      <c r="E25" s="73" t="s">
        <v>25</v>
      </c>
      <c r="G25" s="73" t="s">
        <v>53</v>
      </c>
      <c r="H25" s="73" t="s">
        <v>86</v>
      </c>
      <c r="I25" s="75">
        <v>5.6416000000000004</v>
      </c>
      <c r="J25" s="76">
        <v>1058037.76</v>
      </c>
      <c r="K25" s="118" t="s">
        <v>259</v>
      </c>
      <c r="L25" s="117" t="s">
        <v>709</v>
      </c>
      <c r="M25" s="121">
        <v>41320</v>
      </c>
      <c r="N25" s="1"/>
      <c r="O25" s="1"/>
      <c r="P25" s="1"/>
      <c r="Q25" s="1"/>
      <c r="R25" s="1"/>
      <c r="S25" s="1"/>
      <c r="T25" s="1"/>
    </row>
    <row r="26" spans="2:20" ht="14.4" customHeight="1" x14ac:dyDescent="0.3">
      <c r="B26" s="73">
        <v>14</v>
      </c>
      <c r="C26" s="125" t="s">
        <v>373</v>
      </c>
      <c r="D26" s="124" t="s">
        <v>184</v>
      </c>
      <c r="E26" s="73" t="s">
        <v>25</v>
      </c>
      <c r="G26" s="73" t="s">
        <v>53</v>
      </c>
      <c r="H26" s="73" t="s">
        <v>138</v>
      </c>
      <c r="I26" s="75">
        <v>20.785299999999999</v>
      </c>
      <c r="J26" s="76">
        <v>2640046.0499999998</v>
      </c>
      <c r="K26" s="118" t="s">
        <v>261</v>
      </c>
      <c r="L26" s="117" t="s">
        <v>710</v>
      </c>
      <c r="M26" s="121">
        <v>41369</v>
      </c>
      <c r="N26" s="1"/>
      <c r="O26" s="1"/>
      <c r="P26" s="1"/>
      <c r="Q26" s="1"/>
      <c r="R26" s="1"/>
      <c r="S26" s="1"/>
      <c r="T26" s="1"/>
    </row>
    <row r="27" spans="2:20" x14ac:dyDescent="0.3">
      <c r="B27" s="73">
        <v>15</v>
      </c>
      <c r="C27" s="125" t="s">
        <v>374</v>
      </c>
      <c r="D27" s="124" t="s">
        <v>184</v>
      </c>
      <c r="E27" s="73" t="s">
        <v>25</v>
      </c>
      <c r="G27" s="73" t="s">
        <v>53</v>
      </c>
      <c r="H27" s="73" t="s">
        <v>153</v>
      </c>
      <c r="I27" s="75">
        <v>8.5</v>
      </c>
      <c r="J27" s="76">
        <v>1215329.56</v>
      </c>
      <c r="K27" s="118" t="s">
        <v>261</v>
      </c>
      <c r="L27" s="117" t="s">
        <v>711</v>
      </c>
      <c r="M27" s="121">
        <v>41320</v>
      </c>
      <c r="N27" s="1"/>
      <c r="O27" s="1"/>
      <c r="P27" s="1"/>
      <c r="Q27" s="1"/>
      <c r="R27" s="1"/>
      <c r="S27" s="1"/>
      <c r="T27" s="1"/>
    </row>
    <row r="28" spans="2:20" x14ac:dyDescent="0.3">
      <c r="B28" s="73">
        <v>16</v>
      </c>
      <c r="C28" s="125" t="s">
        <v>375</v>
      </c>
      <c r="D28" s="124" t="s">
        <v>184</v>
      </c>
      <c r="E28" s="73" t="s">
        <v>25</v>
      </c>
      <c r="G28" s="73" t="s">
        <v>53</v>
      </c>
      <c r="H28" s="73" t="s">
        <v>121</v>
      </c>
      <c r="I28" s="75">
        <v>6.48</v>
      </c>
      <c r="J28" s="76">
        <v>1416727.4</v>
      </c>
      <c r="K28" s="118" t="s">
        <v>261</v>
      </c>
      <c r="L28" s="117" t="s">
        <v>712</v>
      </c>
      <c r="M28" s="121">
        <v>41320</v>
      </c>
      <c r="N28" s="1"/>
      <c r="O28" s="1"/>
      <c r="P28" s="1"/>
      <c r="Q28" s="1"/>
      <c r="R28" s="1"/>
      <c r="S28" s="1"/>
      <c r="T28" s="1"/>
    </row>
    <row r="29" spans="2:20" x14ac:dyDescent="0.3">
      <c r="B29" s="73">
        <v>17</v>
      </c>
      <c r="C29" s="125" t="s">
        <v>376</v>
      </c>
      <c r="D29" s="124" t="s">
        <v>184</v>
      </c>
      <c r="E29" s="73" t="s">
        <v>25</v>
      </c>
      <c r="G29" s="73" t="s">
        <v>53</v>
      </c>
      <c r="H29" s="73" t="s">
        <v>138</v>
      </c>
      <c r="I29" s="75">
        <v>10.57</v>
      </c>
      <c r="J29" s="76">
        <v>1663218.52</v>
      </c>
      <c r="K29" s="118" t="s">
        <v>261</v>
      </c>
      <c r="L29" s="117" t="s">
        <v>713</v>
      </c>
      <c r="M29" s="121">
        <v>41369</v>
      </c>
      <c r="N29" s="1"/>
      <c r="O29" s="1"/>
      <c r="P29" s="1"/>
      <c r="Q29" s="1"/>
      <c r="R29" s="1"/>
      <c r="S29" s="1"/>
      <c r="T29" s="1"/>
    </row>
    <row r="30" spans="2:20" x14ac:dyDescent="0.3">
      <c r="B30" s="73">
        <v>18</v>
      </c>
      <c r="C30" s="125" t="s">
        <v>377</v>
      </c>
      <c r="D30" s="124" t="s">
        <v>184</v>
      </c>
      <c r="E30" s="73" t="s">
        <v>25</v>
      </c>
      <c r="G30" s="73" t="s">
        <v>53</v>
      </c>
      <c r="H30" s="73" t="s">
        <v>122</v>
      </c>
      <c r="I30" s="75">
        <v>22.632000000000001</v>
      </c>
      <c r="J30" s="76">
        <v>1904032.65</v>
      </c>
      <c r="K30" s="118" t="s">
        <v>261</v>
      </c>
      <c r="L30" s="117" t="s">
        <v>714</v>
      </c>
      <c r="M30" s="121">
        <v>41320</v>
      </c>
      <c r="N30" s="1"/>
      <c r="O30" s="1"/>
      <c r="P30" s="1"/>
      <c r="Q30" s="1"/>
      <c r="R30" s="1"/>
      <c r="S30" s="1"/>
      <c r="T30" s="1"/>
    </row>
    <row r="31" spans="2:20" x14ac:dyDescent="0.3">
      <c r="B31" s="73">
        <v>19</v>
      </c>
      <c r="C31" s="125" t="s">
        <v>378</v>
      </c>
      <c r="D31" s="124" t="s">
        <v>184</v>
      </c>
      <c r="E31" s="73" t="s">
        <v>25</v>
      </c>
      <c r="G31" s="73" t="s">
        <v>53</v>
      </c>
      <c r="H31" s="73" t="s">
        <v>134</v>
      </c>
      <c r="I31" s="75">
        <v>17.092500000000001</v>
      </c>
      <c r="J31" s="76">
        <v>1648949.12</v>
      </c>
      <c r="K31" s="118" t="s">
        <v>261</v>
      </c>
      <c r="L31" s="117" t="s">
        <v>715</v>
      </c>
      <c r="M31" s="121">
        <v>41320</v>
      </c>
      <c r="N31" s="1"/>
      <c r="O31" s="1"/>
      <c r="P31" s="1"/>
      <c r="Q31" s="1"/>
      <c r="R31" s="1"/>
      <c r="S31" s="1"/>
      <c r="T31" s="1"/>
    </row>
    <row r="32" spans="2:20" x14ac:dyDescent="0.3">
      <c r="B32" s="73">
        <v>20</v>
      </c>
      <c r="C32" s="125" t="s">
        <v>379</v>
      </c>
      <c r="D32" s="124" t="s">
        <v>184</v>
      </c>
      <c r="E32" s="73" t="s">
        <v>25</v>
      </c>
      <c r="G32" s="73" t="s">
        <v>53</v>
      </c>
      <c r="H32" s="73" t="s">
        <v>154</v>
      </c>
      <c r="I32" s="75">
        <v>27.522539999999999</v>
      </c>
      <c r="J32" s="76">
        <v>2035126.71</v>
      </c>
      <c r="K32" s="118" t="s">
        <v>261</v>
      </c>
      <c r="L32" s="117" t="s">
        <v>716</v>
      </c>
      <c r="M32" s="121">
        <v>41467</v>
      </c>
      <c r="N32" s="1"/>
      <c r="O32" s="1"/>
      <c r="P32" s="1"/>
      <c r="Q32" s="1"/>
      <c r="R32" s="1"/>
      <c r="S32" s="1"/>
      <c r="T32" s="1"/>
    </row>
    <row r="33" spans="2:20" x14ac:dyDescent="0.3">
      <c r="B33" s="73">
        <v>21</v>
      </c>
      <c r="C33" s="125" t="s">
        <v>380</v>
      </c>
      <c r="D33" s="124" t="s">
        <v>184</v>
      </c>
      <c r="E33" s="73" t="s">
        <v>25</v>
      </c>
      <c r="G33" s="73" t="s">
        <v>53</v>
      </c>
      <c r="H33" s="73" t="s">
        <v>86</v>
      </c>
      <c r="I33" s="75">
        <v>18.13354</v>
      </c>
      <c r="J33" s="76">
        <v>3393316.47</v>
      </c>
      <c r="K33" s="118" t="s">
        <v>261</v>
      </c>
      <c r="L33" s="117" t="s">
        <v>717</v>
      </c>
      <c r="M33" s="121">
        <v>41369</v>
      </c>
      <c r="N33" s="1"/>
      <c r="O33" s="1"/>
      <c r="P33" s="1"/>
      <c r="Q33" s="1"/>
      <c r="R33" s="1"/>
      <c r="S33" s="1"/>
      <c r="T33" s="1"/>
    </row>
    <row r="34" spans="2:20" x14ac:dyDescent="0.3">
      <c r="B34" s="73">
        <v>22</v>
      </c>
      <c r="C34" s="125" t="s">
        <v>381</v>
      </c>
      <c r="D34" s="124" t="s">
        <v>186</v>
      </c>
      <c r="F34" s="73" t="s">
        <v>186</v>
      </c>
      <c r="H34" s="73" t="s">
        <v>148</v>
      </c>
      <c r="I34" s="75">
        <v>26.6</v>
      </c>
      <c r="J34" s="76">
        <v>668368.87</v>
      </c>
      <c r="K34" s="118" t="s">
        <v>261</v>
      </c>
      <c r="L34" s="117" t="s">
        <v>718</v>
      </c>
      <c r="M34" s="121">
        <v>41369</v>
      </c>
      <c r="N34" s="1"/>
      <c r="O34" s="1"/>
      <c r="P34" s="1"/>
      <c r="Q34" s="1"/>
      <c r="R34" s="1"/>
      <c r="S34" s="1"/>
      <c r="T34" s="1"/>
    </row>
    <row r="35" spans="2:20" x14ac:dyDescent="0.3">
      <c r="B35" s="73">
        <v>23</v>
      </c>
      <c r="C35" s="125" t="s">
        <v>382</v>
      </c>
      <c r="D35" s="124" t="s">
        <v>186</v>
      </c>
      <c r="F35" s="73" t="s">
        <v>186</v>
      </c>
      <c r="H35" s="73" t="s">
        <v>67</v>
      </c>
      <c r="I35" s="75">
        <v>8.36</v>
      </c>
      <c r="J35" s="76">
        <v>265754.42</v>
      </c>
      <c r="K35" s="118" t="s">
        <v>259</v>
      </c>
      <c r="L35" s="117" t="s">
        <v>719</v>
      </c>
      <c r="M35" s="121">
        <v>41369</v>
      </c>
      <c r="N35" s="1"/>
      <c r="O35" s="1"/>
      <c r="P35" s="1"/>
      <c r="Q35" s="1"/>
      <c r="R35" s="1"/>
      <c r="S35" s="1"/>
      <c r="T35" s="1"/>
    </row>
    <row r="36" spans="2:20" x14ac:dyDescent="0.3">
      <c r="B36" s="73">
        <v>24</v>
      </c>
      <c r="C36" s="125" t="s">
        <v>383</v>
      </c>
      <c r="D36" s="124" t="s">
        <v>186</v>
      </c>
      <c r="F36" s="73" t="s">
        <v>186</v>
      </c>
      <c r="H36" s="73" t="s">
        <v>67</v>
      </c>
      <c r="I36" s="75">
        <v>18.220420000000001</v>
      </c>
      <c r="J36" s="76">
        <v>540824.34</v>
      </c>
      <c r="K36" s="118" t="s">
        <v>259</v>
      </c>
      <c r="L36" s="117" t="s">
        <v>719</v>
      </c>
      <c r="M36" s="121">
        <v>41369</v>
      </c>
      <c r="N36" s="1"/>
      <c r="O36" s="1"/>
      <c r="P36" s="1"/>
      <c r="Q36" s="1"/>
      <c r="R36" s="1"/>
      <c r="S36" s="1"/>
      <c r="T36" s="1"/>
    </row>
    <row r="37" spans="2:20" ht="14.4" customHeight="1" x14ac:dyDescent="0.3">
      <c r="B37" s="73">
        <v>25</v>
      </c>
      <c r="C37" s="125" t="s">
        <v>384</v>
      </c>
      <c r="D37" s="124" t="s">
        <v>187</v>
      </c>
      <c r="F37" s="73" t="s">
        <v>187</v>
      </c>
      <c r="H37" s="73" t="s">
        <v>61</v>
      </c>
      <c r="I37" s="75">
        <v>9</v>
      </c>
      <c r="J37" s="76">
        <v>397500.15999999997</v>
      </c>
      <c r="K37" s="118" t="s">
        <v>259</v>
      </c>
      <c r="L37" s="117" t="s">
        <v>720</v>
      </c>
      <c r="M37" s="121">
        <v>41369</v>
      </c>
      <c r="N37" s="1"/>
      <c r="O37" s="1"/>
      <c r="P37" s="1"/>
      <c r="Q37" s="1"/>
      <c r="R37" s="1"/>
      <c r="S37" s="1"/>
      <c r="T37" s="1"/>
    </row>
    <row r="38" spans="2:20" x14ac:dyDescent="0.3">
      <c r="B38" s="73">
        <v>26</v>
      </c>
      <c r="C38" s="125" t="s">
        <v>385</v>
      </c>
      <c r="D38" s="124" t="s">
        <v>187</v>
      </c>
      <c r="F38" s="73" t="s">
        <v>187</v>
      </c>
      <c r="H38" s="73" t="s">
        <v>118</v>
      </c>
      <c r="I38" s="75">
        <v>12.4</v>
      </c>
      <c r="J38" s="76">
        <v>458335.03</v>
      </c>
      <c r="K38" s="125" t="s">
        <v>259</v>
      </c>
      <c r="L38" s="73" t="s">
        <v>720</v>
      </c>
      <c r="M38" s="122">
        <v>41369</v>
      </c>
    </row>
    <row r="39" spans="2:20" x14ac:dyDescent="0.3">
      <c r="B39" s="73">
        <v>27</v>
      </c>
      <c r="C39" s="125" t="s">
        <v>386</v>
      </c>
      <c r="D39" s="124" t="s">
        <v>187</v>
      </c>
      <c r="F39" s="73" t="s">
        <v>187</v>
      </c>
      <c r="H39" s="73" t="s">
        <v>123</v>
      </c>
      <c r="I39" s="75">
        <v>5.72</v>
      </c>
      <c r="J39" s="76">
        <v>255543.93</v>
      </c>
      <c r="K39" s="125" t="s">
        <v>259</v>
      </c>
      <c r="L39" s="73" t="s">
        <v>720</v>
      </c>
      <c r="M39" s="122">
        <v>41369</v>
      </c>
    </row>
    <row r="40" spans="2:20" x14ac:dyDescent="0.3">
      <c r="B40" s="73">
        <v>28</v>
      </c>
      <c r="C40" s="125" t="s">
        <v>387</v>
      </c>
      <c r="D40" s="124" t="s">
        <v>187</v>
      </c>
      <c r="F40" s="73" t="s">
        <v>187</v>
      </c>
      <c r="H40" s="73" t="s">
        <v>115</v>
      </c>
      <c r="I40" s="75">
        <v>11.16</v>
      </c>
      <c r="J40" s="76">
        <v>605820.66</v>
      </c>
      <c r="K40" s="125" t="s">
        <v>259</v>
      </c>
      <c r="L40" s="73" t="s">
        <v>721</v>
      </c>
      <c r="M40" s="122">
        <v>41369</v>
      </c>
    </row>
    <row r="41" spans="2:20" x14ac:dyDescent="0.3">
      <c r="B41" s="73">
        <v>29</v>
      </c>
      <c r="C41" s="125" t="s">
        <v>388</v>
      </c>
      <c r="D41" s="124" t="s">
        <v>186</v>
      </c>
      <c r="F41" s="73" t="s">
        <v>186</v>
      </c>
      <c r="H41" s="73" t="s">
        <v>159</v>
      </c>
      <c r="I41" s="75">
        <v>24.166799999999999</v>
      </c>
      <c r="J41" s="76">
        <v>843282.84</v>
      </c>
      <c r="K41" s="125" t="s">
        <v>259</v>
      </c>
      <c r="L41" s="73" t="s">
        <v>722</v>
      </c>
      <c r="M41" s="122">
        <v>41369</v>
      </c>
    </row>
    <row r="42" spans="2:20" x14ac:dyDescent="0.3">
      <c r="B42" s="73">
        <v>30</v>
      </c>
      <c r="C42" s="125" t="s">
        <v>389</v>
      </c>
      <c r="D42" s="124" t="s">
        <v>186</v>
      </c>
      <c r="F42" s="73" t="s">
        <v>186</v>
      </c>
      <c r="H42" s="73" t="s">
        <v>130</v>
      </c>
      <c r="I42" s="75">
        <v>6.8882000000000003</v>
      </c>
      <c r="J42" s="76">
        <v>247027.51</v>
      </c>
      <c r="K42" s="125" t="s">
        <v>259</v>
      </c>
      <c r="L42" s="73" t="s">
        <v>722</v>
      </c>
      <c r="M42" s="122">
        <v>41369</v>
      </c>
    </row>
    <row r="43" spans="2:20" x14ac:dyDescent="0.3">
      <c r="B43" s="73">
        <v>31</v>
      </c>
      <c r="C43" s="125" t="s">
        <v>390</v>
      </c>
      <c r="D43" s="124" t="s">
        <v>186</v>
      </c>
      <c r="F43" s="73" t="s">
        <v>186</v>
      </c>
      <c r="H43" s="73" t="s">
        <v>130</v>
      </c>
      <c r="I43" s="75">
        <v>1.08</v>
      </c>
      <c r="J43" s="76">
        <v>39473.800000000003</v>
      </c>
      <c r="K43" s="125" t="s">
        <v>261</v>
      </c>
      <c r="L43" s="73" t="s">
        <v>722</v>
      </c>
      <c r="M43" s="122">
        <v>41369</v>
      </c>
    </row>
    <row r="44" spans="2:20" x14ac:dyDescent="0.3">
      <c r="B44" s="73">
        <v>32</v>
      </c>
      <c r="C44" s="125" t="s">
        <v>391</v>
      </c>
      <c r="D44" s="124" t="s">
        <v>186</v>
      </c>
      <c r="F44" s="73" t="s">
        <v>186</v>
      </c>
      <c r="H44" s="73" t="s">
        <v>103</v>
      </c>
      <c r="I44" s="75">
        <v>10.14048</v>
      </c>
      <c r="J44" s="76">
        <v>319308.71999999997</v>
      </c>
      <c r="K44" s="125" t="s">
        <v>259</v>
      </c>
      <c r="L44" s="73" t="s">
        <v>723</v>
      </c>
      <c r="M44" s="122">
        <v>41369</v>
      </c>
    </row>
    <row r="45" spans="2:20" x14ac:dyDescent="0.3">
      <c r="B45" s="73">
        <v>33</v>
      </c>
      <c r="C45" s="125" t="s">
        <v>392</v>
      </c>
      <c r="D45" s="124" t="s">
        <v>186</v>
      </c>
      <c r="F45" s="73" t="s">
        <v>186</v>
      </c>
      <c r="H45" s="73" t="s">
        <v>103</v>
      </c>
      <c r="I45" s="75">
        <v>20.399999999999999</v>
      </c>
      <c r="J45" s="76">
        <v>557768.14</v>
      </c>
      <c r="K45" s="125" t="s">
        <v>259</v>
      </c>
      <c r="L45" s="73" t="s">
        <v>723</v>
      </c>
      <c r="M45" s="122">
        <v>41369</v>
      </c>
    </row>
    <row r="46" spans="2:20" x14ac:dyDescent="0.3">
      <c r="B46" s="73">
        <v>34</v>
      </c>
      <c r="C46" s="125" t="s">
        <v>393</v>
      </c>
      <c r="D46" s="124" t="s">
        <v>186</v>
      </c>
      <c r="F46" s="73" t="s">
        <v>186</v>
      </c>
      <c r="H46" s="79" t="s">
        <v>113</v>
      </c>
      <c r="I46" s="75">
        <v>14.811400000000001</v>
      </c>
      <c r="J46" s="76">
        <v>497136.4</v>
      </c>
      <c r="K46" s="125" t="s">
        <v>259</v>
      </c>
      <c r="L46" s="73" t="s">
        <v>724</v>
      </c>
      <c r="M46" s="122">
        <v>41369</v>
      </c>
    </row>
    <row r="47" spans="2:20" x14ac:dyDescent="0.3">
      <c r="B47" s="73">
        <v>35</v>
      </c>
      <c r="C47" s="125" t="s">
        <v>394</v>
      </c>
      <c r="D47" s="124" t="s">
        <v>186</v>
      </c>
      <c r="F47" s="73" t="s">
        <v>186</v>
      </c>
      <c r="H47" s="73" t="s">
        <v>113</v>
      </c>
      <c r="I47" s="75">
        <v>11.26488</v>
      </c>
      <c r="J47" s="76">
        <v>311727.03999999998</v>
      </c>
      <c r="K47" s="125" t="s">
        <v>259</v>
      </c>
      <c r="L47" s="73" t="s">
        <v>724</v>
      </c>
      <c r="M47" s="122">
        <v>41369</v>
      </c>
    </row>
    <row r="48" spans="2:20" x14ac:dyDescent="0.3">
      <c r="B48" s="73">
        <v>36</v>
      </c>
      <c r="C48" s="125" t="s">
        <v>395</v>
      </c>
      <c r="D48" s="124" t="s">
        <v>186</v>
      </c>
      <c r="F48" s="73" t="s">
        <v>186</v>
      </c>
      <c r="H48" s="73" t="s">
        <v>129</v>
      </c>
      <c r="I48" s="75">
        <v>1.8</v>
      </c>
      <c r="J48" s="76">
        <v>56810.46</v>
      </c>
      <c r="K48" s="125" t="s">
        <v>259</v>
      </c>
      <c r="L48" s="73" t="s">
        <v>724</v>
      </c>
      <c r="M48" s="122">
        <v>41369</v>
      </c>
    </row>
    <row r="49" spans="2:13" x14ac:dyDescent="0.3">
      <c r="B49" s="73">
        <v>37</v>
      </c>
      <c r="C49" s="125" t="s">
        <v>396</v>
      </c>
      <c r="D49" s="124" t="s">
        <v>186</v>
      </c>
      <c r="F49" s="73" t="s">
        <v>186</v>
      </c>
      <c r="H49" s="73" t="s">
        <v>92</v>
      </c>
      <c r="I49" s="75">
        <v>17.52</v>
      </c>
      <c r="J49" s="76">
        <v>601208.53</v>
      </c>
      <c r="K49" s="125" t="s">
        <v>261</v>
      </c>
      <c r="L49" s="73" t="s">
        <v>725</v>
      </c>
      <c r="M49" s="122">
        <v>41369</v>
      </c>
    </row>
    <row r="50" spans="2:13" x14ac:dyDescent="0.3">
      <c r="B50" s="73">
        <v>38</v>
      </c>
      <c r="C50" s="125" t="s">
        <v>397</v>
      </c>
      <c r="D50" s="124" t="s">
        <v>186</v>
      </c>
      <c r="F50" s="73" t="s">
        <v>186</v>
      </c>
      <c r="H50" s="73" t="s">
        <v>126</v>
      </c>
      <c r="I50" s="75">
        <v>19.34</v>
      </c>
      <c r="J50" s="76">
        <v>633026.43999999994</v>
      </c>
      <c r="K50" s="125" t="s">
        <v>261</v>
      </c>
      <c r="L50" s="73" t="s">
        <v>726</v>
      </c>
      <c r="M50" s="122">
        <v>41369</v>
      </c>
    </row>
    <row r="51" spans="2:13" x14ac:dyDescent="0.3">
      <c r="B51" s="73">
        <v>39</v>
      </c>
      <c r="C51" s="125" t="s">
        <v>398</v>
      </c>
      <c r="D51" s="124" t="s">
        <v>186</v>
      </c>
      <c r="F51" s="73" t="s">
        <v>186</v>
      </c>
      <c r="H51" s="73" t="s">
        <v>159</v>
      </c>
      <c r="I51" s="75">
        <v>10.96</v>
      </c>
      <c r="J51" s="76">
        <v>358095.54</v>
      </c>
      <c r="K51" s="125" t="s">
        <v>259</v>
      </c>
      <c r="L51" s="73" t="s">
        <v>727</v>
      </c>
      <c r="M51" s="122">
        <v>41369</v>
      </c>
    </row>
    <row r="52" spans="2:13" x14ac:dyDescent="0.3">
      <c r="B52" s="73">
        <v>40</v>
      </c>
      <c r="C52" s="125" t="s">
        <v>399</v>
      </c>
      <c r="D52" s="124" t="s">
        <v>186</v>
      </c>
      <c r="F52" s="73" t="s">
        <v>186</v>
      </c>
      <c r="H52" s="73" t="s">
        <v>159</v>
      </c>
      <c r="I52" s="75">
        <v>6.0884999999999998</v>
      </c>
      <c r="J52" s="76">
        <v>185340.07</v>
      </c>
      <c r="K52" s="125" t="s">
        <v>259</v>
      </c>
      <c r="L52" s="73" t="s">
        <v>727</v>
      </c>
      <c r="M52" s="122">
        <v>41369</v>
      </c>
    </row>
    <row r="53" spans="2:13" x14ac:dyDescent="0.3">
      <c r="B53" s="73">
        <v>41</v>
      </c>
      <c r="C53" s="125" t="s">
        <v>400</v>
      </c>
      <c r="D53" s="124" t="s">
        <v>186</v>
      </c>
      <c r="F53" s="73" t="s">
        <v>186</v>
      </c>
      <c r="H53" s="73" t="s">
        <v>159</v>
      </c>
      <c r="I53" s="75">
        <v>6.7432499999999997</v>
      </c>
      <c r="J53" s="76">
        <v>199628.01</v>
      </c>
      <c r="K53" s="125" t="s">
        <v>259</v>
      </c>
      <c r="L53" s="73" t="s">
        <v>727</v>
      </c>
      <c r="M53" s="122">
        <v>41369</v>
      </c>
    </row>
    <row r="54" spans="2:13" x14ac:dyDescent="0.3">
      <c r="B54" s="73">
        <v>42</v>
      </c>
      <c r="C54" s="125" t="s">
        <v>401</v>
      </c>
      <c r="D54" s="124" t="s">
        <v>184</v>
      </c>
      <c r="E54" s="73" t="s">
        <v>25</v>
      </c>
      <c r="G54" s="73" t="s">
        <v>53</v>
      </c>
      <c r="H54" s="73" t="s">
        <v>92</v>
      </c>
      <c r="I54" s="75">
        <v>11.55</v>
      </c>
      <c r="J54" s="76">
        <v>2367183.2400000002</v>
      </c>
      <c r="K54" s="125" t="s">
        <v>261</v>
      </c>
      <c r="L54" s="73" t="s">
        <v>728</v>
      </c>
      <c r="M54" s="122">
        <v>41418</v>
      </c>
    </row>
    <row r="55" spans="2:13" x14ac:dyDescent="0.3">
      <c r="B55" s="73">
        <v>43</v>
      </c>
      <c r="C55" s="125" t="s">
        <v>402</v>
      </c>
      <c r="D55" s="124" t="s">
        <v>186</v>
      </c>
      <c r="F55" s="73" t="s">
        <v>186</v>
      </c>
      <c r="H55" s="73" t="s">
        <v>72</v>
      </c>
      <c r="I55" s="75">
        <v>19.059999999999999</v>
      </c>
      <c r="J55" s="76">
        <v>576369.75</v>
      </c>
      <c r="K55" s="125" t="s">
        <v>259</v>
      </c>
      <c r="L55" s="73" t="s">
        <v>729</v>
      </c>
      <c r="M55" s="122">
        <v>41369</v>
      </c>
    </row>
    <row r="56" spans="2:13" x14ac:dyDescent="0.3">
      <c r="B56" s="73">
        <v>44</v>
      </c>
      <c r="C56" s="125" t="s">
        <v>403</v>
      </c>
      <c r="D56" s="124" t="s">
        <v>186</v>
      </c>
      <c r="F56" s="73" t="s">
        <v>186</v>
      </c>
      <c r="H56" s="73" t="s">
        <v>72</v>
      </c>
      <c r="I56" s="75">
        <v>17.02</v>
      </c>
      <c r="J56" s="76">
        <v>545327.52</v>
      </c>
      <c r="K56" s="125" t="s">
        <v>259</v>
      </c>
      <c r="L56" s="73" t="s">
        <v>729</v>
      </c>
      <c r="M56" s="122">
        <v>41369</v>
      </c>
    </row>
    <row r="57" spans="2:13" x14ac:dyDescent="0.3">
      <c r="B57" s="73">
        <v>45</v>
      </c>
      <c r="C57" s="125" t="s">
        <v>404</v>
      </c>
      <c r="D57" s="124" t="s">
        <v>186</v>
      </c>
      <c r="F57" s="73" t="s">
        <v>186</v>
      </c>
      <c r="H57" s="73" t="s">
        <v>72</v>
      </c>
      <c r="I57" s="75">
        <v>19.28</v>
      </c>
      <c r="J57" s="76">
        <v>649397.31999999995</v>
      </c>
      <c r="K57" s="125" t="s">
        <v>259</v>
      </c>
      <c r="L57" s="73" t="s">
        <v>729</v>
      </c>
      <c r="M57" s="122">
        <v>41369</v>
      </c>
    </row>
    <row r="58" spans="2:13" x14ac:dyDescent="0.3">
      <c r="B58" s="73">
        <v>46</v>
      </c>
      <c r="C58" s="125" t="s">
        <v>405</v>
      </c>
      <c r="D58" s="124" t="s">
        <v>186</v>
      </c>
      <c r="F58" s="73" t="s">
        <v>186</v>
      </c>
      <c r="H58" s="73" t="s">
        <v>93</v>
      </c>
      <c r="I58" s="75">
        <v>11.235900000000001</v>
      </c>
      <c r="J58" s="76">
        <v>348416.98</v>
      </c>
      <c r="K58" s="125" t="s">
        <v>259</v>
      </c>
      <c r="L58" s="73" t="s">
        <v>729</v>
      </c>
      <c r="M58" s="122">
        <v>41369</v>
      </c>
    </row>
    <row r="59" spans="2:13" x14ac:dyDescent="0.3">
      <c r="B59" s="73">
        <v>47</v>
      </c>
      <c r="C59" s="125" t="s">
        <v>406</v>
      </c>
      <c r="D59" s="124" t="s">
        <v>186</v>
      </c>
      <c r="F59" s="73" t="s">
        <v>186</v>
      </c>
      <c r="H59" s="73" t="s">
        <v>96</v>
      </c>
      <c r="I59" s="75">
        <v>19.239999999999998</v>
      </c>
      <c r="J59" s="76">
        <v>655753.51</v>
      </c>
      <c r="K59" s="125" t="s">
        <v>259</v>
      </c>
      <c r="L59" s="73" t="s">
        <v>729</v>
      </c>
      <c r="M59" s="122">
        <v>41369</v>
      </c>
    </row>
    <row r="60" spans="2:13" x14ac:dyDescent="0.3">
      <c r="B60" s="73">
        <v>48</v>
      </c>
      <c r="C60" s="125" t="s">
        <v>407</v>
      </c>
      <c r="D60" s="124" t="s">
        <v>184</v>
      </c>
      <c r="E60" s="73" t="s">
        <v>25</v>
      </c>
      <c r="G60" s="73" t="s">
        <v>53</v>
      </c>
      <c r="H60" s="73" t="s">
        <v>102</v>
      </c>
      <c r="I60" s="75">
        <v>0.92</v>
      </c>
      <c r="J60" s="76">
        <v>197777.04</v>
      </c>
      <c r="K60" s="125" t="s">
        <v>259</v>
      </c>
      <c r="L60" s="73" t="s">
        <v>730</v>
      </c>
      <c r="M60" s="122">
        <v>41418</v>
      </c>
    </row>
    <row r="61" spans="2:13" x14ac:dyDescent="0.3">
      <c r="B61" s="73">
        <v>49</v>
      </c>
      <c r="C61" s="125" t="s">
        <v>408</v>
      </c>
      <c r="D61" s="124" t="s">
        <v>184</v>
      </c>
      <c r="E61" s="73" t="s">
        <v>25</v>
      </c>
      <c r="G61" s="73" t="s">
        <v>53</v>
      </c>
      <c r="H61" s="73" t="s">
        <v>102</v>
      </c>
      <c r="I61" s="75">
        <v>0.3</v>
      </c>
      <c r="J61" s="76">
        <v>63611.45</v>
      </c>
      <c r="K61" s="125" t="s">
        <v>259</v>
      </c>
      <c r="L61" s="73" t="s">
        <v>730</v>
      </c>
      <c r="M61" s="122">
        <v>41418</v>
      </c>
    </row>
    <row r="62" spans="2:13" x14ac:dyDescent="0.3">
      <c r="B62" s="73">
        <v>50</v>
      </c>
      <c r="C62" s="125" t="s">
        <v>409</v>
      </c>
      <c r="D62" s="124" t="s">
        <v>699</v>
      </c>
      <c r="E62" s="73" t="s">
        <v>216</v>
      </c>
      <c r="G62" s="73" t="s">
        <v>53</v>
      </c>
      <c r="H62" s="73" t="s">
        <v>102</v>
      </c>
      <c r="I62" s="75">
        <v>14.5</v>
      </c>
      <c r="J62" s="76">
        <v>1642317.13</v>
      </c>
      <c r="K62" s="125" t="s">
        <v>259</v>
      </c>
      <c r="L62" s="73" t="s">
        <v>730</v>
      </c>
      <c r="M62" s="122">
        <v>41418</v>
      </c>
    </row>
    <row r="63" spans="2:13" x14ac:dyDescent="0.3">
      <c r="B63" s="73">
        <v>51</v>
      </c>
      <c r="C63" s="125" t="s">
        <v>410</v>
      </c>
      <c r="D63" s="124" t="s">
        <v>185</v>
      </c>
      <c r="G63" s="73" t="s">
        <v>53</v>
      </c>
      <c r="H63" s="73" t="s">
        <v>88</v>
      </c>
      <c r="I63" s="75">
        <v>18.84</v>
      </c>
      <c r="J63" s="76">
        <v>3370639.54</v>
      </c>
      <c r="K63" s="125" t="s">
        <v>261</v>
      </c>
      <c r="L63" s="73" t="s">
        <v>731</v>
      </c>
      <c r="M63" s="122">
        <v>41369</v>
      </c>
    </row>
    <row r="64" spans="2:13" x14ac:dyDescent="0.3">
      <c r="B64" s="73">
        <v>52</v>
      </c>
      <c r="C64" s="125" t="s">
        <v>411</v>
      </c>
      <c r="D64" s="124" t="s">
        <v>184</v>
      </c>
      <c r="E64" s="73" t="s">
        <v>25</v>
      </c>
      <c r="G64" s="73" t="s">
        <v>53</v>
      </c>
      <c r="H64" s="73" t="s">
        <v>132</v>
      </c>
      <c r="I64" s="75">
        <v>9.76</v>
      </c>
      <c r="J64" s="76">
        <v>1293835.51</v>
      </c>
      <c r="K64" s="125" t="s">
        <v>261</v>
      </c>
      <c r="L64" s="73" t="s">
        <v>732</v>
      </c>
      <c r="M64" s="122">
        <v>41369</v>
      </c>
    </row>
    <row r="65" spans="2:13" x14ac:dyDescent="0.3">
      <c r="B65" s="73">
        <v>53</v>
      </c>
      <c r="C65" s="125" t="s">
        <v>412</v>
      </c>
      <c r="D65" s="124" t="s">
        <v>188</v>
      </c>
      <c r="G65" s="73" t="s">
        <v>214</v>
      </c>
      <c r="H65" s="73" t="s">
        <v>106</v>
      </c>
      <c r="I65" s="75">
        <v>13.547000000000001</v>
      </c>
      <c r="J65" s="76">
        <v>866874.06</v>
      </c>
      <c r="K65" s="125" t="s">
        <v>261</v>
      </c>
      <c r="L65" s="73" t="s">
        <v>733</v>
      </c>
      <c r="M65" s="122">
        <v>41369</v>
      </c>
    </row>
    <row r="66" spans="2:13" x14ac:dyDescent="0.3">
      <c r="B66" s="73">
        <v>54</v>
      </c>
      <c r="C66" s="125" t="s">
        <v>413</v>
      </c>
      <c r="D66" s="124" t="s">
        <v>698</v>
      </c>
      <c r="E66" s="73" t="s">
        <v>35</v>
      </c>
      <c r="F66" s="73" t="s">
        <v>42</v>
      </c>
      <c r="G66" s="73" t="s">
        <v>214</v>
      </c>
      <c r="H66" s="73" t="s">
        <v>112</v>
      </c>
      <c r="I66" s="75">
        <v>1.68</v>
      </c>
      <c r="J66" s="76">
        <v>258600.52</v>
      </c>
      <c r="K66" s="125" t="s">
        <v>259</v>
      </c>
      <c r="L66" s="73" t="s">
        <v>734</v>
      </c>
      <c r="M66" s="122">
        <v>41369</v>
      </c>
    </row>
    <row r="67" spans="2:13" x14ac:dyDescent="0.3">
      <c r="B67" s="73">
        <v>55</v>
      </c>
      <c r="C67" s="125" t="s">
        <v>414</v>
      </c>
      <c r="D67" s="124" t="s">
        <v>698</v>
      </c>
      <c r="E67" s="73" t="s">
        <v>35</v>
      </c>
      <c r="F67" s="73" t="s">
        <v>42</v>
      </c>
      <c r="G67" s="73" t="s">
        <v>214</v>
      </c>
      <c r="H67" s="73" t="s">
        <v>132</v>
      </c>
      <c r="I67" s="75">
        <v>11.56</v>
      </c>
      <c r="J67" s="76">
        <v>1807232.82</v>
      </c>
      <c r="K67" s="125" t="s">
        <v>259</v>
      </c>
      <c r="L67" s="73" t="s">
        <v>734</v>
      </c>
      <c r="M67" s="122">
        <v>41369</v>
      </c>
    </row>
    <row r="68" spans="2:13" x14ac:dyDescent="0.3">
      <c r="B68" s="73">
        <v>56</v>
      </c>
      <c r="C68" s="125" t="s">
        <v>415</v>
      </c>
      <c r="D68" s="124" t="s">
        <v>186</v>
      </c>
      <c r="F68" s="73" t="s">
        <v>186</v>
      </c>
      <c r="H68" s="73" t="s">
        <v>121</v>
      </c>
      <c r="I68" s="75">
        <v>14.06</v>
      </c>
      <c r="J68" s="76">
        <v>533327.71</v>
      </c>
      <c r="K68" s="125" t="s">
        <v>261</v>
      </c>
      <c r="L68" s="73" t="s">
        <v>735</v>
      </c>
      <c r="M68" s="122">
        <v>41369</v>
      </c>
    </row>
    <row r="69" spans="2:13" x14ac:dyDescent="0.3">
      <c r="B69" s="73">
        <v>57</v>
      </c>
      <c r="C69" s="125" t="s">
        <v>416</v>
      </c>
      <c r="D69" s="124" t="s">
        <v>699</v>
      </c>
      <c r="E69" s="73" t="s">
        <v>216</v>
      </c>
      <c r="G69" s="73" t="s">
        <v>53</v>
      </c>
      <c r="H69" s="73" t="s">
        <v>109</v>
      </c>
      <c r="I69" s="75">
        <v>26.35</v>
      </c>
      <c r="J69" s="76">
        <v>3462625.95</v>
      </c>
      <c r="K69" s="125" t="s">
        <v>261</v>
      </c>
      <c r="L69" s="73" t="s">
        <v>736</v>
      </c>
      <c r="M69" s="122">
        <v>41369</v>
      </c>
    </row>
    <row r="70" spans="2:13" x14ac:dyDescent="0.3">
      <c r="B70" s="73">
        <v>58</v>
      </c>
      <c r="C70" s="125" t="s">
        <v>417</v>
      </c>
      <c r="D70" s="124" t="s">
        <v>186</v>
      </c>
      <c r="F70" s="73" t="s">
        <v>186</v>
      </c>
      <c r="H70" s="73" t="s">
        <v>150</v>
      </c>
      <c r="I70" s="75">
        <v>13.85</v>
      </c>
      <c r="J70" s="76">
        <v>545075.43000000005</v>
      </c>
      <c r="K70" s="125" t="s">
        <v>259</v>
      </c>
      <c r="L70" s="73" t="s">
        <v>737</v>
      </c>
      <c r="M70" s="122">
        <v>41369</v>
      </c>
    </row>
    <row r="71" spans="2:13" x14ac:dyDescent="0.3">
      <c r="B71" s="73">
        <v>59</v>
      </c>
      <c r="C71" s="125" t="s">
        <v>418</v>
      </c>
      <c r="D71" s="124" t="s">
        <v>187</v>
      </c>
      <c r="F71" s="73" t="s">
        <v>187</v>
      </c>
      <c r="H71" s="73" t="s">
        <v>87</v>
      </c>
      <c r="I71" s="75">
        <v>12.448399999999999</v>
      </c>
      <c r="J71" s="76">
        <v>751379.69</v>
      </c>
      <c r="K71" s="125" t="s">
        <v>259</v>
      </c>
      <c r="L71" s="73" t="s">
        <v>737</v>
      </c>
      <c r="M71" s="122">
        <v>41369</v>
      </c>
    </row>
    <row r="72" spans="2:13" x14ac:dyDescent="0.3">
      <c r="B72" s="73">
        <v>60</v>
      </c>
      <c r="C72" s="125" t="s">
        <v>419</v>
      </c>
      <c r="D72" s="124" t="s">
        <v>187</v>
      </c>
      <c r="F72" s="73" t="s">
        <v>187</v>
      </c>
      <c r="H72" s="73" t="s">
        <v>109</v>
      </c>
      <c r="I72" s="75">
        <v>9.2959999999999994</v>
      </c>
      <c r="J72" s="76">
        <v>424748.89</v>
      </c>
      <c r="K72" s="125" t="s">
        <v>259</v>
      </c>
      <c r="L72" s="73" t="s">
        <v>737</v>
      </c>
      <c r="M72" s="122">
        <v>41369</v>
      </c>
    </row>
    <row r="73" spans="2:13" x14ac:dyDescent="0.3">
      <c r="B73" s="73">
        <v>61</v>
      </c>
      <c r="C73" s="125" t="s">
        <v>420</v>
      </c>
      <c r="D73" s="124" t="s">
        <v>186</v>
      </c>
      <c r="F73" s="73" t="s">
        <v>186</v>
      </c>
      <c r="H73" s="73" t="s">
        <v>122</v>
      </c>
      <c r="I73" s="75">
        <v>18.02</v>
      </c>
      <c r="J73" s="76">
        <v>634716.77</v>
      </c>
      <c r="K73" s="125" t="s">
        <v>259</v>
      </c>
      <c r="L73" s="73" t="s">
        <v>738</v>
      </c>
      <c r="M73" s="122">
        <v>41369</v>
      </c>
    </row>
    <row r="74" spans="2:13" x14ac:dyDescent="0.3">
      <c r="B74" s="73">
        <v>62</v>
      </c>
      <c r="C74" s="125" t="s">
        <v>421</v>
      </c>
      <c r="D74" s="124" t="s">
        <v>186</v>
      </c>
      <c r="F74" s="73" t="s">
        <v>186</v>
      </c>
      <c r="H74" s="73" t="s">
        <v>140</v>
      </c>
      <c r="I74" s="75">
        <v>7.4</v>
      </c>
      <c r="J74" s="76">
        <v>300052.43</v>
      </c>
      <c r="K74" s="125" t="s">
        <v>259</v>
      </c>
      <c r="L74" s="73" t="s">
        <v>738</v>
      </c>
      <c r="M74" s="122">
        <v>41369</v>
      </c>
    </row>
    <row r="75" spans="2:13" x14ac:dyDescent="0.3">
      <c r="B75" s="73">
        <v>63</v>
      </c>
      <c r="C75" s="125" t="s">
        <v>422</v>
      </c>
      <c r="D75" s="124" t="s">
        <v>187</v>
      </c>
      <c r="F75" s="73" t="s">
        <v>187</v>
      </c>
      <c r="H75" s="73" t="s">
        <v>154</v>
      </c>
      <c r="I75" s="75">
        <v>21.48</v>
      </c>
      <c r="J75" s="76">
        <v>926536.82</v>
      </c>
      <c r="K75" s="125" t="s">
        <v>261</v>
      </c>
      <c r="L75" s="73" t="s">
        <v>739</v>
      </c>
      <c r="M75" s="122">
        <v>41369</v>
      </c>
    </row>
    <row r="76" spans="2:13" x14ac:dyDescent="0.3">
      <c r="B76" s="73">
        <v>64</v>
      </c>
      <c r="C76" s="125" t="s">
        <v>423</v>
      </c>
      <c r="D76" s="124" t="s">
        <v>187</v>
      </c>
      <c r="F76" s="73" t="s">
        <v>187</v>
      </c>
      <c r="H76" s="73" t="s">
        <v>86</v>
      </c>
      <c r="I76" s="75">
        <v>16.079999999999998</v>
      </c>
      <c r="J76" s="76">
        <v>1076869.33</v>
      </c>
      <c r="K76" s="125" t="s">
        <v>261</v>
      </c>
      <c r="L76" s="73" t="s">
        <v>740</v>
      </c>
      <c r="M76" s="122">
        <v>41369</v>
      </c>
    </row>
    <row r="77" spans="2:13" x14ac:dyDescent="0.3">
      <c r="B77" s="73">
        <v>65</v>
      </c>
      <c r="C77" s="125" t="s">
        <v>424</v>
      </c>
      <c r="D77" s="124" t="s">
        <v>186</v>
      </c>
      <c r="F77" s="73" t="s">
        <v>186</v>
      </c>
      <c r="H77" s="73" t="s">
        <v>68</v>
      </c>
      <c r="I77" s="75">
        <v>13.18</v>
      </c>
      <c r="J77" s="76">
        <v>580067.49</v>
      </c>
      <c r="K77" s="125" t="s">
        <v>259</v>
      </c>
      <c r="L77" s="73" t="s">
        <v>741</v>
      </c>
      <c r="M77" s="122">
        <v>41369</v>
      </c>
    </row>
    <row r="78" spans="2:13" x14ac:dyDescent="0.3">
      <c r="B78" s="73">
        <v>66</v>
      </c>
      <c r="C78" s="125" t="s">
        <v>425</v>
      </c>
      <c r="D78" s="124" t="s">
        <v>187</v>
      </c>
      <c r="F78" s="73" t="s">
        <v>187</v>
      </c>
      <c r="H78" s="73" t="s">
        <v>68</v>
      </c>
      <c r="I78" s="75">
        <v>9.3800000000000008</v>
      </c>
      <c r="J78" s="76">
        <v>375927.84</v>
      </c>
      <c r="K78" s="125" t="s">
        <v>259</v>
      </c>
      <c r="L78" s="73" t="s">
        <v>741</v>
      </c>
      <c r="M78" s="122">
        <v>41369</v>
      </c>
    </row>
    <row r="79" spans="2:13" x14ac:dyDescent="0.3">
      <c r="B79" s="73">
        <v>67</v>
      </c>
      <c r="C79" s="125" t="s">
        <v>426</v>
      </c>
      <c r="D79" s="124" t="s">
        <v>187</v>
      </c>
      <c r="F79" s="73" t="s">
        <v>187</v>
      </c>
      <c r="H79" s="73" t="s">
        <v>86</v>
      </c>
      <c r="I79" s="75">
        <v>19.04</v>
      </c>
      <c r="J79" s="76">
        <v>972649.27</v>
      </c>
      <c r="K79" s="125" t="s">
        <v>261</v>
      </c>
      <c r="L79" s="73" t="s">
        <v>742</v>
      </c>
      <c r="M79" s="122">
        <v>41369</v>
      </c>
    </row>
    <row r="80" spans="2:13" x14ac:dyDescent="0.3">
      <c r="B80" s="73">
        <v>68</v>
      </c>
      <c r="C80" s="125" t="s">
        <v>427</v>
      </c>
      <c r="D80" s="124" t="s">
        <v>187</v>
      </c>
      <c r="F80" s="73" t="s">
        <v>187</v>
      </c>
      <c r="H80" s="73" t="s">
        <v>79</v>
      </c>
      <c r="I80" s="75">
        <v>13.14</v>
      </c>
      <c r="J80" s="76">
        <v>619334.27</v>
      </c>
      <c r="K80" s="125" t="s">
        <v>259</v>
      </c>
      <c r="L80" s="73" t="s">
        <v>743</v>
      </c>
      <c r="M80" s="122">
        <v>41369</v>
      </c>
    </row>
    <row r="81" spans="2:13" x14ac:dyDescent="0.3">
      <c r="B81" s="73">
        <v>69</v>
      </c>
      <c r="C81" s="125" t="s">
        <v>428</v>
      </c>
      <c r="D81" s="124" t="s">
        <v>187</v>
      </c>
      <c r="F81" s="73" t="s">
        <v>187</v>
      </c>
      <c r="H81" s="73" t="s">
        <v>79</v>
      </c>
      <c r="I81" s="75">
        <v>12.76</v>
      </c>
      <c r="J81" s="76">
        <v>621231.56999999995</v>
      </c>
      <c r="K81" s="125" t="s">
        <v>259</v>
      </c>
      <c r="L81" s="73" t="s">
        <v>743</v>
      </c>
      <c r="M81" s="122">
        <v>41369</v>
      </c>
    </row>
    <row r="82" spans="2:13" x14ac:dyDescent="0.3">
      <c r="B82" s="73">
        <v>70</v>
      </c>
      <c r="C82" s="125" t="s">
        <v>429</v>
      </c>
      <c r="D82" s="124" t="s">
        <v>184</v>
      </c>
      <c r="E82" s="73" t="s">
        <v>25</v>
      </c>
      <c r="G82" s="73" t="s">
        <v>53</v>
      </c>
      <c r="H82" s="73" t="s">
        <v>125</v>
      </c>
      <c r="I82" s="75">
        <v>16.84</v>
      </c>
      <c r="J82" s="76">
        <v>2406223.0299999998</v>
      </c>
      <c r="K82" s="125" t="s">
        <v>261</v>
      </c>
      <c r="L82" s="73" t="s">
        <v>744</v>
      </c>
      <c r="M82" s="122">
        <v>41369</v>
      </c>
    </row>
    <row r="83" spans="2:13" x14ac:dyDescent="0.3">
      <c r="B83" s="73">
        <v>71</v>
      </c>
      <c r="C83" s="125" t="s">
        <v>430</v>
      </c>
      <c r="D83" s="124" t="s">
        <v>189</v>
      </c>
      <c r="E83" s="73" t="s">
        <v>29</v>
      </c>
      <c r="F83" s="73" t="s">
        <v>186</v>
      </c>
      <c r="H83" s="73" t="s">
        <v>116</v>
      </c>
      <c r="I83" s="75">
        <v>22.8</v>
      </c>
      <c r="J83" s="76">
        <v>2129293.69</v>
      </c>
      <c r="K83" s="125" t="s">
        <v>261</v>
      </c>
      <c r="L83" s="73" t="s">
        <v>745</v>
      </c>
      <c r="M83" s="122">
        <v>41369</v>
      </c>
    </row>
    <row r="84" spans="2:13" x14ac:dyDescent="0.3">
      <c r="B84" s="73">
        <v>72</v>
      </c>
      <c r="C84" s="125" t="s">
        <v>431</v>
      </c>
      <c r="D84" s="124" t="s">
        <v>186</v>
      </c>
      <c r="F84" s="73" t="s">
        <v>186</v>
      </c>
      <c r="H84" s="73" t="s">
        <v>108</v>
      </c>
      <c r="I84" s="75">
        <v>21.46</v>
      </c>
      <c r="J84" s="76">
        <v>1543283.5</v>
      </c>
      <c r="K84" s="125" t="s">
        <v>261</v>
      </c>
      <c r="L84" s="73" t="s">
        <v>746</v>
      </c>
      <c r="M84" s="122">
        <v>41369</v>
      </c>
    </row>
    <row r="85" spans="2:13" x14ac:dyDescent="0.3">
      <c r="B85" s="73">
        <v>73</v>
      </c>
      <c r="C85" s="125" t="s">
        <v>432</v>
      </c>
      <c r="D85" s="124" t="s">
        <v>184</v>
      </c>
      <c r="E85" s="73" t="s">
        <v>25</v>
      </c>
      <c r="G85" s="73" t="s">
        <v>53</v>
      </c>
      <c r="H85" s="73" t="s">
        <v>68</v>
      </c>
      <c r="I85" s="75">
        <v>17.68</v>
      </c>
      <c r="J85" s="76">
        <v>4563296.92</v>
      </c>
      <c r="K85" s="125" t="s">
        <v>261</v>
      </c>
      <c r="L85" s="73" t="s">
        <v>747</v>
      </c>
      <c r="M85" s="122">
        <v>41369</v>
      </c>
    </row>
    <row r="86" spans="2:13" x14ac:dyDescent="0.3">
      <c r="B86" s="73">
        <v>74</v>
      </c>
      <c r="C86" s="125" t="s">
        <v>433</v>
      </c>
      <c r="D86" s="124" t="s">
        <v>184</v>
      </c>
      <c r="E86" s="73" t="s">
        <v>25</v>
      </c>
      <c r="G86" s="73" t="s">
        <v>53</v>
      </c>
      <c r="H86" s="73" t="s">
        <v>82</v>
      </c>
      <c r="I86" s="75">
        <v>16.5</v>
      </c>
      <c r="J86" s="76">
        <v>3565008.04</v>
      </c>
      <c r="K86" s="125" t="s">
        <v>261</v>
      </c>
      <c r="L86" s="73" t="s">
        <v>748</v>
      </c>
      <c r="M86" s="122">
        <v>41369</v>
      </c>
    </row>
    <row r="87" spans="2:13" x14ac:dyDescent="0.3">
      <c r="B87" s="73">
        <v>75</v>
      </c>
      <c r="C87" s="125" t="s">
        <v>434</v>
      </c>
      <c r="D87" s="124" t="s">
        <v>184</v>
      </c>
      <c r="E87" s="73" t="s">
        <v>25</v>
      </c>
      <c r="G87" s="73" t="s">
        <v>53</v>
      </c>
      <c r="H87" s="73" t="s">
        <v>78</v>
      </c>
      <c r="I87" s="75">
        <v>12.3</v>
      </c>
      <c r="J87" s="76">
        <v>1137281.73</v>
      </c>
      <c r="K87" s="125" t="s">
        <v>259</v>
      </c>
      <c r="L87" s="73" t="s">
        <v>749</v>
      </c>
      <c r="M87" s="122">
        <v>41418</v>
      </c>
    </row>
    <row r="88" spans="2:13" x14ac:dyDescent="0.3">
      <c r="B88" s="73">
        <v>76</v>
      </c>
      <c r="C88" s="125" t="s">
        <v>435</v>
      </c>
      <c r="D88" s="124" t="s">
        <v>184</v>
      </c>
      <c r="E88" s="73" t="s">
        <v>25</v>
      </c>
      <c r="G88" s="73" t="s">
        <v>53</v>
      </c>
      <c r="H88" s="73" t="s">
        <v>78</v>
      </c>
      <c r="I88" s="75">
        <v>7.15008</v>
      </c>
      <c r="J88" s="76">
        <v>714119.82</v>
      </c>
      <c r="K88" s="125" t="s">
        <v>259</v>
      </c>
      <c r="L88" s="73" t="s">
        <v>749</v>
      </c>
      <c r="M88" s="122">
        <v>41418</v>
      </c>
    </row>
    <row r="89" spans="2:13" x14ac:dyDescent="0.3">
      <c r="B89" s="73">
        <v>77</v>
      </c>
      <c r="C89" s="125" t="s">
        <v>436</v>
      </c>
      <c r="D89" s="124" t="s">
        <v>184</v>
      </c>
      <c r="E89" s="73" t="s">
        <v>25</v>
      </c>
      <c r="G89" s="73" t="s">
        <v>53</v>
      </c>
      <c r="H89" s="73" t="s">
        <v>100</v>
      </c>
      <c r="I89" s="75">
        <v>16.2</v>
      </c>
      <c r="J89" s="76">
        <v>1424761.8</v>
      </c>
      <c r="K89" s="125" t="s">
        <v>261</v>
      </c>
      <c r="L89" s="73" t="s">
        <v>750</v>
      </c>
      <c r="M89" s="122">
        <v>41418</v>
      </c>
    </row>
    <row r="90" spans="2:13" x14ac:dyDescent="0.3">
      <c r="B90" s="73">
        <v>78</v>
      </c>
      <c r="C90" s="125" t="s">
        <v>437</v>
      </c>
      <c r="D90" s="124" t="s">
        <v>184</v>
      </c>
      <c r="E90" s="73" t="s">
        <v>25</v>
      </c>
      <c r="G90" s="73" t="s">
        <v>53</v>
      </c>
      <c r="H90" s="73" t="s">
        <v>122</v>
      </c>
      <c r="I90" s="75">
        <v>8.2819800000000008</v>
      </c>
      <c r="J90" s="76">
        <v>880029.21</v>
      </c>
      <c r="K90" s="125" t="s">
        <v>261</v>
      </c>
      <c r="L90" s="73" t="s">
        <v>751</v>
      </c>
      <c r="M90" s="122">
        <v>41418</v>
      </c>
    </row>
    <row r="91" spans="2:13" x14ac:dyDescent="0.3">
      <c r="B91" s="73">
        <v>79</v>
      </c>
      <c r="C91" s="125" t="s">
        <v>438</v>
      </c>
      <c r="D91" s="124" t="s">
        <v>700</v>
      </c>
      <c r="E91" s="73" t="s">
        <v>216</v>
      </c>
      <c r="G91" s="73" t="s">
        <v>214</v>
      </c>
      <c r="H91" s="73" t="s">
        <v>133</v>
      </c>
      <c r="I91" s="75">
        <v>9.3026400000000002</v>
      </c>
      <c r="J91" s="76">
        <v>210702.27</v>
      </c>
      <c r="K91" s="125" t="s">
        <v>259</v>
      </c>
      <c r="L91" s="73" t="s">
        <v>752</v>
      </c>
      <c r="M91" s="122">
        <v>41467</v>
      </c>
    </row>
    <row r="92" spans="2:13" x14ac:dyDescent="0.3">
      <c r="B92" s="73">
        <v>80</v>
      </c>
      <c r="C92" s="125" t="s">
        <v>439</v>
      </c>
      <c r="D92" s="124" t="s">
        <v>699</v>
      </c>
      <c r="E92" s="73" t="s">
        <v>216</v>
      </c>
      <c r="G92" s="73" t="s">
        <v>53</v>
      </c>
      <c r="H92" s="73" t="s">
        <v>133</v>
      </c>
      <c r="I92" s="75">
        <v>10.16</v>
      </c>
      <c r="J92" s="76">
        <v>1288236.1200000001</v>
      </c>
      <c r="K92" s="125" t="s">
        <v>259</v>
      </c>
      <c r="L92" s="73" t="s">
        <v>752</v>
      </c>
      <c r="M92" s="122">
        <v>41467</v>
      </c>
    </row>
    <row r="93" spans="2:13" x14ac:dyDescent="0.3">
      <c r="B93" s="73">
        <v>81</v>
      </c>
      <c r="C93" s="125" t="s">
        <v>440</v>
      </c>
      <c r="D93" s="124" t="s">
        <v>184</v>
      </c>
      <c r="E93" s="73" t="s">
        <v>25</v>
      </c>
      <c r="G93" s="73" t="s">
        <v>53</v>
      </c>
      <c r="H93" s="73" t="s">
        <v>119</v>
      </c>
      <c r="I93" s="75">
        <v>13.80128</v>
      </c>
      <c r="J93" s="76">
        <v>1448152.49</v>
      </c>
      <c r="K93" s="125" t="s">
        <v>261</v>
      </c>
      <c r="L93" s="73" t="s">
        <v>753</v>
      </c>
      <c r="M93" s="122">
        <v>41418</v>
      </c>
    </row>
    <row r="94" spans="2:13" x14ac:dyDescent="0.3">
      <c r="B94" s="73">
        <v>82</v>
      </c>
      <c r="C94" s="125" t="s">
        <v>441</v>
      </c>
      <c r="D94" s="124" t="s">
        <v>700</v>
      </c>
      <c r="E94" s="73" t="s">
        <v>216</v>
      </c>
      <c r="G94" s="73" t="s">
        <v>214</v>
      </c>
      <c r="H94" s="73" t="s">
        <v>81</v>
      </c>
      <c r="I94" s="75">
        <v>19.008469999999999</v>
      </c>
      <c r="J94" s="76">
        <v>1276975.53</v>
      </c>
      <c r="K94" s="125" t="s">
        <v>261</v>
      </c>
      <c r="L94" s="73" t="s">
        <v>754</v>
      </c>
      <c r="M94" s="122">
        <v>41418</v>
      </c>
    </row>
    <row r="95" spans="2:13" x14ac:dyDescent="0.3">
      <c r="B95" s="73">
        <v>83</v>
      </c>
      <c r="C95" s="125" t="s">
        <v>442</v>
      </c>
      <c r="D95" s="124" t="s">
        <v>184</v>
      </c>
      <c r="E95" s="73" t="s">
        <v>25</v>
      </c>
      <c r="G95" s="73" t="s">
        <v>53</v>
      </c>
      <c r="H95" s="73" t="s">
        <v>78</v>
      </c>
      <c r="I95" s="75">
        <v>23.80284</v>
      </c>
      <c r="J95" s="76">
        <v>2818853.49</v>
      </c>
      <c r="K95" s="125" t="s">
        <v>261</v>
      </c>
      <c r="L95" s="73" t="s">
        <v>755</v>
      </c>
      <c r="M95" s="122">
        <v>41418</v>
      </c>
    </row>
    <row r="96" spans="2:13" x14ac:dyDescent="0.3">
      <c r="B96" s="73">
        <v>84</v>
      </c>
      <c r="C96" s="125" t="s">
        <v>443</v>
      </c>
      <c r="D96" s="124" t="s">
        <v>184</v>
      </c>
      <c r="E96" s="73" t="s">
        <v>25</v>
      </c>
      <c r="G96" s="73" t="s">
        <v>53</v>
      </c>
      <c r="H96" s="73" t="s">
        <v>106</v>
      </c>
      <c r="I96" s="75">
        <v>21.725249999999999</v>
      </c>
      <c r="J96" s="76">
        <v>2831468.62</v>
      </c>
      <c r="K96" s="125" t="s">
        <v>261</v>
      </c>
      <c r="L96" s="73" t="s">
        <v>756</v>
      </c>
      <c r="M96" s="122">
        <v>41467</v>
      </c>
    </row>
    <row r="97" spans="2:13" x14ac:dyDescent="0.3">
      <c r="B97" s="73">
        <v>85</v>
      </c>
      <c r="C97" s="125" t="s">
        <v>444</v>
      </c>
      <c r="D97" s="124" t="s">
        <v>184</v>
      </c>
      <c r="E97" s="73" t="s">
        <v>25</v>
      </c>
      <c r="G97" s="73" t="s">
        <v>53</v>
      </c>
      <c r="H97" s="73" t="s">
        <v>61</v>
      </c>
      <c r="I97" s="75">
        <v>26.207999999999998</v>
      </c>
      <c r="J97" s="76">
        <v>2481101.83</v>
      </c>
      <c r="K97" s="125" t="s">
        <v>261</v>
      </c>
      <c r="L97" s="73" t="s">
        <v>757</v>
      </c>
      <c r="M97" s="122">
        <v>41418</v>
      </c>
    </row>
    <row r="98" spans="2:13" x14ac:dyDescent="0.3">
      <c r="B98" s="73">
        <v>86</v>
      </c>
      <c r="C98" s="125" t="s">
        <v>445</v>
      </c>
      <c r="D98" s="124" t="s">
        <v>700</v>
      </c>
      <c r="E98" s="73" t="s">
        <v>216</v>
      </c>
      <c r="G98" s="73" t="s">
        <v>214</v>
      </c>
      <c r="H98" s="73" t="s">
        <v>70</v>
      </c>
      <c r="I98" s="75">
        <v>10.20036</v>
      </c>
      <c r="J98" s="76">
        <v>648291.69999999995</v>
      </c>
      <c r="K98" s="125" t="s">
        <v>261</v>
      </c>
      <c r="L98" s="73" t="s">
        <v>758</v>
      </c>
      <c r="M98" s="122">
        <v>41418</v>
      </c>
    </row>
    <row r="99" spans="2:13" x14ac:dyDescent="0.3">
      <c r="B99" s="73">
        <v>87</v>
      </c>
      <c r="C99" s="125" t="s">
        <v>446</v>
      </c>
      <c r="D99" s="124" t="s">
        <v>700</v>
      </c>
      <c r="E99" s="73" t="s">
        <v>216</v>
      </c>
      <c r="G99" s="73" t="s">
        <v>214</v>
      </c>
      <c r="H99" s="73" t="s">
        <v>111</v>
      </c>
      <c r="I99" s="75">
        <v>15.86</v>
      </c>
      <c r="J99" s="76">
        <v>1233487.1100000001</v>
      </c>
      <c r="K99" s="125" t="s">
        <v>261</v>
      </c>
      <c r="L99" s="73" t="s">
        <v>759</v>
      </c>
      <c r="M99" s="122">
        <v>41418</v>
      </c>
    </row>
    <row r="100" spans="2:13" x14ac:dyDescent="0.3">
      <c r="B100" s="73">
        <v>88</v>
      </c>
      <c r="C100" s="125" t="s">
        <v>447</v>
      </c>
      <c r="D100" s="124" t="s">
        <v>654</v>
      </c>
      <c r="E100" s="73" t="s">
        <v>25</v>
      </c>
      <c r="G100" s="73" t="s">
        <v>214</v>
      </c>
      <c r="H100" s="73" t="s">
        <v>119</v>
      </c>
      <c r="I100" s="75">
        <v>8.5</v>
      </c>
      <c r="J100" s="76">
        <v>884309.75</v>
      </c>
      <c r="K100" s="125" t="s">
        <v>261</v>
      </c>
      <c r="L100" s="73" t="s">
        <v>760</v>
      </c>
      <c r="M100" s="122">
        <v>41418</v>
      </c>
    </row>
    <row r="101" spans="2:13" x14ac:dyDescent="0.3">
      <c r="B101" s="73">
        <v>89</v>
      </c>
      <c r="C101" s="125" t="s">
        <v>448</v>
      </c>
      <c r="D101" s="124" t="s">
        <v>184</v>
      </c>
      <c r="E101" s="73" t="s">
        <v>25</v>
      </c>
      <c r="G101" s="73" t="s">
        <v>53</v>
      </c>
      <c r="H101" s="73" t="s">
        <v>78</v>
      </c>
      <c r="I101" s="75">
        <v>13.34263</v>
      </c>
      <c r="J101" s="76">
        <v>1985944.48</v>
      </c>
      <c r="K101" s="125" t="s">
        <v>261</v>
      </c>
      <c r="L101" s="73" t="s">
        <v>761</v>
      </c>
      <c r="M101" s="122">
        <v>41418</v>
      </c>
    </row>
    <row r="102" spans="2:13" x14ac:dyDescent="0.3">
      <c r="B102" s="73">
        <v>90</v>
      </c>
      <c r="C102" s="125" t="s">
        <v>449</v>
      </c>
      <c r="D102" s="124" t="s">
        <v>655</v>
      </c>
      <c r="F102" s="73" t="s">
        <v>42</v>
      </c>
      <c r="G102" s="73" t="s">
        <v>214</v>
      </c>
      <c r="H102" s="73" t="s">
        <v>115</v>
      </c>
      <c r="I102" s="75">
        <v>5.4027399999999997</v>
      </c>
      <c r="J102" s="76">
        <v>391719.23</v>
      </c>
      <c r="K102" s="125" t="s">
        <v>259</v>
      </c>
      <c r="L102" s="73" t="s">
        <v>762</v>
      </c>
      <c r="M102" s="122">
        <v>41418</v>
      </c>
    </row>
    <row r="103" spans="2:13" x14ac:dyDescent="0.3">
      <c r="B103" s="73">
        <v>91</v>
      </c>
      <c r="C103" s="125" t="s">
        <v>450</v>
      </c>
      <c r="D103" s="124" t="s">
        <v>655</v>
      </c>
      <c r="F103" s="73" t="s">
        <v>42</v>
      </c>
      <c r="G103" s="73" t="s">
        <v>214</v>
      </c>
      <c r="H103" s="73" t="s">
        <v>144</v>
      </c>
      <c r="I103" s="75">
        <v>8.52</v>
      </c>
      <c r="J103" s="76">
        <v>766818.82</v>
      </c>
      <c r="K103" s="125" t="s">
        <v>259</v>
      </c>
      <c r="L103" s="73" t="s">
        <v>762</v>
      </c>
      <c r="M103" s="122">
        <v>41418</v>
      </c>
    </row>
    <row r="104" spans="2:13" x14ac:dyDescent="0.3">
      <c r="B104" s="73">
        <v>92</v>
      </c>
      <c r="C104" s="125" t="s">
        <v>451</v>
      </c>
      <c r="D104" s="124" t="s">
        <v>699</v>
      </c>
      <c r="E104" s="73" t="s">
        <v>216</v>
      </c>
      <c r="G104" s="73" t="s">
        <v>53</v>
      </c>
      <c r="H104" s="73" t="s">
        <v>100</v>
      </c>
      <c r="I104" s="75">
        <v>13.805210000000001</v>
      </c>
      <c r="J104" s="76">
        <v>1295973.32</v>
      </c>
      <c r="K104" s="125" t="s">
        <v>261</v>
      </c>
      <c r="L104" s="73" t="s">
        <v>763</v>
      </c>
      <c r="M104" s="122">
        <v>41418</v>
      </c>
    </row>
    <row r="105" spans="2:13" x14ac:dyDescent="0.3">
      <c r="B105" s="73">
        <v>93</v>
      </c>
      <c r="C105" s="125" t="s">
        <v>452</v>
      </c>
      <c r="D105" s="124" t="s">
        <v>699</v>
      </c>
      <c r="E105" s="73" t="s">
        <v>216</v>
      </c>
      <c r="G105" s="73" t="s">
        <v>53</v>
      </c>
      <c r="H105" s="73" t="s">
        <v>153</v>
      </c>
      <c r="I105" s="75">
        <v>14.70664</v>
      </c>
      <c r="J105" s="76">
        <v>1525137.32</v>
      </c>
      <c r="K105" s="125" t="s">
        <v>261</v>
      </c>
      <c r="L105" s="73" t="s">
        <v>764</v>
      </c>
      <c r="M105" s="122">
        <v>41418</v>
      </c>
    </row>
    <row r="106" spans="2:13" x14ac:dyDescent="0.3">
      <c r="B106" s="73">
        <v>94</v>
      </c>
      <c r="C106" s="125" t="s">
        <v>453</v>
      </c>
      <c r="D106" s="124" t="s">
        <v>184</v>
      </c>
      <c r="E106" s="73" t="s">
        <v>25</v>
      </c>
      <c r="G106" s="73" t="s">
        <v>53</v>
      </c>
      <c r="H106" s="73" t="s">
        <v>154</v>
      </c>
      <c r="I106" s="75">
        <v>8.3007279999999994</v>
      </c>
      <c r="J106" s="76">
        <v>917461.93</v>
      </c>
      <c r="K106" s="125" t="s">
        <v>261</v>
      </c>
      <c r="L106" s="73" t="s">
        <v>765</v>
      </c>
      <c r="M106" s="122">
        <v>41418</v>
      </c>
    </row>
    <row r="107" spans="2:13" x14ac:dyDescent="0.3">
      <c r="B107" s="73">
        <v>95</v>
      </c>
      <c r="C107" s="125" t="s">
        <v>454</v>
      </c>
      <c r="D107" s="124" t="s">
        <v>701</v>
      </c>
      <c r="F107" s="73" t="s">
        <v>42</v>
      </c>
      <c r="G107" s="73" t="s">
        <v>53</v>
      </c>
      <c r="H107" s="73" t="s">
        <v>76</v>
      </c>
      <c r="I107" s="75">
        <v>33.56</v>
      </c>
      <c r="J107" s="76">
        <v>6306354.2199999997</v>
      </c>
      <c r="K107" s="125" t="s">
        <v>261</v>
      </c>
      <c r="L107" s="73" t="s">
        <v>766</v>
      </c>
      <c r="M107" s="122">
        <v>41467</v>
      </c>
    </row>
    <row r="108" spans="2:13" x14ac:dyDescent="0.3">
      <c r="B108" s="73">
        <v>96</v>
      </c>
      <c r="C108" s="125" t="s">
        <v>455</v>
      </c>
      <c r="D108" s="124" t="s">
        <v>184</v>
      </c>
      <c r="E108" s="73" t="s">
        <v>25</v>
      </c>
      <c r="G108" s="73" t="s">
        <v>53</v>
      </c>
      <c r="H108" s="73" t="s">
        <v>131</v>
      </c>
      <c r="I108" s="75">
        <v>11.020659999999999</v>
      </c>
      <c r="J108" s="76">
        <v>1589688.67</v>
      </c>
      <c r="K108" s="125" t="s">
        <v>261</v>
      </c>
      <c r="L108" s="73" t="s">
        <v>767</v>
      </c>
      <c r="M108" s="122">
        <v>41418</v>
      </c>
    </row>
    <row r="109" spans="2:13" x14ac:dyDescent="0.3">
      <c r="B109" s="73">
        <v>97</v>
      </c>
      <c r="C109" s="125" t="s">
        <v>456</v>
      </c>
      <c r="D109" s="124" t="s">
        <v>188</v>
      </c>
      <c r="G109" s="73" t="s">
        <v>214</v>
      </c>
      <c r="H109" s="73" t="s">
        <v>130</v>
      </c>
      <c r="I109" s="75">
        <v>8.42</v>
      </c>
      <c r="J109" s="76">
        <v>828652.76</v>
      </c>
      <c r="K109" s="125" t="s">
        <v>261</v>
      </c>
      <c r="L109" s="73" t="s">
        <v>768</v>
      </c>
      <c r="M109" s="122">
        <v>41418</v>
      </c>
    </row>
    <row r="110" spans="2:13" x14ac:dyDescent="0.3">
      <c r="B110" s="73">
        <v>98</v>
      </c>
      <c r="C110" s="125" t="s">
        <v>457</v>
      </c>
      <c r="D110" s="124" t="s">
        <v>184</v>
      </c>
      <c r="E110" s="73" t="s">
        <v>25</v>
      </c>
      <c r="G110" s="73" t="s">
        <v>53</v>
      </c>
      <c r="H110" s="73" t="s">
        <v>92</v>
      </c>
      <c r="I110" s="75">
        <v>12.95252</v>
      </c>
      <c r="J110" s="76">
        <v>2072223.92</v>
      </c>
      <c r="K110" s="125" t="s">
        <v>261</v>
      </c>
      <c r="L110" s="73" t="s">
        <v>769</v>
      </c>
      <c r="M110" s="122">
        <v>41467</v>
      </c>
    </row>
    <row r="111" spans="2:13" x14ac:dyDescent="0.3">
      <c r="B111" s="73">
        <v>99</v>
      </c>
      <c r="C111" s="125" t="s">
        <v>277</v>
      </c>
      <c r="D111" s="124" t="s">
        <v>184</v>
      </c>
      <c r="E111" s="73" t="s">
        <v>25</v>
      </c>
      <c r="G111" s="73" t="s">
        <v>53</v>
      </c>
      <c r="H111" s="73" t="s">
        <v>63</v>
      </c>
      <c r="I111" s="75">
        <v>9.08</v>
      </c>
      <c r="J111" s="76">
        <v>1131821.3600000001</v>
      </c>
      <c r="K111" s="125" t="s">
        <v>261</v>
      </c>
      <c r="L111" s="73" t="s">
        <v>770</v>
      </c>
      <c r="M111" s="122">
        <v>41418</v>
      </c>
    </row>
    <row r="112" spans="2:13" x14ac:dyDescent="0.3">
      <c r="B112" s="73">
        <v>100</v>
      </c>
      <c r="C112" s="125" t="s">
        <v>458</v>
      </c>
      <c r="D112" s="124" t="s">
        <v>184</v>
      </c>
      <c r="E112" s="73" t="s">
        <v>25</v>
      </c>
      <c r="G112" s="73" t="s">
        <v>53</v>
      </c>
      <c r="H112" s="73" t="s">
        <v>120</v>
      </c>
      <c r="I112" s="75">
        <v>9.0399999999999991</v>
      </c>
      <c r="J112" s="76">
        <v>1034484.57</v>
      </c>
      <c r="K112" s="125" t="s">
        <v>261</v>
      </c>
      <c r="L112" s="73" t="s">
        <v>771</v>
      </c>
      <c r="M112" s="122">
        <v>41418</v>
      </c>
    </row>
    <row r="113" spans="2:13" x14ac:dyDescent="0.3">
      <c r="B113" s="73">
        <v>101</v>
      </c>
      <c r="C113" s="125" t="s">
        <v>278</v>
      </c>
      <c r="D113" s="124" t="s">
        <v>188</v>
      </c>
      <c r="G113" s="73" t="s">
        <v>214</v>
      </c>
      <c r="H113" s="73" t="s">
        <v>65</v>
      </c>
      <c r="I113" s="75">
        <v>11.06</v>
      </c>
      <c r="J113" s="76">
        <v>652450.94999999995</v>
      </c>
      <c r="K113" s="125" t="s">
        <v>261</v>
      </c>
      <c r="L113" s="73" t="s">
        <v>772</v>
      </c>
      <c r="M113" s="122">
        <v>41418</v>
      </c>
    </row>
    <row r="114" spans="2:13" x14ac:dyDescent="0.3">
      <c r="B114" s="73">
        <v>102</v>
      </c>
      <c r="C114" s="125" t="s">
        <v>459</v>
      </c>
      <c r="D114" s="124" t="s">
        <v>184</v>
      </c>
      <c r="E114" s="73" t="s">
        <v>25</v>
      </c>
      <c r="G114" s="73" t="s">
        <v>53</v>
      </c>
      <c r="H114" s="73" t="s">
        <v>62</v>
      </c>
      <c r="I114" s="75">
        <v>14.44</v>
      </c>
      <c r="J114" s="76">
        <v>1770694.75</v>
      </c>
      <c r="K114" s="125" t="s">
        <v>259</v>
      </c>
      <c r="L114" s="73" t="s">
        <v>773</v>
      </c>
      <c r="M114" s="122">
        <v>41418</v>
      </c>
    </row>
    <row r="115" spans="2:13" x14ac:dyDescent="0.3">
      <c r="B115" s="73">
        <v>103</v>
      </c>
      <c r="C115" s="125" t="s">
        <v>279</v>
      </c>
      <c r="D115" s="124" t="s">
        <v>184</v>
      </c>
      <c r="E115" s="73" t="s">
        <v>25</v>
      </c>
      <c r="G115" s="73" t="s">
        <v>53</v>
      </c>
      <c r="H115" s="73" t="s">
        <v>62</v>
      </c>
      <c r="I115" s="75">
        <v>9.42</v>
      </c>
      <c r="J115" s="76">
        <v>1441947.71</v>
      </c>
      <c r="K115" s="125" t="s">
        <v>259</v>
      </c>
      <c r="L115" s="73" t="s">
        <v>773</v>
      </c>
      <c r="M115" s="122">
        <v>41418</v>
      </c>
    </row>
    <row r="116" spans="2:13" x14ac:dyDescent="0.3">
      <c r="B116" s="73">
        <v>104</v>
      </c>
      <c r="C116" s="125" t="s">
        <v>280</v>
      </c>
      <c r="D116" s="124" t="s">
        <v>184</v>
      </c>
      <c r="E116" s="73" t="s">
        <v>25</v>
      </c>
      <c r="G116" s="73" t="s">
        <v>53</v>
      </c>
      <c r="H116" s="73" t="s">
        <v>94</v>
      </c>
      <c r="I116" s="75">
        <v>17.600000000000001</v>
      </c>
      <c r="J116" s="76">
        <v>2449897.4700000002</v>
      </c>
      <c r="K116" s="125" t="s">
        <v>259</v>
      </c>
      <c r="L116" s="73" t="s">
        <v>774</v>
      </c>
      <c r="M116" s="122">
        <v>41418</v>
      </c>
    </row>
    <row r="117" spans="2:13" x14ac:dyDescent="0.3">
      <c r="B117" s="73">
        <v>105</v>
      </c>
      <c r="C117" s="125" t="s">
        <v>281</v>
      </c>
      <c r="D117" s="124" t="s">
        <v>184</v>
      </c>
      <c r="E117" s="73" t="s">
        <v>25</v>
      </c>
      <c r="G117" s="73" t="s">
        <v>53</v>
      </c>
      <c r="H117" s="73" t="s">
        <v>94</v>
      </c>
      <c r="I117" s="75">
        <v>8.4</v>
      </c>
      <c r="J117" s="76">
        <v>1224966.27</v>
      </c>
      <c r="K117" s="125" t="s">
        <v>259</v>
      </c>
      <c r="L117" s="73" t="s">
        <v>774</v>
      </c>
      <c r="M117" s="122">
        <v>41418</v>
      </c>
    </row>
    <row r="118" spans="2:13" x14ac:dyDescent="0.3">
      <c r="B118" s="73">
        <v>106</v>
      </c>
      <c r="C118" s="125" t="s">
        <v>282</v>
      </c>
      <c r="D118" s="124" t="s">
        <v>184</v>
      </c>
      <c r="E118" s="73" t="s">
        <v>25</v>
      </c>
      <c r="G118" s="73" t="s">
        <v>53</v>
      </c>
      <c r="H118" s="73" t="s">
        <v>114</v>
      </c>
      <c r="I118" s="75">
        <v>5.56</v>
      </c>
      <c r="J118" s="76">
        <v>475011.78</v>
      </c>
      <c r="K118" s="125" t="s">
        <v>261</v>
      </c>
      <c r="L118" s="73" t="s">
        <v>775</v>
      </c>
      <c r="M118" s="122">
        <v>41418</v>
      </c>
    </row>
    <row r="119" spans="2:13" x14ac:dyDescent="0.3">
      <c r="B119" s="73">
        <v>107</v>
      </c>
      <c r="C119" s="125" t="s">
        <v>283</v>
      </c>
      <c r="D119" s="124" t="s">
        <v>655</v>
      </c>
      <c r="F119" s="73" t="s">
        <v>42</v>
      </c>
      <c r="G119" s="73" t="s">
        <v>214</v>
      </c>
      <c r="H119" s="73" t="s">
        <v>85</v>
      </c>
      <c r="I119" s="75">
        <v>12.6</v>
      </c>
      <c r="J119" s="76">
        <v>770062.36</v>
      </c>
      <c r="K119" s="125" t="s">
        <v>261</v>
      </c>
      <c r="L119" s="73" t="s">
        <v>776</v>
      </c>
      <c r="M119" s="122">
        <v>41418</v>
      </c>
    </row>
    <row r="120" spans="2:13" x14ac:dyDescent="0.3">
      <c r="B120" s="73">
        <v>108</v>
      </c>
      <c r="C120" s="125" t="s">
        <v>284</v>
      </c>
      <c r="D120" s="124" t="s">
        <v>184</v>
      </c>
      <c r="E120" s="73" t="s">
        <v>25</v>
      </c>
      <c r="G120" s="73" t="s">
        <v>53</v>
      </c>
      <c r="H120" s="73" t="s">
        <v>117</v>
      </c>
      <c r="I120" s="75">
        <v>12.96</v>
      </c>
      <c r="J120" s="76">
        <v>1422891.78</v>
      </c>
      <c r="K120" s="125" t="s">
        <v>261</v>
      </c>
      <c r="L120" s="73" t="s">
        <v>777</v>
      </c>
      <c r="M120" s="122">
        <v>41418</v>
      </c>
    </row>
    <row r="121" spans="2:13" x14ac:dyDescent="0.3">
      <c r="B121" s="73">
        <v>109</v>
      </c>
      <c r="C121" s="125" t="s">
        <v>693</v>
      </c>
      <c r="D121" s="159" t="s">
        <v>702</v>
      </c>
      <c r="I121" s="75">
        <v>0</v>
      </c>
      <c r="J121" s="76">
        <v>457596.60002886859</v>
      </c>
      <c r="K121" s="125" t="s">
        <v>261</v>
      </c>
      <c r="L121" s="73" t="s">
        <v>778</v>
      </c>
      <c r="M121" s="122">
        <v>41418</v>
      </c>
    </row>
    <row r="122" spans="2:13" x14ac:dyDescent="0.3">
      <c r="B122" s="73">
        <v>110</v>
      </c>
      <c r="C122" s="125" t="s">
        <v>460</v>
      </c>
      <c r="D122" s="124" t="s">
        <v>185</v>
      </c>
      <c r="G122" s="73" t="s">
        <v>53</v>
      </c>
      <c r="H122" s="73" t="s">
        <v>126</v>
      </c>
      <c r="I122" s="75">
        <v>13.88</v>
      </c>
      <c r="J122" s="76">
        <v>2094129.572436962</v>
      </c>
      <c r="K122" s="125" t="s">
        <v>261</v>
      </c>
      <c r="L122" s="73" t="s">
        <v>779</v>
      </c>
      <c r="M122" s="122">
        <v>41418</v>
      </c>
    </row>
    <row r="123" spans="2:13" x14ac:dyDescent="0.3">
      <c r="B123" s="73">
        <v>111</v>
      </c>
      <c r="C123" s="125" t="s">
        <v>461</v>
      </c>
      <c r="D123" s="124" t="s">
        <v>184</v>
      </c>
      <c r="E123" s="73" t="s">
        <v>25</v>
      </c>
      <c r="G123" s="73" t="s">
        <v>53</v>
      </c>
      <c r="H123" s="73" t="s">
        <v>152</v>
      </c>
      <c r="I123" s="75">
        <v>10.86</v>
      </c>
      <c r="J123" s="76">
        <v>1412665.0018813887</v>
      </c>
      <c r="K123" s="125" t="s">
        <v>261</v>
      </c>
      <c r="L123" s="73" t="s">
        <v>780</v>
      </c>
      <c r="M123" s="122">
        <v>41418</v>
      </c>
    </row>
    <row r="124" spans="2:13" x14ac:dyDescent="0.3">
      <c r="B124" s="73">
        <v>112</v>
      </c>
      <c r="C124" s="125" t="s">
        <v>462</v>
      </c>
      <c r="D124" s="124" t="s">
        <v>703</v>
      </c>
      <c r="F124" s="73" t="s">
        <v>42</v>
      </c>
      <c r="G124" s="73" t="s">
        <v>264</v>
      </c>
      <c r="H124" s="73" t="s">
        <v>85</v>
      </c>
      <c r="I124" s="75">
        <v>17.3</v>
      </c>
      <c r="J124" s="76">
        <v>967744.20010344801</v>
      </c>
      <c r="K124" s="125" t="s">
        <v>261</v>
      </c>
      <c r="L124" s="73" t="s">
        <v>781</v>
      </c>
      <c r="M124" s="122">
        <v>41418</v>
      </c>
    </row>
    <row r="125" spans="2:13" x14ac:dyDescent="0.3">
      <c r="B125" s="73">
        <v>113</v>
      </c>
      <c r="C125" s="125" t="s">
        <v>463</v>
      </c>
      <c r="D125" s="124" t="s">
        <v>188</v>
      </c>
      <c r="G125" s="73" t="s">
        <v>214</v>
      </c>
      <c r="H125" s="73" t="s">
        <v>103</v>
      </c>
      <c r="I125" s="75">
        <v>15.38</v>
      </c>
      <c r="J125" s="76">
        <v>1102439.8555860117</v>
      </c>
      <c r="K125" s="125" t="s">
        <v>261</v>
      </c>
      <c r="L125" s="73" t="s">
        <v>782</v>
      </c>
      <c r="M125" s="122">
        <v>41418</v>
      </c>
    </row>
    <row r="126" spans="2:13" x14ac:dyDescent="0.3">
      <c r="B126" s="73">
        <v>114</v>
      </c>
      <c r="C126" s="125" t="s">
        <v>464</v>
      </c>
      <c r="D126" s="124" t="s">
        <v>184</v>
      </c>
      <c r="E126" s="73" t="s">
        <v>25</v>
      </c>
      <c r="G126" s="73" t="s">
        <v>53</v>
      </c>
      <c r="H126" s="73" t="s">
        <v>130</v>
      </c>
      <c r="I126" s="75">
        <v>4.1399999999999997</v>
      </c>
      <c r="J126" s="76">
        <v>428991.76450604346</v>
      </c>
      <c r="K126" s="125" t="s">
        <v>261</v>
      </c>
      <c r="L126" s="73" t="s">
        <v>783</v>
      </c>
      <c r="M126" s="122">
        <v>41418</v>
      </c>
    </row>
    <row r="127" spans="2:13" x14ac:dyDescent="0.3">
      <c r="B127" s="73">
        <v>115</v>
      </c>
      <c r="C127" s="125" t="s">
        <v>465</v>
      </c>
      <c r="D127" s="124" t="s">
        <v>185</v>
      </c>
      <c r="G127" s="73" t="s">
        <v>53</v>
      </c>
      <c r="H127" s="73" t="s">
        <v>65</v>
      </c>
      <c r="I127" s="75">
        <v>13.06433</v>
      </c>
      <c r="J127" s="76">
        <v>1438032.4966419314</v>
      </c>
      <c r="K127" s="125" t="s">
        <v>261</v>
      </c>
      <c r="L127" s="73" t="s">
        <v>784</v>
      </c>
      <c r="M127" s="122">
        <v>41418</v>
      </c>
    </row>
    <row r="128" spans="2:13" x14ac:dyDescent="0.3">
      <c r="B128" s="73">
        <v>116</v>
      </c>
      <c r="C128" s="125" t="s">
        <v>285</v>
      </c>
      <c r="D128" s="124" t="s">
        <v>184</v>
      </c>
      <c r="E128" s="73" t="s">
        <v>25</v>
      </c>
      <c r="G128" s="73" t="s">
        <v>53</v>
      </c>
      <c r="H128" s="73" t="s">
        <v>92</v>
      </c>
      <c r="I128" s="75">
        <v>7.04352</v>
      </c>
      <c r="J128" s="76">
        <v>949631.12335000245</v>
      </c>
      <c r="K128" s="125" t="s">
        <v>261</v>
      </c>
      <c r="L128" s="73" t="s">
        <v>785</v>
      </c>
      <c r="M128" s="122">
        <v>41418</v>
      </c>
    </row>
    <row r="129" spans="2:13" x14ac:dyDescent="0.3">
      <c r="B129" s="73">
        <v>117</v>
      </c>
      <c r="C129" s="125" t="s">
        <v>286</v>
      </c>
      <c r="D129" s="124" t="s">
        <v>190</v>
      </c>
      <c r="G129" s="73" t="s">
        <v>264</v>
      </c>
      <c r="H129" s="73" t="s">
        <v>90</v>
      </c>
      <c r="I129" s="75">
        <v>7</v>
      </c>
      <c r="J129" s="76">
        <v>448186.79272002337</v>
      </c>
      <c r="K129" s="125" t="s">
        <v>261</v>
      </c>
      <c r="L129" s="73" t="s">
        <v>786</v>
      </c>
      <c r="M129" s="122">
        <v>41418</v>
      </c>
    </row>
    <row r="130" spans="2:13" x14ac:dyDescent="0.3">
      <c r="B130" s="73">
        <v>118</v>
      </c>
      <c r="C130" s="125" t="s">
        <v>287</v>
      </c>
      <c r="D130" s="124" t="s">
        <v>190</v>
      </c>
      <c r="G130" s="73" t="s">
        <v>264</v>
      </c>
      <c r="H130" s="73" t="s">
        <v>129</v>
      </c>
      <c r="I130" s="75">
        <v>10</v>
      </c>
      <c r="J130" s="76">
        <v>607348.66531086678</v>
      </c>
      <c r="K130" s="125" t="s">
        <v>259</v>
      </c>
      <c r="L130" s="73" t="s">
        <v>787</v>
      </c>
      <c r="M130" s="122">
        <v>41418</v>
      </c>
    </row>
    <row r="131" spans="2:13" x14ac:dyDescent="0.3">
      <c r="B131" s="73">
        <v>119</v>
      </c>
      <c r="C131" s="125" t="s">
        <v>288</v>
      </c>
      <c r="D131" s="124" t="s">
        <v>190</v>
      </c>
      <c r="G131" s="73" t="s">
        <v>264</v>
      </c>
      <c r="H131" s="73" t="s">
        <v>129</v>
      </c>
      <c r="I131" s="75">
        <v>2.5</v>
      </c>
      <c r="J131" s="76">
        <v>184087.12184343213</v>
      </c>
      <c r="K131" s="125" t="s">
        <v>259</v>
      </c>
      <c r="L131" s="73" t="s">
        <v>787</v>
      </c>
      <c r="M131" s="122">
        <v>41418</v>
      </c>
    </row>
    <row r="132" spans="2:13" x14ac:dyDescent="0.3">
      <c r="B132" s="73">
        <v>120</v>
      </c>
      <c r="C132" s="125" t="s">
        <v>289</v>
      </c>
      <c r="D132" s="124" t="s">
        <v>184</v>
      </c>
      <c r="E132" s="73" t="s">
        <v>25</v>
      </c>
      <c r="G132" s="73" t="s">
        <v>53</v>
      </c>
      <c r="H132" s="73" t="s">
        <v>86</v>
      </c>
      <c r="I132" s="75">
        <v>7.92</v>
      </c>
      <c r="J132" s="76">
        <v>759808.00601311796</v>
      </c>
      <c r="K132" s="125" t="s">
        <v>259</v>
      </c>
      <c r="L132" s="73" t="s">
        <v>788</v>
      </c>
      <c r="M132" s="122">
        <v>41467</v>
      </c>
    </row>
    <row r="133" spans="2:13" x14ac:dyDescent="0.3">
      <c r="B133" s="73">
        <v>121</v>
      </c>
      <c r="C133" s="125" t="s">
        <v>290</v>
      </c>
      <c r="D133" s="124" t="s">
        <v>184</v>
      </c>
      <c r="E133" s="73" t="s">
        <v>25</v>
      </c>
      <c r="G133" s="73" t="s">
        <v>53</v>
      </c>
      <c r="H133" s="73" t="s">
        <v>86</v>
      </c>
      <c r="I133" s="75">
        <v>7.86165</v>
      </c>
      <c r="J133" s="76">
        <v>2001919.8941452256</v>
      </c>
      <c r="K133" s="125" t="s">
        <v>259</v>
      </c>
      <c r="L133" s="73" t="s">
        <v>788</v>
      </c>
      <c r="M133" s="122">
        <v>41467</v>
      </c>
    </row>
    <row r="134" spans="2:13" x14ac:dyDescent="0.3">
      <c r="B134" s="73">
        <v>122</v>
      </c>
      <c r="C134" s="125" t="s">
        <v>291</v>
      </c>
      <c r="D134" s="124" t="s">
        <v>184</v>
      </c>
      <c r="E134" s="73" t="s">
        <v>25</v>
      </c>
      <c r="G134" s="73" t="s">
        <v>53</v>
      </c>
      <c r="H134" s="73" t="s">
        <v>86</v>
      </c>
      <c r="I134" s="75">
        <v>1.1000000000000001</v>
      </c>
      <c r="J134" s="76">
        <v>318358.31787927449</v>
      </c>
      <c r="K134" s="125" t="s">
        <v>259</v>
      </c>
      <c r="L134" s="73" t="s">
        <v>788</v>
      </c>
      <c r="M134" s="122">
        <v>41467</v>
      </c>
    </row>
    <row r="135" spans="2:13" x14ac:dyDescent="0.3">
      <c r="B135" s="73">
        <v>123</v>
      </c>
      <c r="C135" s="125" t="s">
        <v>292</v>
      </c>
      <c r="D135" s="124" t="s">
        <v>190</v>
      </c>
      <c r="G135" s="73" t="s">
        <v>264</v>
      </c>
      <c r="H135" s="73" t="s">
        <v>67</v>
      </c>
      <c r="I135" s="75">
        <v>5.6627999999999998</v>
      </c>
      <c r="J135" s="76">
        <v>249771.47165493257</v>
      </c>
      <c r="K135" s="125" t="s">
        <v>259</v>
      </c>
      <c r="L135" s="73" t="s">
        <v>789</v>
      </c>
      <c r="M135" s="122">
        <v>41418</v>
      </c>
    </row>
    <row r="136" spans="2:13" x14ac:dyDescent="0.3">
      <c r="B136" s="73">
        <v>124</v>
      </c>
      <c r="C136" s="125" t="s">
        <v>293</v>
      </c>
      <c r="D136" s="124" t="s">
        <v>190</v>
      </c>
      <c r="G136" s="73" t="s">
        <v>264</v>
      </c>
      <c r="H136" s="73" t="s">
        <v>75</v>
      </c>
      <c r="I136" s="75">
        <v>12.66</v>
      </c>
      <c r="J136" s="76">
        <v>609423.15672120417</v>
      </c>
      <c r="K136" s="125" t="s">
        <v>259</v>
      </c>
      <c r="L136" s="73" t="s">
        <v>789</v>
      </c>
      <c r="M136" s="122">
        <v>41418</v>
      </c>
    </row>
    <row r="137" spans="2:13" x14ac:dyDescent="0.3">
      <c r="B137" s="73">
        <v>125</v>
      </c>
      <c r="C137" s="125" t="s">
        <v>294</v>
      </c>
      <c r="D137" s="124" t="s">
        <v>188</v>
      </c>
      <c r="G137" s="73" t="s">
        <v>214</v>
      </c>
      <c r="H137" s="73" t="s">
        <v>67</v>
      </c>
      <c r="I137" s="75">
        <v>7.3</v>
      </c>
      <c r="J137" s="76">
        <v>385696.43824374437</v>
      </c>
      <c r="K137" s="125" t="s">
        <v>259</v>
      </c>
      <c r="L137" s="73" t="s">
        <v>790</v>
      </c>
      <c r="M137" s="122">
        <v>41418</v>
      </c>
    </row>
    <row r="138" spans="2:13" x14ac:dyDescent="0.3">
      <c r="B138" s="73">
        <v>126</v>
      </c>
      <c r="C138" s="125" t="s">
        <v>295</v>
      </c>
      <c r="D138" s="124" t="s">
        <v>188</v>
      </c>
      <c r="G138" s="73" t="s">
        <v>214</v>
      </c>
      <c r="H138" s="73" t="s">
        <v>148</v>
      </c>
      <c r="I138" s="75">
        <v>19.126799999999999</v>
      </c>
      <c r="J138" s="76">
        <v>1084466.9389175938</v>
      </c>
      <c r="K138" s="125" t="s">
        <v>259</v>
      </c>
      <c r="L138" s="73" t="s">
        <v>790</v>
      </c>
      <c r="M138" s="122">
        <v>41418</v>
      </c>
    </row>
    <row r="139" spans="2:13" x14ac:dyDescent="0.3">
      <c r="B139" s="73">
        <v>127</v>
      </c>
      <c r="C139" s="125" t="s">
        <v>466</v>
      </c>
      <c r="D139" s="124" t="s">
        <v>184</v>
      </c>
      <c r="E139" s="73" t="s">
        <v>25</v>
      </c>
      <c r="G139" s="73" t="s">
        <v>53</v>
      </c>
      <c r="H139" s="73" t="s">
        <v>71</v>
      </c>
      <c r="I139" s="75">
        <v>10.52</v>
      </c>
      <c r="J139" s="76">
        <v>477599.71877929039</v>
      </c>
      <c r="K139" s="125" t="s">
        <v>259</v>
      </c>
      <c r="L139" s="73" t="s">
        <v>791</v>
      </c>
      <c r="M139" s="122">
        <v>41418</v>
      </c>
    </row>
    <row r="140" spans="2:13" x14ac:dyDescent="0.3">
      <c r="B140" s="73">
        <v>128</v>
      </c>
      <c r="C140" s="125" t="s">
        <v>296</v>
      </c>
      <c r="D140" s="124" t="s">
        <v>184</v>
      </c>
      <c r="E140" s="73" t="s">
        <v>25</v>
      </c>
      <c r="G140" s="73" t="s">
        <v>53</v>
      </c>
      <c r="H140" s="73" t="s">
        <v>71</v>
      </c>
      <c r="I140" s="75">
        <v>1.42</v>
      </c>
      <c r="J140" s="76">
        <v>506246.62268627866</v>
      </c>
      <c r="K140" s="125" t="s">
        <v>259</v>
      </c>
      <c r="L140" s="73" t="s">
        <v>791</v>
      </c>
      <c r="M140" s="122">
        <v>41418</v>
      </c>
    </row>
    <row r="141" spans="2:13" x14ac:dyDescent="0.3">
      <c r="B141" s="73">
        <v>129</v>
      </c>
      <c r="C141" s="125" t="s">
        <v>297</v>
      </c>
      <c r="D141" s="124" t="s">
        <v>185</v>
      </c>
      <c r="G141" s="73" t="s">
        <v>53</v>
      </c>
      <c r="H141" s="73" t="s">
        <v>74</v>
      </c>
      <c r="I141" s="75">
        <v>23.24</v>
      </c>
      <c r="J141" s="76">
        <v>3853840.6059537469</v>
      </c>
      <c r="K141" s="125" t="s">
        <v>261</v>
      </c>
      <c r="L141" s="73" t="s">
        <v>792</v>
      </c>
      <c r="M141" s="122">
        <v>41418</v>
      </c>
    </row>
    <row r="142" spans="2:13" x14ac:dyDescent="0.3">
      <c r="B142" s="73">
        <v>130</v>
      </c>
      <c r="C142" s="125" t="s">
        <v>298</v>
      </c>
      <c r="D142" s="124" t="s">
        <v>188</v>
      </c>
      <c r="G142" s="73" t="s">
        <v>214</v>
      </c>
      <c r="H142" s="73" t="s">
        <v>149</v>
      </c>
      <c r="I142" s="75">
        <v>13.253550000000001</v>
      </c>
      <c r="J142" s="76">
        <v>1309864.8253440254</v>
      </c>
      <c r="K142" s="125" t="s">
        <v>261</v>
      </c>
      <c r="L142" s="73" t="s">
        <v>793</v>
      </c>
      <c r="M142" s="122">
        <v>41418</v>
      </c>
    </row>
    <row r="143" spans="2:13" x14ac:dyDescent="0.3">
      <c r="B143" s="73">
        <v>131</v>
      </c>
      <c r="C143" s="125" t="s">
        <v>299</v>
      </c>
      <c r="D143" s="124" t="s">
        <v>698</v>
      </c>
      <c r="E143" s="73" t="s">
        <v>35</v>
      </c>
      <c r="F143" s="73" t="s">
        <v>42</v>
      </c>
      <c r="G143" s="73" t="s">
        <v>214</v>
      </c>
      <c r="H143" s="73" t="s">
        <v>106</v>
      </c>
      <c r="I143" s="75">
        <v>9.16296</v>
      </c>
      <c r="J143" s="76">
        <v>949548.26362457417</v>
      </c>
      <c r="K143" s="125" t="s">
        <v>261</v>
      </c>
      <c r="L143" s="73" t="s">
        <v>794</v>
      </c>
      <c r="M143" s="122">
        <v>41418</v>
      </c>
    </row>
    <row r="144" spans="2:13" x14ac:dyDescent="0.3">
      <c r="B144" s="73">
        <v>132</v>
      </c>
      <c r="C144" s="125" t="s">
        <v>300</v>
      </c>
      <c r="D144" s="124" t="s">
        <v>185</v>
      </c>
      <c r="G144" s="73" t="s">
        <v>53</v>
      </c>
      <c r="H144" s="73" t="s">
        <v>94</v>
      </c>
      <c r="I144" s="75">
        <v>13.06</v>
      </c>
      <c r="J144" s="76">
        <v>1186954.2029291999</v>
      </c>
      <c r="K144" s="125" t="s">
        <v>261</v>
      </c>
      <c r="L144" s="73" t="s">
        <v>795</v>
      </c>
      <c r="M144" s="122">
        <v>41418</v>
      </c>
    </row>
    <row r="145" spans="2:13" x14ac:dyDescent="0.3">
      <c r="B145" s="73">
        <v>133</v>
      </c>
      <c r="C145" s="125" t="s">
        <v>301</v>
      </c>
      <c r="D145" s="124" t="s">
        <v>188</v>
      </c>
      <c r="G145" s="73" t="s">
        <v>214</v>
      </c>
      <c r="H145" s="73" t="s">
        <v>96</v>
      </c>
      <c r="I145" s="75">
        <v>15.470840000000001</v>
      </c>
      <c r="J145" s="76">
        <v>1409073.0688744155</v>
      </c>
      <c r="K145" s="125" t="s">
        <v>261</v>
      </c>
      <c r="L145" s="73" t="s">
        <v>796</v>
      </c>
      <c r="M145" s="122">
        <v>41418</v>
      </c>
    </row>
    <row r="146" spans="2:13" x14ac:dyDescent="0.3">
      <c r="B146" s="73">
        <v>134</v>
      </c>
      <c r="C146" s="125" t="s">
        <v>302</v>
      </c>
      <c r="D146" s="124" t="s">
        <v>188</v>
      </c>
      <c r="G146" s="73" t="s">
        <v>214</v>
      </c>
      <c r="H146" s="73" t="s">
        <v>104</v>
      </c>
      <c r="I146" s="75">
        <v>21.56</v>
      </c>
      <c r="J146" s="76">
        <v>1937142.4483778868</v>
      </c>
      <c r="K146" s="125" t="s">
        <v>261</v>
      </c>
      <c r="L146" s="73" t="s">
        <v>797</v>
      </c>
      <c r="M146" s="122">
        <v>41418</v>
      </c>
    </row>
    <row r="147" spans="2:13" x14ac:dyDescent="0.3">
      <c r="B147" s="73">
        <v>135</v>
      </c>
      <c r="C147" s="125" t="s">
        <v>694</v>
      </c>
      <c r="D147" s="159" t="s">
        <v>702</v>
      </c>
      <c r="I147" s="75">
        <v>0</v>
      </c>
      <c r="J147" s="76">
        <v>386390.64986784302</v>
      </c>
      <c r="K147" s="125" t="s">
        <v>261</v>
      </c>
      <c r="L147" s="73" t="s">
        <v>798</v>
      </c>
      <c r="M147" s="122">
        <v>41418</v>
      </c>
    </row>
    <row r="148" spans="2:13" x14ac:dyDescent="0.3">
      <c r="B148" s="73">
        <v>136</v>
      </c>
      <c r="C148" s="125" t="s">
        <v>467</v>
      </c>
      <c r="D148" s="124" t="s">
        <v>654</v>
      </c>
      <c r="E148" s="73" t="s">
        <v>25</v>
      </c>
      <c r="G148" s="73" t="s">
        <v>214</v>
      </c>
      <c r="H148" s="73" t="s">
        <v>65</v>
      </c>
      <c r="I148" s="75">
        <v>16.8202</v>
      </c>
      <c r="J148" s="76">
        <v>2577847.4186621094</v>
      </c>
      <c r="K148" s="125" t="s">
        <v>261</v>
      </c>
      <c r="L148" s="73" t="s">
        <v>799</v>
      </c>
      <c r="M148" s="122">
        <v>41467</v>
      </c>
    </row>
    <row r="149" spans="2:13" x14ac:dyDescent="0.3">
      <c r="B149" s="73">
        <v>137</v>
      </c>
      <c r="C149" s="125" t="s">
        <v>468</v>
      </c>
      <c r="D149" s="124" t="s">
        <v>700</v>
      </c>
      <c r="E149" s="73" t="s">
        <v>216</v>
      </c>
      <c r="G149" s="73" t="s">
        <v>214</v>
      </c>
      <c r="H149" s="73" t="s">
        <v>77</v>
      </c>
      <c r="I149" s="75">
        <v>8.7504299999999997</v>
      </c>
      <c r="J149" s="76">
        <v>752050.9328166293</v>
      </c>
      <c r="K149" s="125" t="s">
        <v>261</v>
      </c>
      <c r="L149" s="73" t="s">
        <v>800</v>
      </c>
      <c r="M149" s="122">
        <v>41467</v>
      </c>
    </row>
    <row r="150" spans="2:13" x14ac:dyDescent="0.3">
      <c r="B150" s="73">
        <v>138</v>
      </c>
      <c r="C150" s="125" t="s">
        <v>303</v>
      </c>
      <c r="D150" s="124" t="s">
        <v>654</v>
      </c>
      <c r="E150" s="73" t="s">
        <v>25</v>
      </c>
      <c r="G150" s="73" t="s">
        <v>214</v>
      </c>
      <c r="H150" s="73" t="s">
        <v>136</v>
      </c>
      <c r="I150" s="75">
        <v>6.6031199999999997</v>
      </c>
      <c r="J150" s="76">
        <v>801283.30554341641</v>
      </c>
      <c r="K150" s="125" t="s">
        <v>261</v>
      </c>
      <c r="L150" s="73" t="s">
        <v>801</v>
      </c>
      <c r="M150" s="122">
        <v>41467</v>
      </c>
    </row>
    <row r="151" spans="2:13" x14ac:dyDescent="0.3">
      <c r="B151" s="73">
        <v>139</v>
      </c>
      <c r="C151" s="125" t="s">
        <v>304</v>
      </c>
      <c r="D151" s="124" t="s">
        <v>699</v>
      </c>
      <c r="E151" s="73" t="s">
        <v>216</v>
      </c>
      <c r="G151" s="73" t="s">
        <v>53</v>
      </c>
      <c r="H151" s="73" t="s">
        <v>119</v>
      </c>
      <c r="I151" s="75">
        <v>8.08</v>
      </c>
      <c r="J151" s="76">
        <v>791681.94179986429</v>
      </c>
      <c r="K151" s="125" t="s">
        <v>261</v>
      </c>
      <c r="L151" s="73" t="s">
        <v>802</v>
      </c>
      <c r="M151" s="122">
        <v>41467</v>
      </c>
    </row>
    <row r="152" spans="2:13" x14ac:dyDescent="0.3">
      <c r="B152" s="73">
        <v>140</v>
      </c>
      <c r="C152" s="125" t="s">
        <v>469</v>
      </c>
      <c r="D152" s="124" t="s">
        <v>184</v>
      </c>
      <c r="E152" s="73" t="s">
        <v>25</v>
      </c>
      <c r="G152" s="73" t="s">
        <v>53</v>
      </c>
      <c r="H152" s="73" t="s">
        <v>140</v>
      </c>
      <c r="I152" s="75">
        <v>9.9047000000000001</v>
      </c>
      <c r="J152" s="76">
        <v>963295.11220173235</v>
      </c>
      <c r="K152" s="125" t="s">
        <v>261</v>
      </c>
      <c r="L152" s="73" t="s">
        <v>803</v>
      </c>
      <c r="M152" s="122">
        <v>41467</v>
      </c>
    </row>
    <row r="153" spans="2:13" x14ac:dyDescent="0.3">
      <c r="B153" s="73">
        <v>141</v>
      </c>
      <c r="C153" s="125" t="s">
        <v>470</v>
      </c>
      <c r="D153" s="124" t="s">
        <v>188</v>
      </c>
      <c r="G153" s="73" t="s">
        <v>214</v>
      </c>
      <c r="H153" s="73" t="s">
        <v>141</v>
      </c>
      <c r="I153" s="75">
        <v>4.62</v>
      </c>
      <c r="J153" s="76">
        <v>506457.63089034567</v>
      </c>
      <c r="K153" s="125" t="s">
        <v>261</v>
      </c>
      <c r="L153" s="73" t="s">
        <v>804</v>
      </c>
      <c r="M153" s="122">
        <v>41467</v>
      </c>
    </row>
    <row r="154" spans="2:13" x14ac:dyDescent="0.3">
      <c r="B154" s="73">
        <v>142</v>
      </c>
      <c r="C154" s="125" t="s">
        <v>471</v>
      </c>
      <c r="D154" s="124" t="s">
        <v>188</v>
      </c>
      <c r="G154" s="73" t="s">
        <v>214</v>
      </c>
      <c r="H154" s="73" t="s">
        <v>104</v>
      </c>
      <c r="I154" s="75">
        <v>4.7715399999999999</v>
      </c>
      <c r="J154" s="76">
        <v>510446.33557338163</v>
      </c>
      <c r="K154" s="125" t="s">
        <v>261</v>
      </c>
      <c r="L154" s="73" t="s">
        <v>805</v>
      </c>
      <c r="M154" s="122">
        <v>41467</v>
      </c>
    </row>
    <row r="155" spans="2:13" x14ac:dyDescent="0.3">
      <c r="B155" s="73">
        <v>143</v>
      </c>
      <c r="C155" s="125" t="s">
        <v>472</v>
      </c>
      <c r="D155" s="124" t="s">
        <v>188</v>
      </c>
      <c r="G155" s="73" t="s">
        <v>214</v>
      </c>
      <c r="H155" s="73" t="s">
        <v>104</v>
      </c>
      <c r="I155" s="75">
        <v>16.200420000000001</v>
      </c>
      <c r="J155" s="76">
        <v>1625461.3991472649</v>
      </c>
      <c r="K155" s="125" t="s">
        <v>261</v>
      </c>
      <c r="L155" s="73" t="s">
        <v>806</v>
      </c>
      <c r="M155" s="122">
        <v>41467</v>
      </c>
    </row>
    <row r="156" spans="2:13" x14ac:dyDescent="0.3">
      <c r="B156" s="73">
        <v>144</v>
      </c>
      <c r="C156" s="125" t="s">
        <v>473</v>
      </c>
      <c r="D156" s="124" t="s">
        <v>188</v>
      </c>
      <c r="G156" s="73" t="s">
        <v>214</v>
      </c>
      <c r="H156" s="73" t="s">
        <v>88</v>
      </c>
      <c r="I156" s="75">
        <v>9.2200000000000006</v>
      </c>
      <c r="J156" s="76">
        <v>613660.79223001853</v>
      </c>
      <c r="K156" s="125" t="s">
        <v>259</v>
      </c>
      <c r="L156" s="73" t="s">
        <v>807</v>
      </c>
      <c r="M156" s="122">
        <v>41467</v>
      </c>
    </row>
    <row r="157" spans="2:13" x14ac:dyDescent="0.3">
      <c r="B157" s="73">
        <v>145</v>
      </c>
      <c r="C157" s="125" t="s">
        <v>474</v>
      </c>
      <c r="D157" s="124" t="s">
        <v>188</v>
      </c>
      <c r="G157" s="73" t="s">
        <v>214</v>
      </c>
      <c r="H157" s="73" t="s">
        <v>88</v>
      </c>
      <c r="I157" s="75">
        <v>2.5</v>
      </c>
      <c r="J157" s="76">
        <v>249414.9545919607</v>
      </c>
      <c r="K157" s="125" t="s">
        <v>259</v>
      </c>
      <c r="L157" s="73" t="s">
        <v>807</v>
      </c>
      <c r="M157" s="122">
        <v>41467</v>
      </c>
    </row>
    <row r="158" spans="2:13" x14ac:dyDescent="0.3">
      <c r="B158" s="73">
        <v>146</v>
      </c>
      <c r="C158" s="125" t="s">
        <v>475</v>
      </c>
      <c r="D158" s="124" t="s">
        <v>184</v>
      </c>
      <c r="E158" s="73" t="s">
        <v>25</v>
      </c>
      <c r="G158" s="73" t="s">
        <v>53</v>
      </c>
      <c r="H158" s="73" t="s">
        <v>116</v>
      </c>
      <c r="I158" s="75">
        <v>17.397279999999999</v>
      </c>
      <c r="J158" s="76">
        <v>2316643.988538946</v>
      </c>
      <c r="K158" s="125" t="s">
        <v>261</v>
      </c>
      <c r="L158" s="73" t="s">
        <v>808</v>
      </c>
      <c r="M158" s="122">
        <v>41467</v>
      </c>
    </row>
    <row r="159" spans="2:13" x14ac:dyDescent="0.3">
      <c r="B159" s="73">
        <v>147</v>
      </c>
      <c r="C159" s="125" t="s">
        <v>476</v>
      </c>
      <c r="D159" s="124" t="s">
        <v>656</v>
      </c>
      <c r="F159" s="73" t="s">
        <v>42</v>
      </c>
      <c r="G159" s="73" t="s">
        <v>214</v>
      </c>
      <c r="H159" s="73" t="s">
        <v>116</v>
      </c>
      <c r="I159" s="75">
        <v>8.2200000000000006</v>
      </c>
      <c r="J159" s="76">
        <v>1580503.5110946544</v>
      </c>
      <c r="K159" s="125" t="s">
        <v>261</v>
      </c>
      <c r="L159" s="73" t="s">
        <v>809</v>
      </c>
      <c r="M159" s="122">
        <v>41467</v>
      </c>
    </row>
    <row r="160" spans="2:13" x14ac:dyDescent="0.3">
      <c r="B160" s="73">
        <v>148</v>
      </c>
      <c r="C160" s="125" t="s">
        <v>305</v>
      </c>
      <c r="D160" s="124" t="s">
        <v>184</v>
      </c>
      <c r="E160" s="73" t="s">
        <v>25</v>
      </c>
      <c r="G160" s="73" t="s">
        <v>53</v>
      </c>
      <c r="H160" s="73" t="s">
        <v>138</v>
      </c>
      <c r="I160" s="75">
        <v>7.4</v>
      </c>
      <c r="J160" s="76">
        <v>1895440.3164163064</v>
      </c>
      <c r="K160" s="125" t="s">
        <v>261</v>
      </c>
      <c r="L160" s="73" t="s">
        <v>810</v>
      </c>
      <c r="M160" s="122">
        <v>41467</v>
      </c>
    </row>
    <row r="161" spans="2:13" x14ac:dyDescent="0.3">
      <c r="B161" s="73">
        <v>149</v>
      </c>
      <c r="C161" s="125" t="s">
        <v>306</v>
      </c>
      <c r="D161" s="124" t="s">
        <v>184</v>
      </c>
      <c r="E161" s="73" t="s">
        <v>25</v>
      </c>
      <c r="G161" s="73" t="s">
        <v>53</v>
      </c>
      <c r="H161" s="73" t="s">
        <v>111</v>
      </c>
      <c r="I161" s="75">
        <v>25.505683999999999</v>
      </c>
      <c r="J161" s="76">
        <v>2775484.7244764012</v>
      </c>
      <c r="K161" s="125" t="s">
        <v>261</v>
      </c>
      <c r="L161" s="73" t="s">
        <v>811</v>
      </c>
      <c r="M161" s="122">
        <v>41467</v>
      </c>
    </row>
    <row r="162" spans="2:13" x14ac:dyDescent="0.3">
      <c r="B162" s="73">
        <v>150</v>
      </c>
      <c r="C162" s="125" t="s">
        <v>307</v>
      </c>
      <c r="D162" s="124" t="s">
        <v>184</v>
      </c>
      <c r="E162" s="73" t="s">
        <v>25</v>
      </c>
      <c r="G162" s="73" t="s">
        <v>53</v>
      </c>
      <c r="H162" s="73" t="s">
        <v>86</v>
      </c>
      <c r="I162" s="75">
        <v>7.9</v>
      </c>
      <c r="J162" s="76">
        <v>946043.48416842532</v>
      </c>
      <c r="K162" s="125" t="s">
        <v>261</v>
      </c>
      <c r="L162" s="73" t="s">
        <v>812</v>
      </c>
      <c r="M162" s="122">
        <v>41467</v>
      </c>
    </row>
    <row r="163" spans="2:13" x14ac:dyDescent="0.3">
      <c r="B163" s="73">
        <v>151</v>
      </c>
      <c r="C163" s="125" t="s">
        <v>308</v>
      </c>
      <c r="D163" s="124" t="s">
        <v>184</v>
      </c>
      <c r="E163" s="73" t="s">
        <v>25</v>
      </c>
      <c r="G163" s="73" t="s">
        <v>53</v>
      </c>
      <c r="H163" s="73" t="s">
        <v>94</v>
      </c>
      <c r="I163" s="75">
        <v>19.68225</v>
      </c>
      <c r="J163" s="76">
        <v>3477643.7381790732</v>
      </c>
      <c r="K163" s="125" t="s">
        <v>261</v>
      </c>
      <c r="L163" s="73" t="s">
        <v>813</v>
      </c>
      <c r="M163" s="122">
        <v>41467</v>
      </c>
    </row>
    <row r="164" spans="2:13" x14ac:dyDescent="0.3">
      <c r="B164" s="73">
        <v>152</v>
      </c>
      <c r="C164" s="73" t="s">
        <v>309</v>
      </c>
      <c r="D164" s="124" t="s">
        <v>656</v>
      </c>
      <c r="F164" s="73" t="s">
        <v>42</v>
      </c>
      <c r="G164" s="73" t="s">
        <v>214</v>
      </c>
      <c r="H164" s="73" t="s">
        <v>95</v>
      </c>
      <c r="I164" s="75">
        <v>8.16</v>
      </c>
      <c r="J164" s="76">
        <v>995759.89316930785</v>
      </c>
      <c r="K164" s="125" t="s">
        <v>261</v>
      </c>
      <c r="L164" s="73" t="s">
        <v>814</v>
      </c>
      <c r="M164" s="122">
        <v>41467</v>
      </c>
    </row>
    <row r="165" spans="2:13" x14ac:dyDescent="0.3">
      <c r="B165" s="73">
        <v>153</v>
      </c>
      <c r="C165" s="73" t="s">
        <v>477</v>
      </c>
      <c r="D165" s="124" t="s">
        <v>184</v>
      </c>
      <c r="E165" s="73" t="s">
        <v>25</v>
      </c>
      <c r="G165" s="73" t="s">
        <v>53</v>
      </c>
      <c r="H165" s="73" t="s">
        <v>60</v>
      </c>
      <c r="I165" s="75">
        <v>10.5</v>
      </c>
      <c r="J165" s="76">
        <v>1627609.5518725908</v>
      </c>
      <c r="K165" s="125" t="s">
        <v>261</v>
      </c>
      <c r="L165" s="73" t="s">
        <v>815</v>
      </c>
      <c r="M165" s="122">
        <v>41467</v>
      </c>
    </row>
    <row r="166" spans="2:13" x14ac:dyDescent="0.3">
      <c r="B166" s="73">
        <v>154</v>
      </c>
      <c r="C166" s="73" t="s">
        <v>695</v>
      </c>
      <c r="D166" s="124" t="s">
        <v>191</v>
      </c>
      <c r="F166" s="73" t="s">
        <v>191</v>
      </c>
      <c r="I166" s="75">
        <v>0</v>
      </c>
      <c r="J166" s="76">
        <v>975907.0583077576</v>
      </c>
      <c r="K166" s="125" t="s">
        <v>261</v>
      </c>
      <c r="L166" s="73" t="s">
        <v>816</v>
      </c>
      <c r="M166" s="122">
        <v>41467</v>
      </c>
    </row>
    <row r="167" spans="2:13" x14ac:dyDescent="0.3">
      <c r="B167" s="73">
        <v>155</v>
      </c>
      <c r="C167" s="73" t="s">
        <v>310</v>
      </c>
      <c r="D167" s="124" t="s">
        <v>184</v>
      </c>
      <c r="E167" s="73" t="s">
        <v>25</v>
      </c>
      <c r="G167" s="73" t="s">
        <v>53</v>
      </c>
      <c r="H167" s="73" t="s">
        <v>62</v>
      </c>
      <c r="I167" s="75">
        <v>0</v>
      </c>
      <c r="J167" s="76">
        <v>887995.72133216308</v>
      </c>
      <c r="K167" s="125" t="s">
        <v>261</v>
      </c>
      <c r="L167" s="73" t="s">
        <v>817</v>
      </c>
      <c r="M167" s="122">
        <v>41516</v>
      </c>
    </row>
    <row r="168" spans="2:13" x14ac:dyDescent="0.3">
      <c r="B168" s="73">
        <v>156</v>
      </c>
      <c r="C168" s="73" t="s">
        <v>311</v>
      </c>
      <c r="D168" s="124" t="s">
        <v>704</v>
      </c>
      <c r="E168" s="73" t="s">
        <v>25</v>
      </c>
      <c r="F168" s="73" t="s">
        <v>42</v>
      </c>
      <c r="G168" s="73" t="s">
        <v>59</v>
      </c>
      <c r="H168" s="73" t="s">
        <v>119</v>
      </c>
      <c r="I168" s="75">
        <v>44.16</v>
      </c>
      <c r="J168" s="76">
        <v>8401536.6150690485</v>
      </c>
      <c r="K168" s="125" t="s">
        <v>261</v>
      </c>
      <c r="L168" s="73" t="s">
        <v>818</v>
      </c>
      <c r="M168" s="122">
        <v>41614</v>
      </c>
    </row>
    <row r="169" spans="2:13" x14ac:dyDescent="0.3">
      <c r="B169" s="73">
        <v>157</v>
      </c>
      <c r="C169" s="73" t="s">
        <v>312</v>
      </c>
      <c r="D169" s="124" t="s">
        <v>654</v>
      </c>
      <c r="E169" s="73" t="s">
        <v>25</v>
      </c>
      <c r="G169" s="73" t="s">
        <v>214</v>
      </c>
      <c r="H169" s="73" t="s">
        <v>103</v>
      </c>
      <c r="I169" s="75">
        <v>3.0608399999999998</v>
      </c>
      <c r="J169" s="76">
        <v>441056.08130322408</v>
      </c>
      <c r="K169" s="125" t="s">
        <v>259</v>
      </c>
      <c r="L169" s="73" t="s">
        <v>819</v>
      </c>
      <c r="M169" s="122">
        <v>41565</v>
      </c>
    </row>
    <row r="170" spans="2:13" x14ac:dyDescent="0.3">
      <c r="B170" s="73">
        <v>158</v>
      </c>
      <c r="C170" s="73" t="s">
        <v>313</v>
      </c>
      <c r="D170" s="124" t="s">
        <v>654</v>
      </c>
      <c r="E170" s="73" t="s">
        <v>25</v>
      </c>
      <c r="G170" s="73" t="s">
        <v>214</v>
      </c>
      <c r="H170" s="73" t="s">
        <v>103</v>
      </c>
      <c r="I170" s="75">
        <v>4.4909999999999997</v>
      </c>
      <c r="J170" s="76">
        <v>683298.01549193729</v>
      </c>
      <c r="K170" s="125" t="s">
        <v>259</v>
      </c>
      <c r="L170" s="73" t="s">
        <v>819</v>
      </c>
      <c r="M170" s="122">
        <v>41565</v>
      </c>
    </row>
    <row r="171" spans="2:13" x14ac:dyDescent="0.3">
      <c r="B171" s="73">
        <v>159</v>
      </c>
      <c r="C171" s="73" t="s">
        <v>696</v>
      </c>
      <c r="D171" s="159" t="s">
        <v>702</v>
      </c>
      <c r="I171" s="75">
        <v>57.08</v>
      </c>
      <c r="J171" s="76">
        <v>128918.27639606773</v>
      </c>
      <c r="K171" s="125" t="s">
        <v>261</v>
      </c>
      <c r="L171" s="73" t="s">
        <v>820</v>
      </c>
      <c r="M171" s="122">
        <v>41565</v>
      </c>
    </row>
    <row r="172" spans="2:13" x14ac:dyDescent="0.3">
      <c r="B172" s="73">
        <v>160</v>
      </c>
      <c r="C172" s="73" t="s">
        <v>697</v>
      </c>
      <c r="D172" s="159" t="s">
        <v>702</v>
      </c>
      <c r="I172" s="75">
        <v>103.4586</v>
      </c>
      <c r="J172" s="76">
        <v>119369.41947428015</v>
      </c>
      <c r="K172" s="125" t="s">
        <v>261</v>
      </c>
      <c r="L172" s="73" t="s">
        <v>821</v>
      </c>
      <c r="M172" s="122">
        <v>41565</v>
      </c>
    </row>
    <row r="173" spans="2:13" x14ac:dyDescent="0.3">
      <c r="B173" s="73">
        <v>161</v>
      </c>
      <c r="C173" s="73" t="s">
        <v>314</v>
      </c>
      <c r="D173" s="124" t="s">
        <v>705</v>
      </c>
      <c r="E173" s="73" t="s">
        <v>25</v>
      </c>
      <c r="G173" s="73" t="s">
        <v>59</v>
      </c>
      <c r="H173" s="73" t="s">
        <v>117</v>
      </c>
      <c r="I173" s="75">
        <v>24.04</v>
      </c>
      <c r="J173" s="76">
        <v>9788000.102130264</v>
      </c>
      <c r="K173" s="125" t="s">
        <v>261</v>
      </c>
      <c r="L173" s="73" t="s">
        <v>822</v>
      </c>
      <c r="M173" s="122">
        <v>41565</v>
      </c>
    </row>
    <row r="174" spans="2:13" x14ac:dyDescent="0.3">
      <c r="B174" s="73">
        <v>162</v>
      </c>
      <c r="C174" s="73" t="s">
        <v>315</v>
      </c>
      <c r="D174" s="124" t="s">
        <v>184</v>
      </c>
      <c r="E174" s="73" t="s">
        <v>25</v>
      </c>
      <c r="G174" s="73" t="s">
        <v>53</v>
      </c>
      <c r="H174" s="73" t="s">
        <v>130</v>
      </c>
      <c r="I174" s="75">
        <v>22.4</v>
      </c>
      <c r="J174" s="76">
        <v>6929761.4246916976</v>
      </c>
      <c r="K174" s="125" t="s">
        <v>261</v>
      </c>
      <c r="L174" s="73" t="s">
        <v>823</v>
      </c>
      <c r="M174" s="122">
        <v>41565</v>
      </c>
    </row>
    <row r="175" spans="2:13" x14ac:dyDescent="0.3">
      <c r="B175" s="73">
        <v>163</v>
      </c>
      <c r="C175" s="73" t="s">
        <v>478</v>
      </c>
      <c r="D175" s="124" t="s">
        <v>704</v>
      </c>
      <c r="E175" s="73" t="s">
        <v>25</v>
      </c>
      <c r="F175" s="73" t="s">
        <v>42</v>
      </c>
      <c r="G175" s="73" t="s">
        <v>59</v>
      </c>
      <c r="H175" s="73" t="s">
        <v>134</v>
      </c>
      <c r="I175" s="75">
        <v>7.2</v>
      </c>
      <c r="J175" s="76">
        <v>1997905.4080019435</v>
      </c>
      <c r="K175" s="125" t="s">
        <v>259</v>
      </c>
      <c r="L175" s="73" t="s">
        <v>824</v>
      </c>
      <c r="M175" s="122">
        <v>41565</v>
      </c>
    </row>
    <row r="176" spans="2:13" x14ac:dyDescent="0.3">
      <c r="B176" s="73">
        <v>164</v>
      </c>
      <c r="C176" s="73" t="s">
        <v>479</v>
      </c>
      <c r="D176" s="124" t="s">
        <v>704</v>
      </c>
      <c r="E176" s="73" t="s">
        <v>25</v>
      </c>
      <c r="F176" s="73" t="s">
        <v>42</v>
      </c>
      <c r="G176" s="73" t="s">
        <v>59</v>
      </c>
      <c r="H176" s="73" t="s">
        <v>134</v>
      </c>
      <c r="I176" s="75">
        <v>28.803139999999999</v>
      </c>
      <c r="J176" s="76">
        <v>5995722.2363042431</v>
      </c>
      <c r="K176" s="125" t="s">
        <v>259</v>
      </c>
      <c r="L176" s="73" t="s">
        <v>824</v>
      </c>
      <c r="M176" s="122">
        <v>41565</v>
      </c>
    </row>
    <row r="177" spans="2:13" x14ac:dyDescent="0.3">
      <c r="B177" s="73">
        <v>165</v>
      </c>
      <c r="C177" s="73" t="s">
        <v>316</v>
      </c>
      <c r="D177" s="124" t="s">
        <v>704</v>
      </c>
      <c r="E177" s="73" t="s">
        <v>25</v>
      </c>
      <c r="F177" s="73" t="s">
        <v>42</v>
      </c>
      <c r="G177" s="73" t="s">
        <v>59</v>
      </c>
      <c r="H177" s="73" t="s">
        <v>102</v>
      </c>
      <c r="I177" s="75">
        <v>54.801749999999998</v>
      </c>
      <c r="J177" s="76">
        <v>15171382.989478078</v>
      </c>
      <c r="K177" s="125" t="s">
        <v>261</v>
      </c>
      <c r="L177" s="73" t="s">
        <v>825</v>
      </c>
      <c r="M177" s="122">
        <v>41565</v>
      </c>
    </row>
    <row r="178" spans="2:13" x14ac:dyDescent="0.3">
      <c r="B178" s="73">
        <v>166</v>
      </c>
      <c r="C178" s="73" t="s">
        <v>317</v>
      </c>
      <c r="D178" s="124" t="s">
        <v>700</v>
      </c>
      <c r="E178" s="73" t="s">
        <v>216</v>
      </c>
      <c r="G178" s="73" t="s">
        <v>214</v>
      </c>
      <c r="H178" s="73" t="s">
        <v>70</v>
      </c>
      <c r="I178" s="75">
        <v>16.603728</v>
      </c>
      <c r="J178" s="76">
        <v>1529835.6125953873</v>
      </c>
      <c r="K178" s="125" t="s">
        <v>261</v>
      </c>
      <c r="L178" s="73" t="s">
        <v>826</v>
      </c>
      <c r="M178" s="122">
        <v>41565</v>
      </c>
    </row>
    <row r="179" spans="2:13" x14ac:dyDescent="0.3">
      <c r="B179" s="73">
        <v>167</v>
      </c>
      <c r="C179" s="73" t="s">
        <v>480</v>
      </c>
      <c r="D179" s="124" t="s">
        <v>704</v>
      </c>
      <c r="E179" s="73" t="s">
        <v>25</v>
      </c>
      <c r="F179" s="73" t="s">
        <v>42</v>
      </c>
      <c r="G179" s="73" t="s">
        <v>59</v>
      </c>
      <c r="H179" s="73" t="s">
        <v>154</v>
      </c>
      <c r="I179" s="75">
        <v>41</v>
      </c>
      <c r="J179" s="76">
        <v>8018265.3183044307</v>
      </c>
      <c r="K179" s="125" t="s">
        <v>261</v>
      </c>
      <c r="L179" s="73" t="s">
        <v>827</v>
      </c>
      <c r="M179" s="122">
        <v>41565</v>
      </c>
    </row>
    <row r="180" spans="2:13" x14ac:dyDescent="0.3">
      <c r="B180" s="73">
        <v>168</v>
      </c>
      <c r="C180" s="73" t="s">
        <v>481</v>
      </c>
      <c r="D180" s="124" t="s">
        <v>706</v>
      </c>
      <c r="E180" s="73" t="s">
        <v>25</v>
      </c>
      <c r="G180" s="73" t="s">
        <v>59</v>
      </c>
      <c r="H180" s="73" t="s">
        <v>98</v>
      </c>
      <c r="I180" s="75">
        <v>30.76</v>
      </c>
      <c r="J180" s="76">
        <v>10653003.813570932</v>
      </c>
      <c r="K180" s="125" t="s">
        <v>261</v>
      </c>
      <c r="L180" s="73" t="s">
        <v>828</v>
      </c>
      <c r="M180" s="122">
        <v>41565</v>
      </c>
    </row>
    <row r="181" spans="2:13" x14ac:dyDescent="0.3">
      <c r="B181" s="73">
        <v>169</v>
      </c>
      <c r="C181" s="73" t="s">
        <v>482</v>
      </c>
      <c r="D181" s="124" t="s">
        <v>184</v>
      </c>
      <c r="E181" s="73" t="s">
        <v>25</v>
      </c>
      <c r="G181" s="73" t="s">
        <v>53</v>
      </c>
      <c r="H181" s="73" t="s">
        <v>138</v>
      </c>
      <c r="I181" s="75">
        <v>33.352739999999997</v>
      </c>
      <c r="J181" s="76">
        <v>8567242.0924852174</v>
      </c>
      <c r="K181" s="125" t="s">
        <v>261</v>
      </c>
      <c r="L181" s="73" t="s">
        <v>829</v>
      </c>
      <c r="M181" s="122">
        <v>41565</v>
      </c>
    </row>
    <row r="182" spans="2:13" x14ac:dyDescent="0.3">
      <c r="B182" s="73">
        <v>170</v>
      </c>
      <c r="C182" s="73" t="s">
        <v>318</v>
      </c>
      <c r="D182" s="124" t="s">
        <v>184</v>
      </c>
      <c r="E182" s="73" t="s">
        <v>25</v>
      </c>
      <c r="G182" s="73" t="s">
        <v>53</v>
      </c>
      <c r="H182" s="73" t="s">
        <v>104</v>
      </c>
      <c r="I182" s="75">
        <v>30.16</v>
      </c>
      <c r="J182" s="76">
        <v>6757807.8020563573</v>
      </c>
      <c r="K182" s="125" t="s">
        <v>261</v>
      </c>
      <c r="L182" s="73" t="s">
        <v>830</v>
      </c>
      <c r="M182" s="122">
        <v>41565</v>
      </c>
    </row>
    <row r="183" spans="2:13" x14ac:dyDescent="0.3">
      <c r="B183" s="73">
        <v>171</v>
      </c>
      <c r="C183" s="73" t="s">
        <v>483</v>
      </c>
      <c r="D183" s="124" t="s">
        <v>184</v>
      </c>
      <c r="E183" s="73" t="s">
        <v>25</v>
      </c>
      <c r="G183" s="73" t="s">
        <v>53</v>
      </c>
      <c r="H183" s="73" t="s">
        <v>112</v>
      </c>
      <c r="I183" s="75">
        <v>8</v>
      </c>
      <c r="J183" s="76">
        <v>6728712.0268246392</v>
      </c>
      <c r="K183" s="125" t="s">
        <v>261</v>
      </c>
      <c r="L183" s="73" t="s">
        <v>831</v>
      </c>
      <c r="M183" s="122">
        <v>41614</v>
      </c>
    </row>
    <row r="184" spans="2:13" x14ac:dyDescent="0.3">
      <c r="B184" s="73">
        <v>172</v>
      </c>
      <c r="C184" s="73" t="s">
        <v>484</v>
      </c>
      <c r="D184" s="124" t="s">
        <v>184</v>
      </c>
      <c r="E184" s="73" t="s">
        <v>25</v>
      </c>
      <c r="G184" s="73" t="s">
        <v>53</v>
      </c>
      <c r="H184" s="73" t="s">
        <v>106</v>
      </c>
      <c r="I184" s="75">
        <v>15.66</v>
      </c>
      <c r="J184" s="76">
        <v>2342796.4575086893</v>
      </c>
      <c r="K184" s="125" t="s">
        <v>261</v>
      </c>
      <c r="L184" s="73" t="s">
        <v>832</v>
      </c>
      <c r="M184" s="122">
        <v>41565</v>
      </c>
    </row>
    <row r="185" spans="2:13" x14ac:dyDescent="0.3">
      <c r="B185" s="73">
        <v>173</v>
      </c>
      <c r="C185" s="73" t="s">
        <v>485</v>
      </c>
      <c r="D185" s="124" t="s">
        <v>184</v>
      </c>
      <c r="E185" s="73" t="s">
        <v>25</v>
      </c>
      <c r="G185" s="73" t="s">
        <v>53</v>
      </c>
      <c r="H185" s="73" t="s">
        <v>106</v>
      </c>
      <c r="I185" s="75">
        <v>21.6</v>
      </c>
      <c r="J185" s="76">
        <v>6706145.697899159</v>
      </c>
      <c r="K185" s="125" t="s">
        <v>259</v>
      </c>
      <c r="L185" s="73" t="s">
        <v>833</v>
      </c>
      <c r="M185" s="122">
        <v>41614</v>
      </c>
    </row>
    <row r="186" spans="2:13" x14ac:dyDescent="0.3">
      <c r="B186" s="73">
        <v>174</v>
      </c>
      <c r="C186" s="73" t="s">
        <v>486</v>
      </c>
      <c r="D186" s="124" t="s">
        <v>184</v>
      </c>
      <c r="E186" s="73" t="s">
        <v>25</v>
      </c>
      <c r="G186" s="73" t="s">
        <v>53</v>
      </c>
      <c r="H186" s="73" t="s">
        <v>106</v>
      </c>
      <c r="I186" s="75">
        <v>13.231439999999999</v>
      </c>
      <c r="J186" s="76">
        <v>3176826.7705001491</v>
      </c>
      <c r="K186" s="125" t="s">
        <v>259</v>
      </c>
      <c r="L186" s="73" t="s">
        <v>833</v>
      </c>
      <c r="M186" s="122">
        <v>41614</v>
      </c>
    </row>
    <row r="187" spans="2:13" x14ac:dyDescent="0.3">
      <c r="B187" s="73">
        <v>175</v>
      </c>
      <c r="C187" s="73" t="s">
        <v>487</v>
      </c>
      <c r="D187" s="124" t="s">
        <v>706</v>
      </c>
      <c r="E187" s="73" t="s">
        <v>25</v>
      </c>
      <c r="G187" s="73" t="s">
        <v>59</v>
      </c>
      <c r="H187" s="73" t="s">
        <v>78</v>
      </c>
      <c r="I187" s="75">
        <v>5.12</v>
      </c>
      <c r="J187" s="76">
        <v>1471864.4168094036</v>
      </c>
      <c r="K187" s="125" t="s">
        <v>261</v>
      </c>
      <c r="L187" s="73" t="s">
        <v>834</v>
      </c>
      <c r="M187" s="122">
        <v>41320</v>
      </c>
    </row>
    <row r="188" spans="2:13" x14ac:dyDescent="0.3">
      <c r="B188" s="73">
        <v>176</v>
      </c>
      <c r="C188" s="73" t="s">
        <v>488</v>
      </c>
      <c r="D188" s="124" t="s">
        <v>701</v>
      </c>
      <c r="F188" s="73" t="s">
        <v>42</v>
      </c>
      <c r="G188" s="73" t="s">
        <v>53</v>
      </c>
      <c r="H188" s="73" t="s">
        <v>106</v>
      </c>
      <c r="I188" s="75">
        <v>19.946570000000001</v>
      </c>
      <c r="J188" s="76">
        <v>3117430.1542376615</v>
      </c>
      <c r="K188" s="125" t="s">
        <v>261</v>
      </c>
      <c r="L188" s="73" t="s">
        <v>835</v>
      </c>
      <c r="M188" s="122">
        <v>41369</v>
      </c>
    </row>
    <row r="189" spans="2:13" x14ac:dyDescent="0.3">
      <c r="B189" s="73">
        <v>177</v>
      </c>
      <c r="C189" s="73" t="s">
        <v>319</v>
      </c>
      <c r="D189" s="124" t="s">
        <v>184</v>
      </c>
      <c r="E189" s="73" t="s">
        <v>25</v>
      </c>
      <c r="G189" s="73" t="s">
        <v>53</v>
      </c>
      <c r="H189" s="73" t="s">
        <v>143</v>
      </c>
      <c r="I189" s="75">
        <v>13.2</v>
      </c>
      <c r="J189" s="76">
        <v>2318765.1197768645</v>
      </c>
      <c r="K189" s="125" t="s">
        <v>261</v>
      </c>
      <c r="L189" s="73" t="s">
        <v>836</v>
      </c>
      <c r="M189" s="122">
        <v>41320</v>
      </c>
    </row>
    <row r="190" spans="2:13" x14ac:dyDescent="0.3">
      <c r="B190" s="73">
        <v>178</v>
      </c>
      <c r="C190" s="73" t="s">
        <v>489</v>
      </c>
      <c r="D190" s="124" t="s">
        <v>187</v>
      </c>
      <c r="F190" s="73" t="s">
        <v>187</v>
      </c>
      <c r="H190" s="73" t="s">
        <v>96</v>
      </c>
      <c r="I190" s="75">
        <v>16.100000000000001</v>
      </c>
      <c r="J190" s="76">
        <v>1729162.0945142996</v>
      </c>
      <c r="K190" s="125" t="s">
        <v>261</v>
      </c>
      <c r="L190" s="73" t="s">
        <v>837</v>
      </c>
      <c r="M190" s="122">
        <v>41369</v>
      </c>
    </row>
    <row r="191" spans="2:13" x14ac:dyDescent="0.3">
      <c r="B191" s="73">
        <v>179</v>
      </c>
      <c r="C191" s="73" t="s">
        <v>490</v>
      </c>
      <c r="D191" s="124" t="s">
        <v>184</v>
      </c>
      <c r="E191" s="73" t="s">
        <v>25</v>
      </c>
      <c r="G191" s="73" t="s">
        <v>53</v>
      </c>
      <c r="H191" s="73" t="s">
        <v>137</v>
      </c>
      <c r="I191" s="75">
        <v>2.71875</v>
      </c>
      <c r="J191" s="76">
        <v>527001.17938892602</v>
      </c>
      <c r="K191" s="125" t="s">
        <v>261</v>
      </c>
      <c r="L191" s="73" t="s">
        <v>838</v>
      </c>
      <c r="M191" s="122">
        <v>41369</v>
      </c>
    </row>
    <row r="192" spans="2:13" x14ac:dyDescent="0.3">
      <c r="B192" s="73">
        <v>180</v>
      </c>
      <c r="C192" s="73" t="s">
        <v>491</v>
      </c>
      <c r="D192" s="124" t="s">
        <v>185</v>
      </c>
      <c r="G192" s="73" t="s">
        <v>53</v>
      </c>
      <c r="H192" s="73" t="s">
        <v>78</v>
      </c>
      <c r="I192" s="75">
        <v>12.700049999999999</v>
      </c>
      <c r="J192" s="76">
        <v>1728582.2985307188</v>
      </c>
      <c r="K192" s="125" t="s">
        <v>261</v>
      </c>
      <c r="L192" s="73" t="s">
        <v>839</v>
      </c>
      <c r="M192" s="122">
        <v>41418</v>
      </c>
    </row>
    <row r="193" spans="2:13" x14ac:dyDescent="0.3">
      <c r="B193" s="73">
        <v>181</v>
      </c>
      <c r="C193" s="73" t="s">
        <v>492</v>
      </c>
      <c r="D193" s="124" t="s">
        <v>190</v>
      </c>
      <c r="G193" s="73" t="s">
        <v>264</v>
      </c>
      <c r="H193" s="73" t="s">
        <v>132</v>
      </c>
      <c r="I193" s="75">
        <v>15.24</v>
      </c>
      <c r="J193" s="76">
        <v>939564.17567683791</v>
      </c>
      <c r="K193" s="125" t="s">
        <v>261</v>
      </c>
      <c r="L193" s="73" t="s">
        <v>840</v>
      </c>
      <c r="M193" s="122">
        <v>41467</v>
      </c>
    </row>
    <row r="194" spans="2:13" x14ac:dyDescent="0.3">
      <c r="B194" s="73">
        <v>182</v>
      </c>
      <c r="C194" s="73" t="s">
        <v>493</v>
      </c>
      <c r="D194" s="124" t="s">
        <v>190</v>
      </c>
      <c r="G194" s="73" t="s">
        <v>264</v>
      </c>
      <c r="H194" s="73" t="s">
        <v>145</v>
      </c>
      <c r="I194" s="75">
        <v>6.48</v>
      </c>
      <c r="J194" s="76">
        <v>561497.73560729262</v>
      </c>
      <c r="K194" s="73" t="s">
        <v>261</v>
      </c>
      <c r="L194" s="73" t="s">
        <v>841</v>
      </c>
      <c r="M194" s="122">
        <v>41467</v>
      </c>
    </row>
    <row r="195" spans="2:13" x14ac:dyDescent="0.3">
      <c r="B195" s="73">
        <v>183</v>
      </c>
      <c r="C195" s="73" t="s">
        <v>494</v>
      </c>
      <c r="D195" s="124" t="s">
        <v>188</v>
      </c>
      <c r="G195" s="73" t="s">
        <v>214</v>
      </c>
      <c r="H195" s="73" t="s">
        <v>89</v>
      </c>
      <c r="I195" s="75">
        <v>11.293100000000001</v>
      </c>
      <c r="J195" s="76">
        <v>1342998.5176800238</v>
      </c>
      <c r="K195" s="73" t="s">
        <v>261</v>
      </c>
      <c r="L195" s="73" t="s">
        <v>842</v>
      </c>
      <c r="M195" s="122">
        <v>41516</v>
      </c>
    </row>
    <row r="196" spans="2:13" x14ac:dyDescent="0.3">
      <c r="B196" s="73">
        <v>184</v>
      </c>
      <c r="C196" s="73" t="s">
        <v>495</v>
      </c>
      <c r="D196" s="124" t="s">
        <v>184</v>
      </c>
      <c r="E196" s="73" t="s">
        <v>25</v>
      </c>
      <c r="G196" s="73" t="s">
        <v>53</v>
      </c>
      <c r="H196" s="73" t="s">
        <v>149</v>
      </c>
      <c r="I196" s="75">
        <v>8.1727799999999995</v>
      </c>
      <c r="J196" s="76">
        <v>1654893.758468024</v>
      </c>
      <c r="K196" s="73" t="s">
        <v>261</v>
      </c>
      <c r="L196" s="73" t="s">
        <v>843</v>
      </c>
      <c r="M196" s="122">
        <v>41516</v>
      </c>
    </row>
    <row r="197" spans="2:13" x14ac:dyDescent="0.3">
      <c r="B197" s="73">
        <v>185</v>
      </c>
      <c r="C197" s="73" t="s">
        <v>496</v>
      </c>
      <c r="D197" s="124" t="s">
        <v>184</v>
      </c>
      <c r="E197" s="73" t="s">
        <v>25</v>
      </c>
      <c r="G197" s="73" t="s">
        <v>53</v>
      </c>
      <c r="H197" s="73" t="s">
        <v>66</v>
      </c>
      <c r="I197" s="75">
        <v>13</v>
      </c>
      <c r="J197" s="76">
        <v>7309304.644571689</v>
      </c>
      <c r="K197" s="73" t="s">
        <v>259</v>
      </c>
      <c r="L197" s="73" t="s">
        <v>844</v>
      </c>
      <c r="M197" s="122">
        <v>41614</v>
      </c>
    </row>
    <row r="198" spans="2:13" x14ac:dyDescent="0.3">
      <c r="B198" s="73">
        <v>186</v>
      </c>
      <c r="C198" s="73" t="s">
        <v>497</v>
      </c>
      <c r="D198" s="124" t="s">
        <v>184</v>
      </c>
      <c r="E198" s="73" t="s">
        <v>25</v>
      </c>
      <c r="G198" s="73" t="s">
        <v>53</v>
      </c>
      <c r="H198" s="73" t="s">
        <v>66</v>
      </c>
      <c r="I198" s="75">
        <v>27.2</v>
      </c>
      <c r="J198" s="76">
        <v>7625735.5715761874</v>
      </c>
      <c r="K198" s="73" t="s">
        <v>259</v>
      </c>
      <c r="L198" s="73" t="s">
        <v>844</v>
      </c>
      <c r="M198" s="122">
        <v>41614</v>
      </c>
    </row>
    <row r="199" spans="2:13" x14ac:dyDescent="0.3">
      <c r="D199" s="124"/>
      <c r="M199" s="122"/>
    </row>
    <row r="200" spans="2:13" x14ac:dyDescent="0.3">
      <c r="D200" s="124"/>
      <c r="M200" s="122"/>
    </row>
    <row r="201" spans="2:13" x14ac:dyDescent="0.3">
      <c r="D201" s="124"/>
      <c r="M201" s="122"/>
    </row>
    <row r="202" spans="2:13" x14ac:dyDescent="0.3">
      <c r="D202" s="124"/>
      <c r="M202" s="122"/>
    </row>
    <row r="203" spans="2:13" x14ac:dyDescent="0.3">
      <c r="D203" s="124"/>
      <c r="M203" s="122"/>
    </row>
    <row r="204" spans="2:13" x14ac:dyDescent="0.3">
      <c r="D204" s="124"/>
      <c r="M204" s="122"/>
    </row>
    <row r="205" spans="2:13" x14ac:dyDescent="0.3">
      <c r="D205" s="124"/>
      <c r="M205" s="122"/>
    </row>
    <row r="206" spans="2:13" x14ac:dyDescent="0.3">
      <c r="D206" s="124"/>
      <c r="M206" s="122"/>
    </row>
    <row r="207" spans="2:13" x14ac:dyDescent="0.3">
      <c r="M207" s="122"/>
    </row>
    <row r="208" spans="2:13" x14ac:dyDescent="0.3">
      <c r="M208" s="122"/>
    </row>
    <row r="209" spans="13:13" x14ac:dyDescent="0.3">
      <c r="M209" s="122"/>
    </row>
    <row r="210" spans="13:13" x14ac:dyDescent="0.3">
      <c r="M210" s="122"/>
    </row>
    <row r="211" spans="13:13" x14ac:dyDescent="0.3">
      <c r="M211" s="122"/>
    </row>
    <row r="212" spans="13:13" x14ac:dyDescent="0.3">
      <c r="M212" s="122"/>
    </row>
    <row r="213" spans="13:13" x14ac:dyDescent="0.3">
      <c r="M213" s="122"/>
    </row>
    <row r="214" spans="13:13" x14ac:dyDescent="0.3">
      <c r="M214" s="122"/>
    </row>
    <row r="215" spans="13:13" x14ac:dyDescent="0.3">
      <c r="M215" s="122"/>
    </row>
    <row r="216" spans="13:13" x14ac:dyDescent="0.3">
      <c r="M216" s="122"/>
    </row>
    <row r="217" spans="13:13" x14ac:dyDescent="0.3">
      <c r="M217" s="122"/>
    </row>
    <row r="218" spans="13:13" x14ac:dyDescent="0.3">
      <c r="M218" s="122"/>
    </row>
    <row r="219" spans="13:13" x14ac:dyDescent="0.3">
      <c r="M219" s="122"/>
    </row>
    <row r="220" spans="13:13" x14ac:dyDescent="0.3">
      <c r="M220" s="122"/>
    </row>
    <row r="221" spans="13:13" x14ac:dyDescent="0.3">
      <c r="M221" s="122"/>
    </row>
    <row r="222" spans="13:13" x14ac:dyDescent="0.3">
      <c r="M222" s="122"/>
    </row>
    <row r="223" spans="13:13" x14ac:dyDescent="0.3">
      <c r="M223" s="122"/>
    </row>
    <row r="224" spans="13:13" x14ac:dyDescent="0.3">
      <c r="M224" s="122"/>
    </row>
    <row r="225" spans="13:13" x14ac:dyDescent="0.3">
      <c r="M225" s="122"/>
    </row>
    <row r="226" spans="13:13" x14ac:dyDescent="0.3">
      <c r="M226" s="122"/>
    </row>
    <row r="227" spans="13:13" x14ac:dyDescent="0.3">
      <c r="M227" s="122"/>
    </row>
    <row r="228" spans="13:13" x14ac:dyDescent="0.3">
      <c r="M228" s="122"/>
    </row>
    <row r="229" spans="13:13" x14ac:dyDescent="0.3">
      <c r="M229" s="122"/>
    </row>
    <row r="230" spans="13:13" x14ac:dyDescent="0.3">
      <c r="M230" s="122"/>
    </row>
    <row r="231" spans="13:13" x14ac:dyDescent="0.3">
      <c r="M231" s="122"/>
    </row>
    <row r="232" spans="13:13" x14ac:dyDescent="0.3">
      <c r="M232" s="122"/>
    </row>
    <row r="233" spans="13:13" x14ac:dyDescent="0.3">
      <c r="M233" s="122"/>
    </row>
    <row r="234" spans="13:13" x14ac:dyDescent="0.3">
      <c r="M234" s="122"/>
    </row>
    <row r="235" spans="13:13" x14ac:dyDescent="0.3">
      <c r="M235" s="122"/>
    </row>
  </sheetData>
  <mergeCells count="1">
    <mergeCell ref="B4:J5"/>
  </mergeCells>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65" r:id="rId3" name="Button 117">
              <controlPr defaultSize="0" print="0" autoFill="0" autoPict="0" macro="[0]!ResetInputPage.ResetInputPage">
                <anchor moveWithCells="1" sizeWithCells="1">
                  <from>
                    <xdr:col>2</xdr:col>
                    <xdr:colOff>754380</xdr:colOff>
                    <xdr:row>6</xdr:row>
                    <xdr:rowOff>45720</xdr:rowOff>
                  </from>
                  <to>
                    <xdr:col>3</xdr:col>
                    <xdr:colOff>1135380</xdr:colOff>
                    <xdr:row>8</xdr:row>
                    <xdr:rowOff>160020</xdr:rowOff>
                  </to>
                </anchor>
              </controlPr>
            </control>
          </mc:Choice>
        </mc:AlternateContent>
        <mc:AlternateContent xmlns:mc="http://schemas.openxmlformats.org/markup-compatibility/2006">
          <mc:Choice Requires="x14">
            <control shapeId="2168" r:id="rId4" name="Button 120">
              <controlPr defaultSize="0" print="0" autoFill="0" autoPict="0" macro="[0]!MapUserInputToTreatments">
                <anchor moveWithCells="1" sizeWithCells="1">
                  <from>
                    <xdr:col>3</xdr:col>
                    <xdr:colOff>1470660</xdr:colOff>
                    <xdr:row>6</xdr:row>
                    <xdr:rowOff>45720</xdr:rowOff>
                  </from>
                  <to>
                    <xdr:col>4</xdr:col>
                    <xdr:colOff>1066800</xdr:colOff>
                    <xdr:row>8</xdr:row>
                    <xdr:rowOff>160020</xdr:rowOff>
                  </to>
                </anchor>
              </controlPr>
            </control>
          </mc:Choice>
        </mc:AlternateContent>
        <mc:AlternateContent xmlns:mc="http://schemas.openxmlformats.org/markup-compatibility/2006">
          <mc:Choice Requires="x14">
            <control shapeId="2170" r:id="rId5" name="Button 122">
              <controlPr defaultSize="0" print="0" autoFill="0" autoPict="0" macro="[0]!UndoMapping.UndoMapping">
                <anchor moveWithCells="1" sizeWithCells="1">
                  <from>
                    <xdr:col>5</xdr:col>
                    <xdr:colOff>327660</xdr:colOff>
                    <xdr:row>6</xdr:row>
                    <xdr:rowOff>45720</xdr:rowOff>
                  </from>
                  <to>
                    <xdr:col>6</xdr:col>
                    <xdr:colOff>708660</xdr:colOff>
                    <xdr:row>8</xdr:row>
                    <xdr:rowOff>160020</xdr:rowOff>
                  </to>
                </anchor>
              </controlPr>
            </control>
          </mc:Choice>
        </mc:AlternateContent>
        <mc:AlternateContent xmlns:mc="http://schemas.openxmlformats.org/markup-compatibility/2006">
          <mc:Choice Requires="x14">
            <control shapeId="2172" r:id="rId6" name="Button 124">
              <controlPr defaultSize="0" print="0" autoFill="0" autoPict="0" macro="[0]!FocusedBundling.FocusedBundling">
                <anchor moveWithCells="1" sizeWithCells="1">
                  <from>
                    <xdr:col>6</xdr:col>
                    <xdr:colOff>1051560</xdr:colOff>
                    <xdr:row>6</xdr:row>
                    <xdr:rowOff>45720</xdr:rowOff>
                  </from>
                  <to>
                    <xdr:col>8</xdr:col>
                    <xdr:colOff>342900</xdr:colOff>
                    <xdr:row>8</xdr:row>
                    <xdr:rowOff>160020</xdr:rowOff>
                  </to>
                </anchor>
              </controlPr>
            </control>
          </mc:Choice>
        </mc:AlternateContent>
        <mc:AlternateContent xmlns:mc="http://schemas.openxmlformats.org/markup-compatibility/2006">
          <mc:Choice Requires="x14">
            <control shapeId="2174" r:id="rId7" name="Button 126">
              <controlPr defaultSize="0" print="0" autoFill="0" autoPict="0" macro="[0]!ComprehensiveBundling.ComprehensiveBundling">
                <anchor moveWithCells="1" sizeWithCells="1">
                  <from>
                    <xdr:col>8</xdr:col>
                    <xdr:colOff>685800</xdr:colOff>
                    <xdr:row>6</xdr:row>
                    <xdr:rowOff>45720</xdr:rowOff>
                  </from>
                  <to>
                    <xdr:col>9</xdr:col>
                    <xdr:colOff>1066800</xdr:colOff>
                    <xdr:row>8</xdr:row>
                    <xdr:rowOff>160020</xdr:rowOff>
                  </to>
                </anchor>
              </controlPr>
            </control>
          </mc:Choice>
        </mc:AlternateContent>
        <mc:AlternateContent xmlns:mc="http://schemas.openxmlformats.org/markup-compatibility/2006">
          <mc:Choice Requires="x14">
            <control shapeId="2184" r:id="rId8" name="Button 136">
              <controlPr defaultSize="0" print="0" autoFill="0" autoPict="0" macro="[0]!RunBundlingValidationWithDualScoring">
                <anchor moveWithCells="1" sizeWithCells="1">
                  <from>
                    <xdr:col>1</xdr:col>
                    <xdr:colOff>30480</xdr:colOff>
                    <xdr:row>6</xdr:row>
                    <xdr:rowOff>45720</xdr:rowOff>
                  </from>
                  <to>
                    <xdr:col>2</xdr:col>
                    <xdr:colOff>411480</xdr:colOff>
                    <xdr:row>8</xdr:row>
                    <xdr:rowOff>160020</xdr:rowOff>
                  </to>
                </anchor>
              </controlPr>
            </control>
          </mc:Choice>
        </mc:AlternateContent>
        <mc:AlternateContent xmlns:mc="http://schemas.openxmlformats.org/markup-compatibility/2006">
          <mc:Choice Requires="x14">
            <control shapeId="2186" r:id="rId9" name="Button 138">
              <controlPr defaultSize="0" print="0" autoFill="0" autoPict="0" macro="[0]!Module_ScenarioHarness.Run_All_Weight_Scenarios">
                <anchor moveWithCells="1" sizeWithCells="1">
                  <from>
                    <xdr:col>10</xdr:col>
                    <xdr:colOff>304800</xdr:colOff>
                    <xdr:row>6</xdr:row>
                    <xdr:rowOff>60960</xdr:rowOff>
                  </from>
                  <to>
                    <xdr:col>11</xdr:col>
                    <xdr:colOff>434340</xdr:colOff>
                    <xdr:row>8</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32">
        <x14:dataValidation type="list" allowBlank="1" showInputMessage="1" showErrorMessage="1" xr:uid="{62F2B0BB-670F-4ECB-8D8D-BE219F6365A1}">
          <x14:formula1>
            <xm:f>BundlingCompatabilityData!Q20:Q114</xm:f>
          </x14:formula1>
          <xm:sqref>H29</xm:sqref>
        </x14:dataValidation>
        <x14:dataValidation type="list" allowBlank="1" showInputMessage="1" showErrorMessage="1" xr:uid="{50791845-E6BE-4F34-9F5E-F09B24A08C6F}">
          <x14:formula1>
            <xm:f>BundlingCompatabilityData!Q20:Q114</xm:f>
          </x14:formula1>
          <xm:sqref>H30</xm:sqref>
        </x14:dataValidation>
        <x14:dataValidation type="list" allowBlank="1" showInputMessage="1" showErrorMessage="1" xr:uid="{517490F0-80D6-487C-B14A-701FC610122C}">
          <x14:formula1>
            <xm:f>BundlingCompatabilityData!Q20:Q114</xm:f>
          </x14:formula1>
          <xm:sqref>H31</xm:sqref>
        </x14:dataValidation>
        <x14:dataValidation type="list" allowBlank="1" showInputMessage="1" showErrorMessage="1" xr:uid="{8951D2DD-98DF-4261-A4A6-C16DE6596C59}">
          <x14:formula1>
            <xm:f>BundlingCompatabilityData!Q20:Q114</xm:f>
          </x14:formula1>
          <xm:sqref>H32</xm:sqref>
        </x14:dataValidation>
        <x14:dataValidation type="list" allowBlank="1" showInputMessage="1" showErrorMessage="1" xr:uid="{49C28FC4-1424-40B4-9213-DF926DD0F4F0}">
          <x14:formula1>
            <xm:f>BundlingCompatabilityData!Q20:Q114</xm:f>
          </x14:formula1>
          <xm:sqref>H33</xm:sqref>
        </x14:dataValidation>
        <x14:dataValidation type="list" allowBlank="1" showInputMessage="1" showErrorMessage="1" xr:uid="{E3686B6B-96B8-48A6-9083-C32CC3117A8A}">
          <x14:formula1>
            <xm:f>BundlingCompatabilityData!Q20:Q114</xm:f>
          </x14:formula1>
          <xm:sqref>H34</xm:sqref>
        </x14:dataValidation>
        <x14:dataValidation type="list" allowBlank="1" showInputMessage="1" showErrorMessage="1" xr:uid="{F034ED7E-9D3A-4E22-9DAB-AC40AAAAD10D}">
          <x14:formula1>
            <xm:f>BundlingCompatabilityData!Q20:Q114</xm:f>
          </x14:formula1>
          <xm:sqref>H35</xm:sqref>
        </x14:dataValidation>
        <x14:dataValidation type="list" allowBlank="1" showInputMessage="1" showErrorMessage="1" xr:uid="{F0D04220-2547-4B02-A395-E977D0516D7A}">
          <x14:formula1>
            <xm:f>BundlingCompatabilityData!Q20:Q114</xm:f>
          </x14:formula1>
          <xm:sqref>H36</xm:sqref>
        </x14:dataValidation>
        <x14:dataValidation type="list" allowBlank="1" showInputMessage="1" showErrorMessage="1" xr:uid="{05824A0A-258A-46E0-A1A7-089B922CBA0B}">
          <x14:formula1>
            <xm:f>BundlingCompatabilityData!Q20:Q114</xm:f>
          </x14:formula1>
          <xm:sqref>H37</xm:sqref>
        </x14:dataValidation>
        <x14:dataValidation type="list" allowBlank="1" showInputMessage="1" showErrorMessage="1" xr:uid="{1C61ECEF-E7E8-4878-9CDC-8A339BECF628}">
          <x14:formula1>
            <xm:f>BundlingCompatabilityData!Q20:Q114</xm:f>
          </x14:formula1>
          <xm:sqref>H38</xm:sqref>
        </x14:dataValidation>
        <x14:dataValidation type="list" allowBlank="1" showInputMessage="1" showErrorMessage="1" xr:uid="{5E4B30B4-56A2-4C57-936F-B9816F765C55}">
          <x14:formula1>
            <xm:f>BundlingCompatabilityData!Q20:Q114</xm:f>
          </x14:formula1>
          <xm:sqref>H39</xm:sqref>
        </x14:dataValidation>
        <x14:dataValidation type="list" allowBlank="1" showInputMessage="1" showErrorMessage="1" xr:uid="{89EEBC11-93B0-4F58-A083-E94FC853A6A8}">
          <x14:formula1>
            <xm:f>BundlingCompatabilityData!Q20:Q114</xm:f>
          </x14:formula1>
          <xm:sqref>H40</xm:sqref>
        </x14:dataValidation>
        <x14:dataValidation type="list" allowBlank="1" showInputMessage="1" showErrorMessage="1" xr:uid="{1550AA57-13AB-4F17-B7BC-15CCC8AEC6A8}">
          <x14:formula1>
            <xm:f>BundlingCompatabilityData!Q20:Q114</xm:f>
          </x14:formula1>
          <xm:sqref>H41</xm:sqref>
        </x14:dataValidation>
        <x14:dataValidation type="list" allowBlank="1" showInputMessage="1" showErrorMessage="1" xr:uid="{5AE79B10-047C-4464-BAB5-D16B7C7A189F}">
          <x14:formula1>
            <xm:f>BundlingCompatabilityData!Q20:Q114</xm:f>
          </x14:formula1>
          <xm:sqref>H42</xm:sqref>
        </x14:dataValidation>
        <x14:dataValidation type="list" allowBlank="1" showInputMessage="1" showErrorMessage="1" xr:uid="{7D0DDC21-D45F-4160-BC66-EF3D8BEBFCD1}">
          <x14:formula1>
            <xm:f>BundlingCompatabilityData!Q20:Q114</xm:f>
          </x14:formula1>
          <xm:sqref>H43</xm:sqref>
        </x14:dataValidation>
        <x14:dataValidation type="list" allowBlank="1" showInputMessage="1" showErrorMessage="1" xr:uid="{16D47CAD-44A7-45C1-A092-D436DE977FB9}">
          <x14:formula1>
            <xm:f>BundlingCompatabilityData!Q20:Q114</xm:f>
          </x14:formula1>
          <xm:sqref>H44</xm:sqref>
        </x14:dataValidation>
        <x14:dataValidation type="list" allowBlank="1" showInputMessage="1" showErrorMessage="1" xr:uid="{17ADD991-ECF7-4127-8C66-2323199DCBCD}">
          <x14:formula1>
            <xm:f>BundlingCompatabilityData!Q20:Q114</xm:f>
          </x14:formula1>
          <xm:sqref>H45</xm:sqref>
        </x14:dataValidation>
        <x14:dataValidation type="list" allowBlank="1" showInputMessage="1" showErrorMessage="1" xr:uid="{1EC51468-226F-4418-8A94-8A1804F47937}">
          <x14:formula1>
            <xm:f>BundlingCompatabilityData!Q20:Q114</xm:f>
          </x14:formula1>
          <xm:sqref>H46</xm:sqref>
        </x14:dataValidation>
        <x14:dataValidation type="list" allowBlank="1" showInputMessage="1" showErrorMessage="1" xr:uid="{53E29E60-A854-442B-A366-5A784C28E72A}">
          <x14:formula1>
            <xm:f>BundlingCompatabilityData!Q20:Q114</xm:f>
          </x14:formula1>
          <xm:sqref>H47</xm:sqref>
        </x14:dataValidation>
        <x14:dataValidation type="list" allowBlank="1" showInputMessage="1" showErrorMessage="1" xr:uid="{F26D1CA3-384C-4646-A2C5-AE5665D5B713}">
          <x14:formula1>
            <xm:f>BundlingCompatabilityData!Q20:Q114</xm:f>
          </x14:formula1>
          <xm:sqref>H48</xm:sqref>
        </x14:dataValidation>
        <x14:dataValidation type="list" allowBlank="1" showInputMessage="1" showErrorMessage="1" xr:uid="{F83FD828-D54C-4096-90E4-7E1E40EF76C0}">
          <x14:formula1>
            <xm:f>BundlingCompatabilityData!Q20:Q114</xm:f>
          </x14:formula1>
          <xm:sqref>H49</xm:sqref>
        </x14:dataValidation>
        <x14:dataValidation type="list" allowBlank="1" showInputMessage="1" showErrorMessage="1" xr:uid="{D2452548-7702-49D1-935C-2E18F7C67214}">
          <x14:formula1>
            <xm:f>BundlingCompatabilityData!Q20:Q114</xm:f>
          </x14:formula1>
          <xm:sqref>H50</xm:sqref>
        </x14:dataValidation>
        <x14:dataValidation type="list" allowBlank="1" showInputMessage="1" showErrorMessage="1" xr:uid="{A6C747B6-EBDA-4B4D-BD4E-56069509922E}">
          <x14:formula1>
            <xm:f>BundlingCompatabilityData!Q20:Q114</xm:f>
          </x14:formula1>
          <xm:sqref>H51</xm:sqref>
        </x14:dataValidation>
        <x14:dataValidation type="list" allowBlank="1" showInputMessage="1" showErrorMessage="1" xr:uid="{49D5C526-99CA-4FF6-9E94-869FB68B079D}">
          <x14:formula1>
            <xm:f>BundlingCompatabilityData!Q20:Q114</xm:f>
          </x14:formula1>
          <xm:sqref>H52</xm:sqref>
        </x14:dataValidation>
        <x14:dataValidation type="list" allowBlank="1" showInputMessage="1" showErrorMessage="1" xr:uid="{40F41C56-3862-4291-9D4F-3D2A80A579A9}">
          <x14:formula1>
            <xm:f>BundlingCompatabilityData!Q20:Q114</xm:f>
          </x14:formula1>
          <xm:sqref>H53</xm:sqref>
        </x14:dataValidation>
        <x14:dataValidation type="list" allowBlank="1" showInputMessage="1" showErrorMessage="1" xr:uid="{962C8AD6-5E8B-4B59-88FE-1BADBE17471E}">
          <x14:formula1>
            <xm:f>BundlingCompatabilityData!Q20:Q114</xm:f>
          </x14:formula1>
          <xm:sqref>H54</xm:sqref>
        </x14:dataValidation>
        <x14:dataValidation type="list" allowBlank="1" showInputMessage="1" showErrorMessage="1" xr:uid="{E2B7676E-692D-49D0-85F0-28B87ADFCDB5}">
          <x14:formula1>
            <xm:f>BundlingCompatabilityData!Q20:Q114</xm:f>
          </x14:formula1>
          <xm:sqref>H55</xm:sqref>
        </x14:dataValidation>
        <x14:dataValidation type="list" allowBlank="1" showInputMessage="1" showErrorMessage="1" xr:uid="{9EDCFC1F-D18F-4422-98CF-F03A64ADCC00}">
          <x14:formula1>
            <xm:f>BundlingCompatabilityData!Q20:Q114</xm:f>
          </x14:formula1>
          <xm:sqref>H56</xm:sqref>
        </x14:dataValidation>
        <x14:dataValidation type="list" allowBlank="1" showInputMessage="1" showErrorMessage="1" xr:uid="{AFBE6E5A-3898-4D08-8487-8B604CC2CE60}">
          <x14:formula1>
            <xm:f>BundlingCompatabilityData!Q20:Q114</xm:f>
          </x14:formula1>
          <xm:sqref>H57</xm:sqref>
        </x14:dataValidation>
        <x14:dataValidation type="list" allowBlank="1" showInputMessage="1" showErrorMessage="1" xr:uid="{8C5030B3-1208-4F7C-AC50-D6259879E1F8}">
          <x14:formula1>
            <xm:f>BundlingCompatabilityData!Q20:Q114</xm:f>
          </x14:formula1>
          <xm:sqref>H58</xm:sqref>
        </x14:dataValidation>
        <x14:dataValidation type="list" allowBlank="1" showInputMessage="1" showErrorMessage="1" xr:uid="{0EA1B29C-9661-488F-91DA-27868EDFAFD2}">
          <x14:formula1>
            <xm:f>BundlingCompatabilityData!Q20:Q114</xm:f>
          </x14:formula1>
          <xm:sqref>H59</xm:sqref>
        </x14:dataValidation>
        <x14:dataValidation type="list" allowBlank="1" showInputMessage="1" showErrorMessage="1" xr:uid="{645B6969-C620-4B76-83C8-83D05CD0B08C}">
          <x14:formula1>
            <xm:f>BundlingCompatabilityData!Q20:Q114</xm:f>
          </x14:formula1>
          <xm:sqref>H60</xm:sqref>
        </x14:dataValidation>
        <x14:dataValidation type="list" allowBlank="1" showInputMessage="1" showErrorMessage="1" xr:uid="{39AC00DF-8D58-44F3-B3F4-5D7D37B08491}">
          <x14:formula1>
            <xm:f>BundlingCompatabilityData!Q20:Q114</xm:f>
          </x14:formula1>
          <xm:sqref>H61</xm:sqref>
        </x14:dataValidation>
        <x14:dataValidation type="list" allowBlank="1" showInputMessage="1" showErrorMessage="1" xr:uid="{5EB945B3-E52F-414A-82C1-21A58021B95A}">
          <x14:formula1>
            <xm:f>BundlingCompatabilityData!Q20:Q114</xm:f>
          </x14:formula1>
          <xm:sqref>H62</xm:sqref>
        </x14:dataValidation>
        <x14:dataValidation type="list" allowBlank="1" showInputMessage="1" showErrorMessage="1" xr:uid="{A2CCE0C7-7793-4F9E-B8F5-FB2267378596}">
          <x14:formula1>
            <xm:f>BundlingCompatabilityData!Q20:Q114</xm:f>
          </x14:formula1>
          <xm:sqref>H63</xm:sqref>
        </x14:dataValidation>
        <x14:dataValidation type="list" allowBlank="1" showInputMessage="1" showErrorMessage="1" xr:uid="{E2A1FAF2-AB61-42D1-8C71-8BC65F0BEEB4}">
          <x14:formula1>
            <xm:f>BundlingCompatabilityData!Q20:Q114</xm:f>
          </x14:formula1>
          <xm:sqref>H64</xm:sqref>
        </x14:dataValidation>
        <x14:dataValidation type="list" allowBlank="1" showInputMessage="1" showErrorMessage="1" xr:uid="{E7AE0E9A-9933-4E33-B56C-B46BB88B69BC}">
          <x14:formula1>
            <xm:f>BundlingCompatabilityData!Q20:Q114</xm:f>
          </x14:formula1>
          <xm:sqref>H65</xm:sqref>
        </x14:dataValidation>
        <x14:dataValidation type="list" allowBlank="1" showInputMessage="1" showErrorMessage="1" xr:uid="{CAD53EFF-8C8D-49B6-86A5-74A622E7CEFD}">
          <x14:formula1>
            <xm:f>BundlingCompatabilityData!Q20:Q114</xm:f>
          </x14:formula1>
          <xm:sqref>H66</xm:sqref>
        </x14:dataValidation>
        <x14:dataValidation type="list" allowBlank="1" showInputMessage="1" showErrorMessage="1" xr:uid="{E677F783-6DEB-4A49-AE8E-73AF063C4BAB}">
          <x14:formula1>
            <xm:f>BundlingCompatabilityData!Q20:Q114</xm:f>
          </x14:formula1>
          <xm:sqref>H67</xm:sqref>
        </x14:dataValidation>
        <x14:dataValidation type="list" allowBlank="1" showInputMessage="1" showErrorMessage="1" xr:uid="{460648D2-D9DA-441F-9A0D-E95BF47BE08F}">
          <x14:formula1>
            <xm:f>BundlingCompatabilityData!Q20:Q114</xm:f>
          </x14:formula1>
          <xm:sqref>H68</xm:sqref>
        </x14:dataValidation>
        <x14:dataValidation type="list" allowBlank="1" showInputMessage="1" showErrorMessage="1" xr:uid="{2DA230FA-AFDE-4E2C-B5A2-33FCA721D92F}">
          <x14:formula1>
            <xm:f>BundlingCompatabilityData!Q20:Q114</xm:f>
          </x14:formula1>
          <xm:sqref>H69</xm:sqref>
        </x14:dataValidation>
        <x14:dataValidation type="list" allowBlank="1" showInputMessage="1" showErrorMessage="1" xr:uid="{4F2EE393-FA97-423A-9CD2-A76DC8F1E40B}">
          <x14:formula1>
            <xm:f>BundlingCompatabilityData!Q20:Q114</xm:f>
          </x14:formula1>
          <xm:sqref>H70</xm:sqref>
        </x14:dataValidation>
        <x14:dataValidation type="list" allowBlank="1" showInputMessage="1" showErrorMessage="1" xr:uid="{DDCBC7DC-6121-4CD6-9916-66635A545C39}">
          <x14:formula1>
            <xm:f>BundlingCompatabilityData!Q20:Q114</xm:f>
          </x14:formula1>
          <xm:sqref>H71</xm:sqref>
        </x14:dataValidation>
        <x14:dataValidation type="list" allowBlank="1" showInputMessage="1" showErrorMessage="1" xr:uid="{C6EF31AE-F62A-40C1-8537-928B2AA64404}">
          <x14:formula1>
            <xm:f>BundlingCompatabilityData!Q20:Q114</xm:f>
          </x14:formula1>
          <xm:sqref>H72</xm:sqref>
        </x14:dataValidation>
        <x14:dataValidation type="list" allowBlank="1" showInputMessage="1" showErrorMessage="1" xr:uid="{D6EEA165-4197-4118-A040-20D5008BBF8B}">
          <x14:formula1>
            <xm:f>BundlingCompatabilityData!Q20:Q114</xm:f>
          </x14:formula1>
          <xm:sqref>H73</xm:sqref>
        </x14:dataValidation>
        <x14:dataValidation type="list" allowBlank="1" showInputMessage="1" showErrorMessage="1" xr:uid="{5DDF90E4-84B7-42D7-9A40-FF16DDD50EEB}">
          <x14:formula1>
            <xm:f>BundlingCompatabilityData!Q20:Q114</xm:f>
          </x14:formula1>
          <xm:sqref>H74</xm:sqref>
        </x14:dataValidation>
        <x14:dataValidation type="list" allowBlank="1" showInputMessage="1" showErrorMessage="1" xr:uid="{76EE1C7E-FE83-4EA4-BD76-28082B7197B0}">
          <x14:formula1>
            <xm:f>BundlingCompatabilityData!Q20:Q114</xm:f>
          </x14:formula1>
          <xm:sqref>H75</xm:sqref>
        </x14:dataValidation>
        <x14:dataValidation type="list" allowBlank="1" showInputMessage="1" showErrorMessage="1" xr:uid="{E1183DEF-D595-4147-99D8-437282817C17}">
          <x14:formula1>
            <xm:f>BundlingCompatabilityData!Q20:Q114</xm:f>
          </x14:formula1>
          <xm:sqref>H76</xm:sqref>
        </x14:dataValidation>
        <x14:dataValidation type="list" allowBlank="1" showInputMessage="1" showErrorMessage="1" xr:uid="{D77016EA-0B86-45B1-970A-C3584400DE42}">
          <x14:formula1>
            <xm:f>BundlingCompatabilityData!Q20:Q114</xm:f>
          </x14:formula1>
          <xm:sqref>H77</xm:sqref>
        </x14:dataValidation>
        <x14:dataValidation type="list" allowBlank="1" showInputMessage="1" showErrorMessage="1" xr:uid="{29344205-3356-443F-A81A-6E65D7FA4419}">
          <x14:formula1>
            <xm:f>BundlingCompatabilityData!Q20:Q114</xm:f>
          </x14:formula1>
          <xm:sqref>H78</xm:sqref>
        </x14:dataValidation>
        <x14:dataValidation type="list" allowBlank="1" showInputMessage="1" showErrorMessage="1" xr:uid="{11CF12AF-CC35-44AB-B890-EF98C6171D2D}">
          <x14:formula1>
            <xm:f>BundlingCompatabilityData!Q20:Q114</xm:f>
          </x14:formula1>
          <xm:sqref>H79</xm:sqref>
        </x14:dataValidation>
        <x14:dataValidation type="list" allowBlank="1" showInputMessage="1" showErrorMessage="1" xr:uid="{AEDF6CC8-6CC1-4FC0-A911-AD5970D07E25}">
          <x14:formula1>
            <xm:f>BundlingCompatabilityData!Q20:Q114</xm:f>
          </x14:formula1>
          <xm:sqref>H80</xm:sqref>
        </x14:dataValidation>
        <x14:dataValidation type="list" allowBlank="1" showInputMessage="1" showErrorMessage="1" xr:uid="{A3C04F57-44EB-481E-8157-F77FF0F60112}">
          <x14:formula1>
            <xm:f>BundlingCompatabilityData!Q20:Q114</xm:f>
          </x14:formula1>
          <xm:sqref>H81</xm:sqref>
        </x14:dataValidation>
        <x14:dataValidation type="list" allowBlank="1" showInputMessage="1" showErrorMessage="1" xr:uid="{1AC242E3-2C4F-42E6-BD3A-C5C265B6E4CB}">
          <x14:formula1>
            <xm:f>BundlingCompatabilityData!Q20:Q114</xm:f>
          </x14:formula1>
          <xm:sqref>H82</xm:sqref>
        </x14:dataValidation>
        <x14:dataValidation type="list" allowBlank="1" showInputMessage="1" showErrorMessage="1" xr:uid="{C9B48A14-7B79-45F1-B09D-07D67F914FB7}">
          <x14:formula1>
            <xm:f>BundlingCompatabilityData!Q20:Q114</xm:f>
          </x14:formula1>
          <xm:sqref>H83</xm:sqref>
        </x14:dataValidation>
        <x14:dataValidation type="list" allowBlank="1" showInputMessage="1" showErrorMessage="1" xr:uid="{4503C27C-C3B6-489A-A6C1-C4D87C6E5E6B}">
          <x14:formula1>
            <xm:f>BundlingCompatabilityData!Q20:Q114</xm:f>
          </x14:formula1>
          <xm:sqref>H84</xm:sqref>
        </x14:dataValidation>
        <x14:dataValidation type="list" allowBlank="1" showInputMessage="1" showErrorMessage="1" xr:uid="{C7C2D996-286F-4145-8C4F-92A41CAE26DE}">
          <x14:formula1>
            <xm:f>BundlingCompatabilityData!Q20:Q114</xm:f>
          </x14:formula1>
          <xm:sqref>H85</xm:sqref>
        </x14:dataValidation>
        <x14:dataValidation type="list" allowBlank="1" showInputMessage="1" showErrorMessage="1" xr:uid="{17DF9804-9E72-4756-84AB-BA1478FE20FD}">
          <x14:formula1>
            <xm:f>BundlingCompatabilityData!Q20:Q114</xm:f>
          </x14:formula1>
          <xm:sqref>H86</xm:sqref>
        </x14:dataValidation>
        <x14:dataValidation type="list" allowBlank="1" showInputMessage="1" showErrorMessage="1" xr:uid="{3FA51984-4C46-40D7-83C3-90ED99B21AE4}">
          <x14:formula1>
            <xm:f>BundlingCompatabilityData!Q20:Q114</xm:f>
          </x14:formula1>
          <xm:sqref>H87</xm:sqref>
        </x14:dataValidation>
        <x14:dataValidation type="list" allowBlank="1" showInputMessage="1" showErrorMessage="1" xr:uid="{A0C6F7B1-AF3B-4A15-BF55-3AB4F06E2DA3}">
          <x14:formula1>
            <xm:f>BundlingCompatabilityData!Q20:Q114</xm:f>
          </x14:formula1>
          <xm:sqref>H88</xm:sqref>
        </x14:dataValidation>
        <x14:dataValidation type="list" allowBlank="1" showInputMessage="1" showErrorMessage="1" xr:uid="{BCCABDE3-89D8-4084-9716-4C504E8EC01C}">
          <x14:formula1>
            <xm:f>BundlingCompatabilityData!Q20:Q114</xm:f>
          </x14:formula1>
          <xm:sqref>H89</xm:sqref>
        </x14:dataValidation>
        <x14:dataValidation type="list" allowBlank="1" showInputMessage="1" showErrorMessage="1" xr:uid="{73A9A0D8-F5B9-4E63-8D82-FBFE8D7C8354}">
          <x14:formula1>
            <xm:f>BundlingCompatabilityData!Q20:Q114</xm:f>
          </x14:formula1>
          <xm:sqref>H90</xm:sqref>
        </x14:dataValidation>
        <x14:dataValidation type="list" allowBlank="1" showInputMessage="1" showErrorMessage="1" xr:uid="{305E390C-7B7B-43C2-8A5B-072A89E8ABA7}">
          <x14:formula1>
            <xm:f>BundlingCompatabilityData!Q20:Q114</xm:f>
          </x14:formula1>
          <xm:sqref>H91</xm:sqref>
        </x14:dataValidation>
        <x14:dataValidation type="list" allowBlank="1" showInputMessage="1" showErrorMessage="1" xr:uid="{60E064C8-69E2-443D-B17D-78728C07E7DD}">
          <x14:formula1>
            <xm:f>BundlingCompatabilityData!Q20:Q114</xm:f>
          </x14:formula1>
          <xm:sqref>H92</xm:sqref>
        </x14:dataValidation>
        <x14:dataValidation type="list" allowBlank="1" showInputMessage="1" showErrorMessage="1" xr:uid="{4AA00449-C670-4BD6-A7BB-9FC16ED2AA20}">
          <x14:formula1>
            <xm:f>BundlingCompatabilityData!Q20:Q114</xm:f>
          </x14:formula1>
          <xm:sqref>H93</xm:sqref>
        </x14:dataValidation>
        <x14:dataValidation type="list" allowBlank="1" showInputMessage="1" showErrorMessage="1" xr:uid="{BE918759-7478-4311-8A6C-CC0C0063B268}">
          <x14:formula1>
            <xm:f>BundlingCompatabilityData!Q20:Q114</xm:f>
          </x14:formula1>
          <xm:sqref>H94</xm:sqref>
        </x14:dataValidation>
        <x14:dataValidation type="list" allowBlank="1" showInputMessage="1" showErrorMessage="1" xr:uid="{13F92479-6358-469E-B3A0-F69224AD37BA}">
          <x14:formula1>
            <xm:f>BundlingCompatabilityData!Q20:Q114</xm:f>
          </x14:formula1>
          <xm:sqref>H95</xm:sqref>
        </x14:dataValidation>
        <x14:dataValidation type="list" allowBlank="1" showInputMessage="1" showErrorMessage="1" xr:uid="{1221C7A9-A9D1-40F6-819A-26EAC2761231}">
          <x14:formula1>
            <xm:f>BundlingCompatabilityData!Q20:Q114</xm:f>
          </x14:formula1>
          <xm:sqref>H96</xm:sqref>
        </x14:dataValidation>
        <x14:dataValidation type="list" allowBlank="1" showInputMessage="1" showErrorMessage="1" xr:uid="{133A290D-7AE9-43D0-AF0E-0160450495E3}">
          <x14:formula1>
            <xm:f>BundlingCompatabilityData!Q20:Q114</xm:f>
          </x14:formula1>
          <xm:sqref>H97</xm:sqref>
        </x14:dataValidation>
        <x14:dataValidation type="list" allowBlank="1" showInputMessage="1" showErrorMessage="1" xr:uid="{4ADEF855-02C8-48C0-A05E-9BC48878FA77}">
          <x14:formula1>
            <xm:f>BundlingCompatabilityData!Q20:Q114</xm:f>
          </x14:formula1>
          <xm:sqref>H98</xm:sqref>
        </x14:dataValidation>
        <x14:dataValidation type="list" allowBlank="1" showInputMessage="1" showErrorMessage="1" xr:uid="{A781D8C8-A546-4A96-BCC7-476A2651DEA4}">
          <x14:formula1>
            <xm:f>BundlingCompatabilityData!Q20:Q114</xm:f>
          </x14:formula1>
          <xm:sqref>H99</xm:sqref>
        </x14:dataValidation>
        <x14:dataValidation type="list" allowBlank="1" showInputMessage="1" showErrorMessage="1" xr:uid="{CDA2122F-1ABD-49C3-A317-BD33BC17F354}">
          <x14:formula1>
            <xm:f>BundlingCompatabilityData!Q20:Q114</xm:f>
          </x14:formula1>
          <xm:sqref>H100</xm:sqref>
        </x14:dataValidation>
        <x14:dataValidation type="list" allowBlank="1" showInputMessage="1" showErrorMessage="1" xr:uid="{33C25B19-52C3-4F0F-BC49-70BCE31F7CA5}">
          <x14:formula1>
            <xm:f>BundlingCompatabilityData!Q20:Q114</xm:f>
          </x14:formula1>
          <xm:sqref>H101</xm:sqref>
        </x14:dataValidation>
        <x14:dataValidation type="list" allowBlank="1" showInputMessage="1" showErrorMessage="1" xr:uid="{4EE61DAB-C0D7-46E6-BBDD-E356B75DBFE2}">
          <x14:formula1>
            <xm:f>BundlingCompatabilityData!Q20:Q114</xm:f>
          </x14:formula1>
          <xm:sqref>H102</xm:sqref>
        </x14:dataValidation>
        <x14:dataValidation type="list" allowBlank="1" showInputMessage="1" showErrorMessage="1" xr:uid="{ED73246F-D579-4E7F-84A0-182D20BCBB40}">
          <x14:formula1>
            <xm:f>BundlingCompatabilityData!Q20:Q114</xm:f>
          </x14:formula1>
          <xm:sqref>H103</xm:sqref>
        </x14:dataValidation>
        <x14:dataValidation type="list" allowBlank="1" showInputMessage="1" showErrorMessage="1" xr:uid="{C6760B17-986F-491E-AECC-21DD416497BF}">
          <x14:formula1>
            <xm:f>BundlingCompatabilityData!Q20:Q114</xm:f>
          </x14:formula1>
          <xm:sqref>H104</xm:sqref>
        </x14:dataValidation>
        <x14:dataValidation type="list" allowBlank="1" showInputMessage="1" showErrorMessage="1" xr:uid="{5F12A12D-C72A-4979-9824-FE4A531BDC53}">
          <x14:formula1>
            <xm:f>BundlingCompatabilityData!Q20:Q114</xm:f>
          </x14:formula1>
          <xm:sqref>H105</xm:sqref>
        </x14:dataValidation>
        <x14:dataValidation type="list" allowBlank="1" showInputMessage="1" showErrorMessage="1" xr:uid="{10929EEF-417D-4905-BA52-B8E3A60C55E0}">
          <x14:formula1>
            <xm:f>BundlingCompatabilityData!Q20:Q114</xm:f>
          </x14:formula1>
          <xm:sqref>H106</xm:sqref>
        </x14:dataValidation>
        <x14:dataValidation type="list" allowBlank="1" showInputMessage="1" showErrorMessage="1" xr:uid="{03412591-FB83-480F-BC0D-53C16576E39B}">
          <x14:formula1>
            <xm:f>BundlingCompatabilityData!Q20:Q114</xm:f>
          </x14:formula1>
          <xm:sqref>H107</xm:sqref>
        </x14:dataValidation>
        <x14:dataValidation type="list" allowBlank="1" showInputMessage="1" showErrorMessage="1" xr:uid="{CF256346-438C-41B0-B5C2-D91D7B0C89D5}">
          <x14:formula1>
            <xm:f>BundlingCompatabilityData!Q20:Q114</xm:f>
          </x14:formula1>
          <xm:sqref>H108</xm:sqref>
        </x14:dataValidation>
        <x14:dataValidation type="list" allowBlank="1" showInputMessage="1" showErrorMessage="1" xr:uid="{BCCDF553-1CC7-442A-B494-B57F38E2F904}">
          <x14:formula1>
            <xm:f>BundlingCompatabilityData!Q20:Q114</xm:f>
          </x14:formula1>
          <xm:sqref>H109</xm:sqref>
        </x14:dataValidation>
        <x14:dataValidation type="list" allowBlank="1" showInputMessage="1" showErrorMessage="1" xr:uid="{4134B5F1-5003-4FE3-901D-1FAB8122F470}">
          <x14:formula1>
            <xm:f>BundlingCompatabilityData!Q20:Q114</xm:f>
          </x14:formula1>
          <xm:sqref>H110</xm:sqref>
        </x14:dataValidation>
        <x14:dataValidation type="list" allowBlank="1" showInputMessage="1" showErrorMessage="1" xr:uid="{5532D779-3DA2-42AB-82EB-4E900DDF5C26}">
          <x14:formula1>
            <xm:f>BundlingCompatabilityData!Q20:Q114</xm:f>
          </x14:formula1>
          <xm:sqref>H111</xm:sqref>
        </x14:dataValidation>
        <x14:dataValidation type="list" allowBlank="1" showInputMessage="1" showErrorMessage="1" xr:uid="{3179654F-763C-4B0C-857B-679EC28AFE71}">
          <x14:formula1>
            <xm:f>BundlingCompatabilityData!Q20:Q114</xm:f>
          </x14:formula1>
          <xm:sqref>H112</xm:sqref>
        </x14:dataValidation>
        <x14:dataValidation type="list" allowBlank="1" showInputMessage="1" showErrorMessage="1" xr:uid="{F743A6BB-889F-46B6-B442-AF20556512E7}">
          <x14:formula1>
            <xm:f>BundlingCompatabilityData!Q20:Q114</xm:f>
          </x14:formula1>
          <xm:sqref>H113</xm:sqref>
        </x14:dataValidation>
        <x14:dataValidation type="list" allowBlank="1" showInputMessage="1" showErrorMessage="1" xr:uid="{D37C1076-3C2A-4C9C-BD10-F930D4EA368B}">
          <x14:formula1>
            <xm:f>BundlingCompatabilityData!Q20:Q114</xm:f>
          </x14:formula1>
          <xm:sqref>H114</xm:sqref>
        </x14:dataValidation>
        <x14:dataValidation type="list" allowBlank="1" showInputMessage="1" showErrorMessage="1" xr:uid="{E780A24B-A0EE-4C36-9490-7310E5AA098A}">
          <x14:formula1>
            <xm:f>BundlingCompatabilityData!Q20:Q114</xm:f>
          </x14:formula1>
          <xm:sqref>H115</xm:sqref>
        </x14:dataValidation>
        <x14:dataValidation type="list" allowBlank="1" showInputMessage="1" showErrorMessage="1" xr:uid="{F3F12240-B292-4621-90B4-42FCF1F17B5E}">
          <x14:formula1>
            <xm:f>BundlingCompatabilityData!Q20:Q114</xm:f>
          </x14:formula1>
          <xm:sqref>H116</xm:sqref>
        </x14:dataValidation>
        <x14:dataValidation type="list" allowBlank="1" showInputMessage="1" showErrorMessage="1" xr:uid="{BE10A3D1-B1E2-4E76-A844-EA381C5FED87}">
          <x14:formula1>
            <xm:f>BundlingCompatabilityData!Q20:Q114</xm:f>
          </x14:formula1>
          <xm:sqref>H117</xm:sqref>
        </x14:dataValidation>
        <x14:dataValidation type="list" allowBlank="1" showInputMessage="1" showErrorMessage="1" xr:uid="{0D521F53-24EC-478E-9BB7-6A1CA5ABBC62}">
          <x14:formula1>
            <xm:f>BundlingCompatabilityData!Q20:Q114</xm:f>
          </x14:formula1>
          <xm:sqref>H118</xm:sqref>
        </x14:dataValidation>
        <x14:dataValidation type="list" allowBlank="1" showInputMessage="1" showErrorMessage="1" xr:uid="{B6648D0F-3601-4AB7-97ED-F16BBD26A805}">
          <x14:formula1>
            <xm:f>BundlingCompatabilityData!Q20:Q114</xm:f>
          </x14:formula1>
          <xm:sqref>H119</xm:sqref>
        </x14:dataValidation>
        <x14:dataValidation type="list" allowBlank="1" showInputMessage="1" showErrorMessage="1" xr:uid="{D8A60C63-A5A9-4939-BBAD-4206D324E845}">
          <x14:formula1>
            <xm:f>BundlingCompatabilityData!Q20:Q114</xm:f>
          </x14:formula1>
          <xm:sqref>H120</xm:sqref>
        </x14:dataValidation>
        <x14:dataValidation type="list" allowBlank="1" showInputMessage="1" showErrorMessage="1" xr:uid="{7302DC24-9C53-463E-8708-7A52949D3952}">
          <x14:formula1>
            <xm:f>BundlingCompatabilityData!Q20:Q114</xm:f>
          </x14:formula1>
          <xm:sqref>H121</xm:sqref>
        </x14:dataValidation>
        <x14:dataValidation type="list" allowBlank="1" showInputMessage="1" showErrorMessage="1" xr:uid="{77758F8C-81B7-46D4-AC28-1C2FED6A68A8}">
          <x14:formula1>
            <xm:f>BundlingCompatabilityData!Q20:Q114</xm:f>
          </x14:formula1>
          <xm:sqref>H122</xm:sqref>
        </x14:dataValidation>
        <x14:dataValidation type="list" allowBlank="1" showInputMessage="1" showErrorMessage="1" xr:uid="{4EF0C652-8697-4F76-AD51-C8D82D6801D2}">
          <x14:formula1>
            <xm:f>BundlingCompatabilityData!Q20:Q114</xm:f>
          </x14:formula1>
          <xm:sqref>H123</xm:sqref>
        </x14:dataValidation>
        <x14:dataValidation type="list" allowBlank="1" showInputMessage="1" showErrorMessage="1" xr:uid="{8DE95C0E-0D36-4535-8B6E-015412339C5F}">
          <x14:formula1>
            <xm:f>BundlingCompatabilityData!Q20:Q114</xm:f>
          </x14:formula1>
          <xm:sqref>H124</xm:sqref>
        </x14:dataValidation>
        <x14:dataValidation type="list" allowBlank="1" showInputMessage="1" showErrorMessage="1" xr:uid="{07C82AE0-B290-4278-9503-C99CD88C17FE}">
          <x14:formula1>
            <xm:f>BundlingCompatabilityData!Q20:Q114</xm:f>
          </x14:formula1>
          <xm:sqref>H125</xm:sqref>
        </x14:dataValidation>
        <x14:dataValidation type="list" allowBlank="1" showInputMessage="1" showErrorMessage="1" xr:uid="{B23C29AE-8587-452F-9D5E-380927956A47}">
          <x14:formula1>
            <xm:f>BundlingCompatabilityData!Q20:Q114</xm:f>
          </x14:formula1>
          <xm:sqref>H126</xm:sqref>
        </x14:dataValidation>
        <x14:dataValidation type="list" allowBlank="1" showInputMessage="1" showErrorMessage="1" xr:uid="{37391F47-1BAB-415C-856B-EA9F9177C6AD}">
          <x14:formula1>
            <xm:f>BundlingCompatabilityData!Q20:Q114</xm:f>
          </x14:formula1>
          <xm:sqref>H127</xm:sqref>
        </x14:dataValidation>
        <x14:dataValidation type="list" allowBlank="1" showInputMessage="1" showErrorMessage="1" xr:uid="{D9C95EA0-B9C3-481A-90B5-A15ADEDE03F8}">
          <x14:formula1>
            <xm:f>BundlingCompatabilityData!Q20:Q114</xm:f>
          </x14:formula1>
          <xm:sqref>H128</xm:sqref>
        </x14:dataValidation>
        <x14:dataValidation type="list" allowBlank="1" showInputMessage="1" showErrorMessage="1" xr:uid="{E377CB2F-B69B-4B51-BD3A-994EEBE86A4A}">
          <x14:formula1>
            <xm:f>BundlingCompatabilityData!Q20:Q114</xm:f>
          </x14:formula1>
          <xm:sqref>H129</xm:sqref>
        </x14:dataValidation>
        <x14:dataValidation type="list" allowBlank="1" showInputMessage="1" showErrorMessage="1" xr:uid="{90A14990-5701-413E-8A90-3B343EFD80FF}">
          <x14:formula1>
            <xm:f>BundlingCompatabilityData!Q20:Q114</xm:f>
          </x14:formula1>
          <xm:sqref>H130</xm:sqref>
        </x14:dataValidation>
        <x14:dataValidation type="list" allowBlank="1" showInputMessage="1" showErrorMessage="1" xr:uid="{388E78F0-2445-4603-9059-13CBD0D8565B}">
          <x14:formula1>
            <xm:f>BundlingCompatabilityData!Q20:Q114</xm:f>
          </x14:formula1>
          <xm:sqref>H131</xm:sqref>
        </x14:dataValidation>
        <x14:dataValidation type="list" allowBlank="1" showInputMessage="1" showErrorMessage="1" xr:uid="{2DEFA74D-F973-4401-BEDB-F33C9167FC87}">
          <x14:formula1>
            <xm:f>BundlingCompatabilityData!Q20:Q114</xm:f>
          </x14:formula1>
          <xm:sqref>H132</xm:sqref>
        </x14:dataValidation>
        <x14:dataValidation type="list" allowBlank="1" showInputMessage="1" showErrorMessage="1" xr:uid="{01E8E76E-7145-42B0-80E8-05BAEDC1515A}">
          <x14:formula1>
            <xm:f>BundlingCompatabilityData!Q20:Q114</xm:f>
          </x14:formula1>
          <xm:sqref>H133</xm:sqref>
        </x14:dataValidation>
        <x14:dataValidation type="list" allowBlank="1" showInputMessage="1" showErrorMessage="1" xr:uid="{C715F0EB-991D-475E-BA09-BF30632AD55A}">
          <x14:formula1>
            <xm:f>BundlingCompatabilityData!Q20:Q114</xm:f>
          </x14:formula1>
          <xm:sqref>H134</xm:sqref>
        </x14:dataValidation>
        <x14:dataValidation type="list" allowBlank="1" showInputMessage="1" showErrorMessage="1" xr:uid="{9BA2903F-23E0-4EEF-B2A1-66B4519DD74C}">
          <x14:formula1>
            <xm:f>BundlingCompatabilityData!Q20:Q114</xm:f>
          </x14:formula1>
          <xm:sqref>H135</xm:sqref>
        </x14:dataValidation>
        <x14:dataValidation type="list" allowBlank="1" showInputMessage="1" showErrorMessage="1" xr:uid="{F50367A2-7356-4CB6-AC3A-D56369D3E4A3}">
          <x14:formula1>
            <xm:f>BundlingCompatabilityData!Q20:Q114</xm:f>
          </x14:formula1>
          <xm:sqref>H136</xm:sqref>
        </x14:dataValidation>
        <x14:dataValidation type="list" allowBlank="1" showInputMessage="1" showErrorMessage="1" xr:uid="{115E329D-79DE-4B5F-B047-FF9CB63FAC9E}">
          <x14:formula1>
            <xm:f>BundlingCompatabilityData!Q20:Q114</xm:f>
          </x14:formula1>
          <xm:sqref>H137</xm:sqref>
        </x14:dataValidation>
        <x14:dataValidation type="list" allowBlank="1" showInputMessage="1" showErrorMessage="1" xr:uid="{52641FF3-896F-45FA-B02F-08708820DA2B}">
          <x14:formula1>
            <xm:f>BundlingCompatabilityData!Q20:Q114</xm:f>
          </x14:formula1>
          <xm:sqref>H138</xm:sqref>
        </x14:dataValidation>
        <x14:dataValidation type="list" allowBlank="1" showInputMessage="1" showErrorMessage="1" xr:uid="{F1EBB2E5-D7CC-4D54-AE15-729865D9A427}">
          <x14:formula1>
            <xm:f>BundlingCompatabilityData!Q20:Q114</xm:f>
          </x14:formula1>
          <xm:sqref>H139</xm:sqref>
        </x14:dataValidation>
        <x14:dataValidation type="list" allowBlank="1" showInputMessage="1" showErrorMessage="1" xr:uid="{9EEBDDF9-497E-4609-A038-029F5AD92BC4}">
          <x14:formula1>
            <xm:f>BundlingCompatabilityData!Q20:Q114</xm:f>
          </x14:formula1>
          <xm:sqref>H140</xm:sqref>
        </x14:dataValidation>
        <x14:dataValidation type="list" allowBlank="1" showInputMessage="1" showErrorMessage="1" xr:uid="{AA1B5310-8C85-472B-BFC7-68536609F0C4}">
          <x14:formula1>
            <xm:f>BundlingCompatabilityData!Q20:Q114</xm:f>
          </x14:formula1>
          <xm:sqref>H141</xm:sqref>
        </x14:dataValidation>
        <x14:dataValidation type="list" allowBlank="1" showInputMessage="1" showErrorMessage="1" xr:uid="{666E2577-ECBD-44E0-A5C1-51136D79272B}">
          <x14:formula1>
            <xm:f>BundlingCompatabilityData!Q20:Q114</xm:f>
          </x14:formula1>
          <xm:sqref>H142</xm:sqref>
        </x14:dataValidation>
        <x14:dataValidation type="list" allowBlank="1" showInputMessage="1" showErrorMessage="1" xr:uid="{7A3ABC51-4DC1-4645-B5AD-2C5CEED18274}">
          <x14:formula1>
            <xm:f>BundlingCompatabilityData!Q20:Q114</xm:f>
          </x14:formula1>
          <xm:sqref>H143</xm:sqref>
        </x14:dataValidation>
        <x14:dataValidation type="list" allowBlank="1" showInputMessage="1" showErrorMessage="1" xr:uid="{3BF67977-DD77-4921-8CA9-59490090F511}">
          <x14:formula1>
            <xm:f>BundlingCompatabilityData!Q20:Q114</xm:f>
          </x14:formula1>
          <xm:sqref>H144</xm:sqref>
        </x14:dataValidation>
        <x14:dataValidation type="list" allowBlank="1" showInputMessage="1" showErrorMessage="1" xr:uid="{087AFB82-269C-4BA5-AD2A-94E3649278D1}">
          <x14:formula1>
            <xm:f>BundlingCompatabilityData!Q20:Q114</xm:f>
          </x14:formula1>
          <xm:sqref>H145</xm:sqref>
        </x14:dataValidation>
        <x14:dataValidation type="list" allowBlank="1" showInputMessage="1" showErrorMessage="1" xr:uid="{94C1A770-2793-45D9-9864-E17B0610AF72}">
          <x14:formula1>
            <xm:f>BundlingCompatabilityData!Q20:Q114</xm:f>
          </x14:formula1>
          <xm:sqref>H146</xm:sqref>
        </x14:dataValidation>
        <x14:dataValidation type="list" allowBlank="1" showInputMessage="1" showErrorMessage="1" xr:uid="{B11A6F82-3F99-437F-AC77-EF43DF0CCBEE}">
          <x14:formula1>
            <xm:f>BundlingCompatabilityData!Q20:Q114</xm:f>
          </x14:formula1>
          <xm:sqref>H147</xm:sqref>
        </x14:dataValidation>
        <x14:dataValidation type="list" allowBlank="1" showInputMessage="1" showErrorMessage="1" xr:uid="{5F74199C-175E-46F5-B276-671D614E5A98}">
          <x14:formula1>
            <xm:f>BundlingCompatabilityData!Q20:Q114</xm:f>
          </x14:formula1>
          <xm:sqref>H148</xm:sqref>
        </x14:dataValidation>
        <x14:dataValidation type="list" allowBlank="1" showInputMessage="1" showErrorMessage="1" xr:uid="{42FAF7F5-0C54-4D8A-8563-536BFF1B9DA8}">
          <x14:formula1>
            <xm:f>BundlingCompatabilityData!Q20:Q114</xm:f>
          </x14:formula1>
          <xm:sqref>H149</xm:sqref>
        </x14:dataValidation>
        <x14:dataValidation type="list" allowBlank="1" showInputMessage="1" showErrorMessage="1" xr:uid="{2651ED52-2EE6-402F-917F-E5874CC9FD9C}">
          <x14:formula1>
            <xm:f>BundlingCompatabilityData!Q20:Q114</xm:f>
          </x14:formula1>
          <xm:sqref>H150</xm:sqref>
        </x14:dataValidation>
        <x14:dataValidation type="list" allowBlank="1" showInputMessage="1" showErrorMessage="1" xr:uid="{25EB29E8-E714-48D6-A19F-89B6431E05F8}">
          <x14:formula1>
            <xm:f>BundlingCompatabilityData!Q20:Q114</xm:f>
          </x14:formula1>
          <xm:sqref>H151</xm:sqref>
        </x14:dataValidation>
        <x14:dataValidation type="list" allowBlank="1" showInputMessage="1" showErrorMessage="1" xr:uid="{BBABA720-C59C-4A44-8EF3-C93DFAE10AC1}">
          <x14:formula1>
            <xm:f>BundlingCompatabilityData!Q20:Q114</xm:f>
          </x14:formula1>
          <xm:sqref>H152</xm:sqref>
        </x14:dataValidation>
        <x14:dataValidation type="list" allowBlank="1" showInputMessage="1" showErrorMessage="1" xr:uid="{1531A6E2-A6E9-4559-AB8D-4A85D7335B82}">
          <x14:formula1>
            <xm:f>BundlingCompatabilityData!Q20:Q114</xm:f>
          </x14:formula1>
          <xm:sqref>H153</xm:sqref>
        </x14:dataValidation>
        <x14:dataValidation type="list" allowBlank="1" showInputMessage="1" showErrorMessage="1" xr:uid="{19DED3A7-35CE-424E-AFD4-1176846310CC}">
          <x14:formula1>
            <xm:f>BundlingCompatabilityData!Q20:Q114</xm:f>
          </x14:formula1>
          <xm:sqref>H154</xm:sqref>
        </x14:dataValidation>
        <x14:dataValidation type="list" allowBlank="1" showInputMessage="1" showErrorMessage="1" xr:uid="{FFBE83E3-EB9B-4C14-B7C3-FF84D4ADF231}">
          <x14:formula1>
            <xm:f>BundlingCompatabilityData!Q20:Q114</xm:f>
          </x14:formula1>
          <xm:sqref>H155</xm:sqref>
        </x14:dataValidation>
        <x14:dataValidation type="list" allowBlank="1" showInputMessage="1" showErrorMessage="1" xr:uid="{3E7524ED-90A0-4424-8BF3-5506C25A8433}">
          <x14:formula1>
            <xm:f>BundlingCompatabilityData!Q20:Q114</xm:f>
          </x14:formula1>
          <xm:sqref>H156</xm:sqref>
        </x14:dataValidation>
        <x14:dataValidation type="list" allowBlank="1" showInputMessage="1" showErrorMessage="1" xr:uid="{13FA2476-E98D-45A2-88AA-AC47B7A3581F}">
          <x14:formula1>
            <xm:f>BundlingCompatabilityData!Q20:Q114</xm:f>
          </x14:formula1>
          <xm:sqref>H157</xm:sqref>
        </x14:dataValidation>
        <x14:dataValidation type="list" allowBlank="1" showInputMessage="1" showErrorMessage="1" xr:uid="{B63B4C81-7A3D-4083-9E2E-08A2694E2053}">
          <x14:formula1>
            <xm:f>BundlingCompatabilityData!Q20:Q114</xm:f>
          </x14:formula1>
          <xm:sqref>H158</xm:sqref>
        </x14:dataValidation>
        <x14:dataValidation type="list" allowBlank="1" showInputMessage="1" showErrorMessage="1" xr:uid="{3F88FFB0-EE2C-4148-8BBE-16A8F29FB919}">
          <x14:formula1>
            <xm:f>BundlingCompatabilityData!Q20:Q114</xm:f>
          </x14:formula1>
          <xm:sqref>H159</xm:sqref>
        </x14:dataValidation>
        <x14:dataValidation type="list" allowBlank="1" showInputMessage="1" showErrorMessage="1" xr:uid="{8764339C-AAC2-49CD-B93A-B046A60E6F35}">
          <x14:formula1>
            <xm:f>BundlingCompatabilityData!Q20:Q114</xm:f>
          </x14:formula1>
          <xm:sqref>H160</xm:sqref>
        </x14:dataValidation>
        <x14:dataValidation type="list" allowBlank="1" showInputMessage="1" showErrorMessage="1" xr:uid="{7323ED53-4618-448A-AD27-B4E83C64269B}">
          <x14:formula1>
            <xm:f>BundlingCompatabilityData!Q20:Q114</xm:f>
          </x14:formula1>
          <xm:sqref>H161</xm:sqref>
        </x14:dataValidation>
        <x14:dataValidation type="list" allowBlank="1" showInputMessage="1" showErrorMessage="1" xr:uid="{2FB6BEF5-A8EB-4E0A-BF97-1E950E801976}">
          <x14:formula1>
            <xm:f>BundlingCompatabilityData!Q20:Q114</xm:f>
          </x14:formula1>
          <xm:sqref>H162</xm:sqref>
        </x14:dataValidation>
        <x14:dataValidation type="list" allowBlank="1" showInputMessage="1" showErrorMessage="1" xr:uid="{5710EF76-5F10-4DFD-B9A5-BA44C28FF24D}">
          <x14:formula1>
            <xm:f>BundlingCompatabilityData!Q20:Q114</xm:f>
          </x14:formula1>
          <xm:sqref>H163</xm:sqref>
        </x14:dataValidation>
        <x14:dataValidation type="list" allowBlank="1" showInputMessage="1" showErrorMessage="1" xr:uid="{BB7B9320-4397-48F1-8D14-6BFE623F9B98}">
          <x14:formula1>
            <xm:f>BundlingCompatabilityData!Q20:Q114</xm:f>
          </x14:formula1>
          <xm:sqref>H164</xm:sqref>
        </x14:dataValidation>
        <x14:dataValidation type="list" allowBlank="1" showInputMessage="1" showErrorMessage="1" xr:uid="{8B118D9D-3EA5-4D1C-8612-A8825B2415A5}">
          <x14:formula1>
            <xm:f>BundlingCompatabilityData!Q20:Q114</xm:f>
          </x14:formula1>
          <xm:sqref>H165</xm:sqref>
        </x14:dataValidation>
        <x14:dataValidation type="list" allowBlank="1" showInputMessage="1" showErrorMessage="1" xr:uid="{A663054E-15A1-4867-96D6-582E06EE52E5}">
          <x14:formula1>
            <xm:f>BundlingCompatabilityData!Q20:Q114</xm:f>
          </x14:formula1>
          <xm:sqref>H166</xm:sqref>
        </x14:dataValidation>
        <x14:dataValidation type="list" allowBlank="1" showInputMessage="1" showErrorMessage="1" xr:uid="{1627EDB1-6EB0-4662-9F91-32CEFB02B401}">
          <x14:formula1>
            <xm:f>BundlingCompatabilityData!Q20:Q114</xm:f>
          </x14:formula1>
          <xm:sqref>H167</xm:sqref>
        </x14:dataValidation>
        <x14:dataValidation type="list" allowBlank="1" showInputMessage="1" showErrorMessage="1" xr:uid="{E140C103-FEB3-423B-881D-EEC7711CB8C8}">
          <x14:formula1>
            <xm:f>BundlingCompatabilityData!Q20:Q114</xm:f>
          </x14:formula1>
          <xm:sqref>H168</xm:sqref>
        </x14:dataValidation>
        <x14:dataValidation type="list" allowBlank="1" showInputMessage="1" showErrorMessage="1" xr:uid="{96E13772-3620-48FC-935D-CEE48925B75B}">
          <x14:formula1>
            <xm:f>BundlingCompatabilityData!Q20:Q114</xm:f>
          </x14:formula1>
          <xm:sqref>H169</xm:sqref>
        </x14:dataValidation>
        <x14:dataValidation type="list" allowBlank="1" showInputMessage="1" showErrorMessage="1" xr:uid="{B84DE278-DF9C-4728-AEC1-6250193D747B}">
          <x14:formula1>
            <xm:f>BundlingCompatabilityData!Q20:Q114</xm:f>
          </x14:formula1>
          <xm:sqref>H170</xm:sqref>
        </x14:dataValidation>
        <x14:dataValidation type="list" allowBlank="1" showInputMessage="1" showErrorMessage="1" xr:uid="{B500F2ED-AFEB-4163-86CF-6514E71C99C1}">
          <x14:formula1>
            <xm:f>BundlingCompatabilityData!Q20:Q114</xm:f>
          </x14:formula1>
          <xm:sqref>H171</xm:sqref>
        </x14:dataValidation>
        <x14:dataValidation type="list" allowBlank="1" showInputMessage="1" showErrorMessage="1" xr:uid="{DDA3AC9F-C345-43E6-96F8-5F0BD8A469E2}">
          <x14:formula1>
            <xm:f>BundlingCompatabilityData!Q20:Q114</xm:f>
          </x14:formula1>
          <xm:sqref>H172</xm:sqref>
        </x14:dataValidation>
        <x14:dataValidation type="list" allowBlank="1" showInputMessage="1" showErrorMessage="1" xr:uid="{A8C757E9-72E9-48DE-9F22-A534CFE66FAE}">
          <x14:formula1>
            <xm:f>BundlingCompatabilityData!Q20:Q114</xm:f>
          </x14:formula1>
          <xm:sqref>H173</xm:sqref>
        </x14:dataValidation>
        <x14:dataValidation type="list" allowBlank="1" showInputMessage="1" showErrorMessage="1" xr:uid="{76F6177E-EA04-479F-9DA2-CD230AAF695B}">
          <x14:formula1>
            <xm:f>BundlingCompatabilityData!Q20:Q114</xm:f>
          </x14:formula1>
          <xm:sqref>H174</xm:sqref>
        </x14:dataValidation>
        <x14:dataValidation type="list" allowBlank="1" showInputMessage="1" showErrorMessage="1" xr:uid="{4F304496-D612-4075-A307-FA7FC5EEF2FD}">
          <x14:formula1>
            <xm:f>BundlingCompatabilityData!Q20:Q114</xm:f>
          </x14:formula1>
          <xm:sqref>H175</xm:sqref>
        </x14:dataValidation>
        <x14:dataValidation type="list" allowBlank="1" showInputMessage="1" showErrorMessage="1" xr:uid="{2AC19A81-FAFF-4C91-935B-8718417524E5}">
          <x14:formula1>
            <xm:f>BundlingCompatabilityData!Q20:Q114</xm:f>
          </x14:formula1>
          <xm:sqref>H176</xm:sqref>
        </x14:dataValidation>
        <x14:dataValidation type="list" allowBlank="1" showInputMessage="1" showErrorMessage="1" xr:uid="{D125AF31-9A64-40D0-929E-4FCF9532DDBA}">
          <x14:formula1>
            <xm:f>BundlingCompatabilityData!Q20:Q114</xm:f>
          </x14:formula1>
          <xm:sqref>H177</xm:sqref>
        </x14:dataValidation>
        <x14:dataValidation type="list" allowBlank="1" showInputMessage="1" showErrorMessage="1" xr:uid="{1BDFD180-14EB-4D56-B80B-DB7477DCEBBE}">
          <x14:formula1>
            <xm:f>BundlingCompatabilityData!Q20:Q114</xm:f>
          </x14:formula1>
          <xm:sqref>H178</xm:sqref>
        </x14:dataValidation>
        <x14:dataValidation type="list" allowBlank="1" showInputMessage="1" showErrorMessage="1" xr:uid="{00015175-E776-4242-B48A-FE8877D92AB7}">
          <x14:formula1>
            <xm:f>BundlingCompatabilityData!Q20:Q114</xm:f>
          </x14:formula1>
          <xm:sqref>H179</xm:sqref>
        </x14:dataValidation>
        <x14:dataValidation type="list" allowBlank="1" showInputMessage="1" showErrorMessage="1" xr:uid="{7E0B7BB7-2F2B-400B-8AC8-6926C900534D}">
          <x14:formula1>
            <xm:f>BundlingCompatabilityData!Q20:Q114</xm:f>
          </x14:formula1>
          <xm:sqref>H180</xm:sqref>
        </x14:dataValidation>
        <x14:dataValidation type="list" allowBlank="1" showInputMessage="1" showErrorMessage="1" xr:uid="{C4540234-D8C9-4B20-B939-349E52581848}">
          <x14:formula1>
            <xm:f>BundlingCompatabilityData!Q20:Q114</xm:f>
          </x14:formula1>
          <xm:sqref>H181</xm:sqref>
        </x14:dataValidation>
        <x14:dataValidation type="list" allowBlank="1" showInputMessage="1" showErrorMessage="1" xr:uid="{980C369D-F672-4BFA-A1D8-92035457B3B9}">
          <x14:formula1>
            <xm:f>BundlingCompatabilityData!Q20:Q114</xm:f>
          </x14:formula1>
          <xm:sqref>H182</xm:sqref>
        </x14:dataValidation>
        <x14:dataValidation type="list" allowBlank="1" showInputMessage="1" showErrorMessage="1" xr:uid="{E20EE3B2-09C8-42A7-9814-4280007480AF}">
          <x14:formula1>
            <xm:f>BundlingCompatabilityData!Q20:Q114</xm:f>
          </x14:formula1>
          <xm:sqref>H183</xm:sqref>
        </x14:dataValidation>
        <x14:dataValidation type="list" allowBlank="1" showInputMessage="1" showErrorMessage="1" xr:uid="{1A61B20F-C3C6-45E5-8C82-E4C52AE0F108}">
          <x14:formula1>
            <xm:f>BundlingCompatabilityData!Q20:Q114</xm:f>
          </x14:formula1>
          <xm:sqref>H184</xm:sqref>
        </x14:dataValidation>
        <x14:dataValidation type="list" allowBlank="1" showInputMessage="1" showErrorMessage="1" xr:uid="{190E8921-1874-47CD-B3E8-A7D7ACC7434A}">
          <x14:formula1>
            <xm:f>BundlingCompatabilityData!Q20:Q114</xm:f>
          </x14:formula1>
          <xm:sqref>H185</xm:sqref>
        </x14:dataValidation>
        <x14:dataValidation type="list" allowBlank="1" showInputMessage="1" showErrorMessage="1" xr:uid="{BC091118-06B4-434F-BB54-2C6736A9673C}">
          <x14:formula1>
            <xm:f>BundlingCompatabilityData!Q20:Q114</xm:f>
          </x14:formula1>
          <xm:sqref>H186</xm:sqref>
        </x14:dataValidation>
        <x14:dataValidation type="list" allowBlank="1" showInputMessage="1" showErrorMessage="1" xr:uid="{FD092EE0-4627-4FE9-B379-98C67677E65F}">
          <x14:formula1>
            <xm:f>BundlingCompatabilityData!Q20:Q114</xm:f>
          </x14:formula1>
          <xm:sqref>H187</xm:sqref>
        </x14:dataValidation>
        <x14:dataValidation type="list" allowBlank="1" showInputMessage="1" showErrorMessage="1" xr:uid="{F12C3C9E-D55B-4361-9A27-3A8C7A0B11DB}">
          <x14:formula1>
            <xm:f>BundlingCompatabilityData!Q20:Q114</xm:f>
          </x14:formula1>
          <xm:sqref>H188</xm:sqref>
        </x14:dataValidation>
        <x14:dataValidation type="list" allowBlank="1" showInputMessage="1" showErrorMessage="1" xr:uid="{C5581142-633C-4F44-9704-A1D79BA99F08}">
          <x14:formula1>
            <xm:f>BundlingCompatabilityData!Q20:Q114</xm:f>
          </x14:formula1>
          <xm:sqref>H189</xm:sqref>
        </x14:dataValidation>
        <x14:dataValidation type="list" allowBlank="1" showInputMessage="1" showErrorMessage="1" xr:uid="{19ABB556-3520-4A7A-8DA9-8DBC03A99F8F}">
          <x14:formula1>
            <xm:f>BundlingCompatabilityData!Q20:Q114</xm:f>
          </x14:formula1>
          <xm:sqref>H190</xm:sqref>
        </x14:dataValidation>
        <x14:dataValidation type="list" allowBlank="1" showInputMessage="1" showErrorMessage="1" xr:uid="{15550411-C5D3-4097-81CD-226C5C1805EE}">
          <x14:formula1>
            <xm:f>BundlingCompatabilityData!Q20:Q114</xm:f>
          </x14:formula1>
          <xm:sqref>H191</xm:sqref>
        </x14:dataValidation>
        <x14:dataValidation type="list" allowBlank="1" showInputMessage="1" showErrorMessage="1" xr:uid="{09826395-9C0F-4236-AF5A-7A3727309AD1}">
          <x14:formula1>
            <xm:f>BundlingCompatabilityData!Q20:Q114</xm:f>
          </x14:formula1>
          <xm:sqref>H192</xm:sqref>
        </x14:dataValidation>
        <x14:dataValidation type="list" allowBlank="1" showInputMessage="1" showErrorMessage="1" xr:uid="{2F159F89-0396-455D-821B-4343E0FDAA87}">
          <x14:formula1>
            <xm:f>BundlingCompatabilityData!Q20:Q114</xm:f>
          </x14:formula1>
          <xm:sqref>H193</xm:sqref>
        </x14:dataValidation>
        <x14:dataValidation type="list" allowBlank="1" showInputMessage="1" showErrorMessage="1" xr:uid="{FD9E8080-7A73-428D-945C-6303F92BEEC2}">
          <x14:formula1>
            <xm:f>BundlingCompatabilityData!Q20:Q114</xm:f>
          </x14:formula1>
          <xm:sqref>H194</xm:sqref>
        </x14:dataValidation>
        <x14:dataValidation type="list" allowBlank="1" showInputMessage="1" showErrorMessage="1" xr:uid="{2360BF2F-3EFD-480D-B4BA-38FB74D2EBC1}">
          <x14:formula1>
            <xm:f>BundlingCompatabilityData!Q20:Q114</xm:f>
          </x14:formula1>
          <xm:sqref>H195</xm:sqref>
        </x14:dataValidation>
        <x14:dataValidation type="list" allowBlank="1" showInputMessage="1" showErrorMessage="1" xr:uid="{4FBABA3C-3EF1-467D-BF17-FED1D4F5A20B}">
          <x14:formula1>
            <xm:f>BundlingCompatabilityData!Q20:Q114</xm:f>
          </x14:formula1>
          <xm:sqref>H196</xm:sqref>
        </x14:dataValidation>
        <x14:dataValidation type="list" allowBlank="1" showInputMessage="1" showErrorMessage="1" xr:uid="{518EE718-4C15-4594-9A7F-9E5C2E34240B}">
          <x14:formula1>
            <xm:f>BundlingCompatabilityData!Q20:Q114</xm:f>
          </x14:formula1>
          <xm:sqref>H197</xm:sqref>
        </x14:dataValidation>
        <x14:dataValidation type="list" allowBlank="1" showInputMessage="1" showErrorMessage="1" xr:uid="{692DF0F9-248B-4076-81EC-EDF34C030CAE}">
          <x14:formula1>
            <xm:f>BundlingCompatabilityData!Q20:Q114</xm:f>
          </x14:formula1>
          <xm:sqref>H198</xm:sqref>
        </x14:dataValidation>
        <x14:dataValidation type="list" allowBlank="1" showInputMessage="1" showErrorMessage="1" xr:uid="{6822EB31-7088-4D24-B0B3-707F8061256E}">
          <x14:formula1>
            <xm:f>BundlingCompatabilityData!Q20:Q114</xm:f>
          </x14:formula1>
          <xm:sqref>H199</xm:sqref>
        </x14:dataValidation>
        <x14:dataValidation type="list" allowBlank="1" showInputMessage="1" showErrorMessage="1" xr:uid="{EF4AF25F-2F37-40A1-904E-2729BA66FF2E}">
          <x14:formula1>
            <xm:f>BundlingCompatabilityData!Q20:Q114</xm:f>
          </x14:formula1>
          <xm:sqref>H200</xm:sqref>
        </x14:dataValidation>
        <x14:dataValidation type="list" allowBlank="1" showInputMessage="1" showErrorMessage="1" xr:uid="{E1842B3A-28FC-444C-9DEC-7C0D582A8DCA}">
          <x14:formula1>
            <xm:f>BundlingCompatabilityData!Q20:Q114</xm:f>
          </x14:formula1>
          <xm:sqref>H201</xm:sqref>
        </x14:dataValidation>
        <x14:dataValidation type="list" allowBlank="1" showInputMessage="1" showErrorMessage="1" xr:uid="{482F8BFE-5E9D-479E-8D18-D030653C25BD}">
          <x14:formula1>
            <xm:f>BundlingCompatabilityData!Q20:Q114</xm:f>
          </x14:formula1>
          <xm:sqref>H202</xm:sqref>
        </x14:dataValidation>
        <x14:dataValidation type="list" allowBlank="1" showInputMessage="1" showErrorMessage="1" xr:uid="{5C2C2397-0573-484E-BE1A-3FD522733B42}">
          <x14:formula1>
            <xm:f>BundlingCompatabilityData!Q20:Q114</xm:f>
          </x14:formula1>
          <xm:sqref>H203</xm:sqref>
        </x14:dataValidation>
        <x14:dataValidation type="list" allowBlank="1" showInputMessage="1" showErrorMessage="1" xr:uid="{F0AD7436-5222-4A15-B583-1168245E8CF5}">
          <x14:formula1>
            <xm:f>BundlingCompatabilityData!Q20:Q114</xm:f>
          </x14:formula1>
          <xm:sqref>H204</xm:sqref>
        </x14:dataValidation>
        <x14:dataValidation type="list" allowBlank="1" showInputMessage="1" showErrorMessage="1" xr:uid="{0E46A750-639D-46A9-A8E0-62887E43FC36}">
          <x14:formula1>
            <xm:f>BundlingCompatabilityData!Q20:Q114</xm:f>
          </x14:formula1>
          <xm:sqref>H205</xm:sqref>
        </x14:dataValidation>
        <x14:dataValidation type="list" allowBlank="1" showInputMessage="1" showErrorMessage="1" xr:uid="{46C82CE0-2248-4894-8A3F-88BECA097CBF}">
          <x14:formula1>
            <xm:f>BundlingCompatabilityData!Q20:Q114</xm:f>
          </x14:formula1>
          <xm:sqref>H206</xm:sqref>
        </x14:dataValidation>
        <x14:dataValidation type="list" allowBlank="1" showInputMessage="1" showErrorMessage="1" xr:uid="{3DC7DD8C-AEEE-4515-9394-423243CA6657}">
          <x14:formula1>
            <xm:f>BundlingCompatabilityData!Q20:Q114</xm:f>
          </x14:formula1>
          <xm:sqref>H207</xm:sqref>
        </x14:dataValidation>
        <x14:dataValidation type="list" allowBlank="1" showInputMessage="1" showErrorMessage="1" xr:uid="{488D990B-5610-4D0D-ACFC-DFBB678931B4}">
          <x14:formula1>
            <xm:f>BundlingCompatabilityData!Q20:Q114</xm:f>
          </x14:formula1>
          <xm:sqref>H208</xm:sqref>
        </x14:dataValidation>
        <x14:dataValidation type="list" allowBlank="1" showInputMessage="1" showErrorMessage="1" xr:uid="{2FA3A4E6-D1C1-412A-8359-9BBA61468CB4}">
          <x14:formula1>
            <xm:f>BundlingCompatabilityData!Q20:Q114</xm:f>
          </x14:formula1>
          <xm:sqref>H209</xm:sqref>
        </x14:dataValidation>
        <x14:dataValidation type="list" allowBlank="1" showInputMessage="1" showErrorMessage="1" xr:uid="{E62DE690-41DA-4D55-8602-EEB8CCA0CBD2}">
          <x14:formula1>
            <xm:f>BundlingCompatabilityData!Q20:Q114</xm:f>
          </x14:formula1>
          <xm:sqref>H210</xm:sqref>
        </x14:dataValidation>
        <x14:dataValidation type="list" allowBlank="1" showInputMessage="1" showErrorMessage="1" xr:uid="{068985C7-171C-4C06-AC75-E01E613B36BB}">
          <x14:formula1>
            <xm:f>BundlingCompatabilityData!Q20:Q114</xm:f>
          </x14:formula1>
          <xm:sqref>H211</xm:sqref>
        </x14:dataValidation>
        <x14:dataValidation type="list" allowBlank="1" showInputMessage="1" showErrorMessage="1" xr:uid="{6F841B85-F3B6-4F54-804A-345DC3316623}">
          <x14:formula1>
            <xm:f>BundlingCompatabilityData!Q20:Q114</xm:f>
          </x14:formula1>
          <xm:sqref>H212</xm:sqref>
        </x14:dataValidation>
        <x14:dataValidation type="list" allowBlank="1" showInputMessage="1" showErrorMessage="1" xr:uid="{5B6A91E7-F617-4ACD-8FE9-FA0C27570B53}">
          <x14:formula1>
            <xm:f>BundlingCompatabilityData!Q20:Q114</xm:f>
          </x14:formula1>
          <xm:sqref>H213</xm:sqref>
        </x14:dataValidation>
        <x14:dataValidation type="list" allowBlank="1" showInputMessage="1" showErrorMessage="1" xr:uid="{A1A82B16-6D20-4A3D-BC4C-00B2225A6F0C}">
          <x14:formula1>
            <xm:f>BundlingCompatabilityData!Q20:Q114</xm:f>
          </x14:formula1>
          <xm:sqref>H214</xm:sqref>
        </x14:dataValidation>
        <x14:dataValidation type="list" allowBlank="1" showInputMessage="1" showErrorMessage="1" xr:uid="{2A236A19-895A-4A6F-A14A-79FBF716B19E}">
          <x14:formula1>
            <xm:f>BundlingCompatabilityData!Q20:Q114</xm:f>
          </x14:formula1>
          <xm:sqref>H215</xm:sqref>
        </x14:dataValidation>
        <x14:dataValidation type="list" allowBlank="1" showInputMessage="1" showErrorMessage="1" xr:uid="{B30AB27A-D07B-45D9-8289-923B452244E3}">
          <x14:formula1>
            <xm:f>BundlingCompatabilityData!Q20:Q114</xm:f>
          </x14:formula1>
          <xm:sqref>H216</xm:sqref>
        </x14:dataValidation>
        <x14:dataValidation type="list" allowBlank="1" showInputMessage="1" showErrorMessage="1" xr:uid="{353E0986-F11F-40E9-98B3-4581995F4D72}">
          <x14:formula1>
            <xm:f>BundlingCompatabilityData!Q20:Q114</xm:f>
          </x14:formula1>
          <xm:sqref>H217</xm:sqref>
        </x14:dataValidation>
        <x14:dataValidation type="list" allowBlank="1" showInputMessage="1" showErrorMessage="1" xr:uid="{439D65C0-92C7-4AFA-A588-DCE7B8E3523D}">
          <x14:formula1>
            <xm:f>BundlingCompatabilityData!Q20:Q114</xm:f>
          </x14:formula1>
          <xm:sqref>H218</xm:sqref>
        </x14:dataValidation>
        <x14:dataValidation type="list" allowBlank="1" showInputMessage="1" showErrorMessage="1" xr:uid="{4DF478C2-041B-4CAC-A5DD-8DA5AFC0F40B}">
          <x14:formula1>
            <xm:f>BundlingCompatabilityData!Q20:Q114</xm:f>
          </x14:formula1>
          <xm:sqref>H219</xm:sqref>
        </x14:dataValidation>
        <x14:dataValidation type="list" allowBlank="1" showInputMessage="1" showErrorMessage="1" xr:uid="{BE17D74A-4BE2-4985-9074-628C82DA6552}">
          <x14:formula1>
            <xm:f>BundlingCompatabilityData!Q20:Q114</xm:f>
          </x14:formula1>
          <xm:sqref>H220</xm:sqref>
        </x14:dataValidation>
        <x14:dataValidation type="list" allowBlank="1" showInputMessage="1" showErrorMessage="1" xr:uid="{DC6FFCBD-524F-41C4-B50A-5FCAF7AB4ED0}">
          <x14:formula1>
            <xm:f>BundlingCompatabilityData!Q20:Q114</xm:f>
          </x14:formula1>
          <xm:sqref>H221</xm:sqref>
        </x14:dataValidation>
        <x14:dataValidation type="list" allowBlank="1" showInputMessage="1" showErrorMessage="1" xr:uid="{388B8E5F-5808-49D1-9953-6E9AE19C38EB}">
          <x14:formula1>
            <xm:f>BundlingCompatabilityData!Q20:Q114</xm:f>
          </x14:formula1>
          <xm:sqref>H222</xm:sqref>
        </x14:dataValidation>
        <x14:dataValidation type="list" allowBlank="1" showInputMessage="1" showErrorMessage="1" xr:uid="{94E29D8D-2319-4A59-94F3-3FA32AEC1B80}">
          <x14:formula1>
            <xm:f>BundlingCompatabilityData!Q20:Q114</xm:f>
          </x14:formula1>
          <xm:sqref>H223</xm:sqref>
        </x14:dataValidation>
        <x14:dataValidation type="list" allowBlank="1" showInputMessage="1" showErrorMessage="1" xr:uid="{F89B122E-5719-4B88-802C-27E01AEC9FDB}">
          <x14:formula1>
            <xm:f>BundlingCompatabilityData!Q20:Q114</xm:f>
          </x14:formula1>
          <xm:sqref>H224</xm:sqref>
        </x14:dataValidation>
        <x14:dataValidation type="list" allowBlank="1" showInputMessage="1" showErrorMessage="1" xr:uid="{97D79673-DC8C-46CD-9021-B9879BBDA559}">
          <x14:formula1>
            <xm:f>BundlingCompatabilityData!Q20:Q114</xm:f>
          </x14:formula1>
          <xm:sqref>H225</xm:sqref>
        </x14:dataValidation>
        <x14:dataValidation type="list" allowBlank="1" showInputMessage="1" showErrorMessage="1" xr:uid="{1E74C921-C3F6-45A7-BF0F-4D97E57569CA}">
          <x14:formula1>
            <xm:f>BundlingCompatabilityData!Q20:Q114</xm:f>
          </x14:formula1>
          <xm:sqref>H226</xm:sqref>
        </x14:dataValidation>
        <x14:dataValidation type="list" allowBlank="1" showInputMessage="1" showErrorMessage="1" xr:uid="{5918C31F-3F1B-4F6F-9E44-D1CEB96F338D}">
          <x14:formula1>
            <xm:f>BundlingCompatabilityData!Q20:Q114</xm:f>
          </x14:formula1>
          <xm:sqref>H227</xm:sqref>
        </x14:dataValidation>
        <x14:dataValidation type="list" allowBlank="1" showInputMessage="1" showErrorMessage="1" xr:uid="{12894418-5EDC-4094-9C3E-4ED8EE76DF98}">
          <x14:formula1>
            <xm:f>BundlingCompatabilityData!Q20:Q114</xm:f>
          </x14:formula1>
          <xm:sqref>H228</xm:sqref>
        </x14:dataValidation>
        <x14:dataValidation type="list" allowBlank="1" showInputMessage="1" showErrorMessage="1" xr:uid="{FCE4F417-3018-466D-8594-C0E477BE0131}">
          <x14:formula1>
            <xm:f>BundlingCompatabilityData!Q20:Q114</xm:f>
          </x14:formula1>
          <xm:sqref>H229</xm:sqref>
        </x14:dataValidation>
        <x14:dataValidation type="list" allowBlank="1" showInputMessage="1" showErrorMessage="1" xr:uid="{0E563054-E0C0-4382-A9B9-3D62E097D7E1}">
          <x14:formula1>
            <xm:f>BundlingCompatabilityData!Q20:Q114</xm:f>
          </x14:formula1>
          <xm:sqref>H230</xm:sqref>
        </x14:dataValidation>
        <x14:dataValidation type="list" allowBlank="1" showInputMessage="1" showErrorMessage="1" xr:uid="{565CCB3F-4348-40B1-A117-8AE91278A33B}">
          <x14:formula1>
            <xm:f>BundlingCompatabilityData!Q20:Q114</xm:f>
          </x14:formula1>
          <xm:sqref>H231</xm:sqref>
        </x14:dataValidation>
        <x14:dataValidation type="list" allowBlank="1" showInputMessage="1" showErrorMessage="1" xr:uid="{A50A736F-8E40-45A9-A221-6E4DBA89052D}">
          <x14:formula1>
            <xm:f>BundlingCompatabilityData!Q20:Q114</xm:f>
          </x14:formula1>
          <xm:sqref>H20</xm:sqref>
        </x14:dataValidation>
        <x14:dataValidation type="list" allowBlank="1" showInputMessage="1" showErrorMessage="1" xr:uid="{967C4FCD-90B4-4AC3-88F9-181224825DB0}">
          <x14:formula1>
            <xm:f>BundlingCompatabilityData!Q20:Q114</xm:f>
          </x14:formula1>
          <xm:sqref>H21</xm:sqref>
        </x14:dataValidation>
        <x14:dataValidation type="list" allowBlank="1" showInputMessage="1" showErrorMessage="1" xr:uid="{9528CD23-92CD-4E75-BF64-45E201E38FF9}">
          <x14:formula1>
            <xm:f>BundlingCompatabilityData!Q20:Q114</xm:f>
          </x14:formula1>
          <xm:sqref>H22</xm:sqref>
        </x14:dataValidation>
        <x14:dataValidation type="list" allowBlank="1" showInputMessage="1" showErrorMessage="1" xr:uid="{0CDF1242-4230-4CAA-A43C-0FDCBFE8DD44}">
          <x14:formula1>
            <xm:f>BundlingCompatabilityData!Q20:Q114</xm:f>
          </x14:formula1>
          <xm:sqref>H23</xm:sqref>
        </x14:dataValidation>
        <x14:dataValidation type="list" allowBlank="1" showInputMessage="1" showErrorMessage="1" xr:uid="{EE01BEE1-B887-45E1-BE4F-1F303B8ADD99}">
          <x14:formula1>
            <xm:f>BundlingCompatabilityData!Q20:Q114</xm:f>
          </x14:formula1>
          <xm:sqref>H24</xm:sqref>
        </x14:dataValidation>
        <x14:dataValidation type="list" allowBlank="1" showInputMessage="1" showErrorMessage="1" xr:uid="{EDEB0270-BE8C-487F-BDCD-99284B62B1FE}">
          <x14:formula1>
            <xm:f>BundlingCompatabilityData!Q20:Q114</xm:f>
          </x14:formula1>
          <xm:sqref>H25</xm:sqref>
        </x14:dataValidation>
        <x14:dataValidation type="list" allowBlank="1" showInputMessage="1" showErrorMessage="1" xr:uid="{8C656CB5-A32D-426C-86F2-53EE535E5E36}">
          <x14:formula1>
            <xm:f>BundlingCompatabilityData!Q20:Q114</xm:f>
          </x14:formula1>
          <xm:sqref>H26</xm:sqref>
        </x14:dataValidation>
        <x14:dataValidation type="list" allowBlank="1" showInputMessage="1" showErrorMessage="1" xr:uid="{A3D4606D-A72D-4159-BC98-B6D0BC133E80}">
          <x14:formula1>
            <xm:f>BundlingCompatabilityData!Q20:Q114</xm:f>
          </x14:formula1>
          <xm:sqref>H27</xm:sqref>
        </x14:dataValidation>
        <x14:dataValidation type="list" allowBlank="1" showInputMessage="1" showErrorMessage="1" xr:uid="{16000A81-0CFA-4279-BCAE-50700144E533}">
          <x14:formula1>
            <xm:f>BundlingCompatabilityData!Q20:Q114</xm:f>
          </x14:formula1>
          <xm:sqref>H28</xm:sqref>
        </x14:dataValidation>
        <x14:dataValidation type="list" allowBlank="1" showInputMessage="1" showErrorMessage="1" xr:uid="{1F4F76D6-5463-4D11-B2C4-F3310939E836}">
          <x14:formula1>
            <xm:f>BundlingCompatabilityData!Q20:Q114</xm:f>
          </x14:formula1>
          <xm:sqref>H12</xm:sqref>
        </x14:dataValidation>
        <x14:dataValidation type="list" allowBlank="1" showInputMessage="1" showErrorMessage="1" xr:uid="{EED8BEE0-00E4-45A5-AC09-20C3BA8AC005}">
          <x14:formula1>
            <xm:f>BundlingCompatabilityData!Q20:Q114</xm:f>
          </x14:formula1>
          <xm:sqref>H13</xm:sqref>
        </x14:dataValidation>
        <x14:dataValidation type="list" allowBlank="1" showInputMessage="1" showErrorMessage="1" xr:uid="{224C1895-9A1E-4E5E-912A-A314EFF7317F}">
          <x14:formula1>
            <xm:f>BundlingCompatabilityData!Q20:Q114</xm:f>
          </x14:formula1>
          <xm:sqref>H14</xm:sqref>
        </x14:dataValidation>
        <x14:dataValidation type="list" allowBlank="1" showInputMessage="1" showErrorMessage="1" xr:uid="{DFBD0F1C-AFCC-4723-8655-AB26BDCF511B}">
          <x14:formula1>
            <xm:f>BundlingCompatabilityData!Q20:Q114</xm:f>
          </x14:formula1>
          <xm:sqref>H15</xm:sqref>
        </x14:dataValidation>
        <x14:dataValidation type="list" allowBlank="1" showInputMessage="1" showErrorMessage="1" xr:uid="{C5A3C977-36E3-4188-A25F-4F1714390187}">
          <x14:formula1>
            <xm:f>BundlingCompatabilityData!Q20:Q114</xm:f>
          </x14:formula1>
          <xm:sqref>H16</xm:sqref>
        </x14:dataValidation>
        <x14:dataValidation type="list" allowBlank="1" showInputMessage="1" showErrorMessage="1" xr:uid="{05E5ACA9-0A7C-477E-B1DD-FC46E52FB992}">
          <x14:formula1>
            <xm:f>BundlingCompatabilityData!Q20:Q114</xm:f>
          </x14:formula1>
          <xm:sqref>H17</xm:sqref>
        </x14:dataValidation>
        <x14:dataValidation type="list" allowBlank="1" showInputMessage="1" showErrorMessage="1" xr:uid="{FEA1AABE-0C6F-4DC2-A86A-E1BE331A6DCC}">
          <x14:formula1>
            <xm:f>BundlingCompatabilityData!Q20:Q114</xm:f>
          </x14:formula1>
          <xm:sqref>H18</xm:sqref>
        </x14:dataValidation>
        <x14:dataValidation type="list" allowBlank="1" showInputMessage="1" showErrorMessage="1" xr:uid="{BE2B9451-AF35-43A6-BC8F-F50581736403}">
          <x14:formula1>
            <xm:f>BundlingCompatabilityData!Q20:Q114</xm:f>
          </x14:formula1>
          <xm:sqref>H19</xm:sqref>
        </x14:dataValidation>
        <x14:dataValidation type="list" allowBlank="1" showInputMessage="1" showErrorMessage="1" xr:uid="{08AD3ADA-DAC0-4F3C-8325-568776FA643A}">
          <x14:formula1>
            <xm:f>BundlingCompatabilityData!Q20:Q114</xm:f>
          </x14:formula1>
          <xm:sqref>H232</xm:sqref>
        </x14:dataValidation>
        <x14:dataValidation type="list" allowBlank="1" showInputMessage="1" showErrorMessage="1" xr:uid="{B1DCBA25-6D79-4E4E-8DEF-47185C64EDA0}">
          <x14:formula1>
            <xm:f>BundlingCompatabilityData!Q20:Q114</xm:f>
          </x14:formula1>
          <xm:sqref>H233</xm:sqref>
        </x14:dataValidation>
        <x14:dataValidation type="list" allowBlank="1" showInputMessage="1" showErrorMessage="1" xr:uid="{51178159-89B3-4FC4-ACFD-ACF8F9E22BB0}">
          <x14:formula1>
            <xm:f>BundlingCompatabilityData!Q20:Q114</xm:f>
          </x14:formula1>
          <xm:sqref>H234</xm:sqref>
        </x14:dataValidation>
        <x14:dataValidation type="list" allowBlank="1" showInputMessage="1" showErrorMessage="1" xr:uid="{941C9CEE-BB63-4D29-9140-1EA62868137A}">
          <x14:formula1>
            <xm:f>BundlingCompatabilityData!Q20:Q114</xm:f>
          </x14:formula1>
          <xm:sqref>H235</xm:sqref>
        </x14:dataValidation>
        <x14:dataValidation type="list" allowBlank="1" showInputMessage="1" showErrorMessage="1" xr:uid="{754AC98E-D2B3-477D-88F8-5B55023CDA2C}">
          <x14:formula1>
            <xm:f>BundlingCompatabilityData!B27:B36</xm:f>
          </x14:formula1>
          <xm:sqref>E12</xm:sqref>
        </x14:dataValidation>
        <x14:dataValidation type="list" allowBlank="1" showInputMessage="1" showErrorMessage="1" xr:uid="{E0B311FE-A7C5-419B-B42B-4F96A60AF37D}">
          <x14:formula1>
            <xm:f>BundlingCompatabilityData!B27:B36</xm:f>
          </x14:formula1>
          <xm:sqref>E13</xm:sqref>
        </x14:dataValidation>
        <x14:dataValidation type="list" allowBlank="1" showInputMessage="1" showErrorMessage="1" xr:uid="{4966F84B-F287-4CFB-A2B7-AF121715679C}">
          <x14:formula1>
            <xm:f>BundlingCompatabilityData!B27:B36</xm:f>
          </x14:formula1>
          <xm:sqref>E14</xm:sqref>
        </x14:dataValidation>
        <x14:dataValidation type="list" allowBlank="1" showInputMessage="1" showErrorMessage="1" xr:uid="{6E3A9B15-C626-485A-A3C6-98E4586311F7}">
          <x14:formula1>
            <xm:f>BundlingCompatabilityData!B27:B36</xm:f>
          </x14:formula1>
          <xm:sqref>E15</xm:sqref>
        </x14:dataValidation>
        <x14:dataValidation type="list" allowBlank="1" showInputMessage="1" showErrorMessage="1" xr:uid="{334DB017-77D5-42B7-9A3C-58D89334024F}">
          <x14:formula1>
            <xm:f>BundlingCompatabilityData!B42:B51</xm:f>
          </x14:formula1>
          <xm:sqref>F12</xm:sqref>
        </x14:dataValidation>
        <x14:dataValidation type="list" allowBlank="1" showInputMessage="1" showErrorMessage="1" xr:uid="{1CF25748-F91D-471D-85BB-38BFD5CB40A5}">
          <x14:formula1>
            <xm:f>BundlingCompatabilityData!B42:B51</xm:f>
          </x14:formula1>
          <xm:sqref>F13</xm:sqref>
        </x14:dataValidation>
        <x14:dataValidation type="list" allowBlank="1" showInputMessage="1" showErrorMessage="1" xr:uid="{6FA65F2F-214C-4527-998D-EC0FEA784D55}">
          <x14:formula1>
            <xm:f>BundlingCompatabilityData!B42:B51</xm:f>
          </x14:formula1>
          <xm:sqref>F14</xm:sqref>
        </x14:dataValidation>
        <x14:dataValidation type="list" allowBlank="1" showInputMessage="1" showErrorMessage="1" xr:uid="{02430180-16AB-4BC8-BE44-DE1504ECB273}">
          <x14:formula1>
            <xm:f>BundlingCompatabilityData!B42:B51</xm:f>
          </x14:formula1>
          <xm:sqref>F15</xm:sqref>
        </x14:dataValidation>
        <x14:dataValidation type="list" allowBlank="1" showInputMessage="1" showErrorMessage="1" xr:uid="{FCFE96BD-89A4-4B4D-A3A7-26288F85C6DE}">
          <x14:formula1>
            <xm:f>BundlingCompatabilityData!B58:B67</xm:f>
          </x14:formula1>
          <xm:sqref>G12</xm:sqref>
        </x14:dataValidation>
        <x14:dataValidation type="list" allowBlank="1" showInputMessage="1" showErrorMessage="1" xr:uid="{6248AE89-3FB9-40F7-B96E-A0DEAB68CC98}">
          <x14:formula1>
            <xm:f>BundlingCompatabilityData!B58:B67</xm:f>
          </x14:formula1>
          <xm:sqref>G13</xm:sqref>
        </x14:dataValidation>
        <x14:dataValidation type="list" allowBlank="1" showInputMessage="1" showErrorMessage="1" xr:uid="{2048C8E9-EE6C-44A9-A918-95AB52938E34}">
          <x14:formula1>
            <xm:f>BundlingCompatabilityData!B58:B67</xm:f>
          </x14:formula1>
          <xm:sqref>G14</xm:sqref>
        </x14:dataValidation>
        <x14:dataValidation type="list" allowBlank="1" showInputMessage="1" showErrorMessage="1" xr:uid="{38ACE2BE-7431-48D7-9778-8364792226D1}">
          <x14:formula1>
            <xm:f>BundlingCompatabilityData!B58:B67</xm:f>
          </x14:formula1>
          <xm:sqref>G15</xm:sqref>
        </x14:dataValidation>
        <x14:dataValidation type="list" allowBlank="1" showInputMessage="1" showErrorMessage="1" xr:uid="{5891F1A5-6329-4032-8F6A-B867DB4C67D4}">
          <x14:formula1>
            <xm:f>BundlingCompatabilityData!B27:B36</xm:f>
          </x14:formula1>
          <xm:sqref>E16</xm:sqref>
        </x14:dataValidation>
        <x14:dataValidation type="list" allowBlank="1" showInputMessage="1" showErrorMessage="1" xr:uid="{A457B78D-63B2-4437-AD5E-CF202781C5AB}">
          <x14:formula1>
            <xm:f>BundlingCompatabilityData!B42:B51</xm:f>
          </x14:formula1>
          <xm:sqref>F16</xm:sqref>
        </x14:dataValidation>
        <x14:dataValidation type="list" allowBlank="1" showInputMessage="1" showErrorMessage="1" xr:uid="{B3515755-B203-436B-BFE7-D961EE32CB81}">
          <x14:formula1>
            <xm:f>BundlingCompatabilityData!B58:B67</xm:f>
          </x14:formula1>
          <xm:sqref>G16</xm:sqref>
        </x14:dataValidation>
        <x14:dataValidation type="list" allowBlank="1" showInputMessage="1" showErrorMessage="1" xr:uid="{E5D6F0D5-451D-4EF3-AD27-C3EA991F437B}">
          <x14:formula1>
            <xm:f>BundlingCompatabilityData!B27:B36</xm:f>
          </x14:formula1>
          <xm:sqref>E17</xm:sqref>
        </x14:dataValidation>
        <x14:dataValidation type="list" allowBlank="1" showInputMessage="1" showErrorMessage="1" xr:uid="{89EB25B4-6F47-4D49-B605-D5024D05E68B}">
          <x14:formula1>
            <xm:f>BundlingCompatabilityData!B27:B36</xm:f>
          </x14:formula1>
          <xm:sqref>E18</xm:sqref>
        </x14:dataValidation>
        <x14:dataValidation type="list" allowBlank="1" showInputMessage="1" showErrorMessage="1" xr:uid="{7933D01B-35CF-44B3-A8B3-14B850B97127}">
          <x14:formula1>
            <xm:f>BundlingCompatabilityData!B27:B36</xm:f>
          </x14:formula1>
          <xm:sqref>E19</xm:sqref>
        </x14:dataValidation>
        <x14:dataValidation type="list" allowBlank="1" showInputMessage="1" showErrorMessage="1" xr:uid="{78E7490D-F717-4956-B4F7-270D10C4A704}">
          <x14:formula1>
            <xm:f>BundlingCompatabilityData!B27:B36</xm:f>
          </x14:formula1>
          <xm:sqref>E20</xm:sqref>
        </x14:dataValidation>
        <x14:dataValidation type="list" allowBlank="1" showInputMessage="1" showErrorMessage="1" xr:uid="{A56FC60E-6BA1-4054-89D8-3A9ECEDD8773}">
          <x14:formula1>
            <xm:f>BundlingCompatabilityData!B27:B36</xm:f>
          </x14:formula1>
          <xm:sqref>E21</xm:sqref>
        </x14:dataValidation>
        <x14:dataValidation type="list" allowBlank="1" showInputMessage="1" showErrorMessage="1" xr:uid="{3026BE06-89F6-4FC0-9A90-4E0061F14192}">
          <x14:formula1>
            <xm:f>BundlingCompatabilityData!B27:B36</xm:f>
          </x14:formula1>
          <xm:sqref>E22</xm:sqref>
        </x14:dataValidation>
        <x14:dataValidation type="list" allowBlank="1" showInputMessage="1" showErrorMessage="1" xr:uid="{8FEF205F-00CA-4A29-82C7-60C889FBFC46}">
          <x14:formula1>
            <xm:f>BundlingCompatabilityData!B27:B36</xm:f>
          </x14:formula1>
          <xm:sqref>E23</xm:sqref>
        </x14:dataValidation>
        <x14:dataValidation type="list" allowBlank="1" showInputMessage="1" showErrorMessage="1" xr:uid="{664CC763-DE14-4072-A12C-789C333BF482}">
          <x14:formula1>
            <xm:f>BundlingCompatabilityData!B27:B36</xm:f>
          </x14:formula1>
          <xm:sqref>E24</xm:sqref>
        </x14:dataValidation>
        <x14:dataValidation type="list" allowBlank="1" showInputMessage="1" showErrorMessage="1" xr:uid="{3C7A0B7C-EB38-45E6-9008-97E88C134743}">
          <x14:formula1>
            <xm:f>BundlingCompatabilityData!B27:B36</xm:f>
          </x14:formula1>
          <xm:sqref>E25</xm:sqref>
        </x14:dataValidation>
        <x14:dataValidation type="list" allowBlank="1" showInputMessage="1" showErrorMessage="1" xr:uid="{3D82160A-61A8-422F-97E6-A93D3E265C4C}">
          <x14:formula1>
            <xm:f>BundlingCompatabilityData!B27:B36</xm:f>
          </x14:formula1>
          <xm:sqref>E26</xm:sqref>
        </x14:dataValidation>
        <x14:dataValidation type="list" allowBlank="1" showInputMessage="1" showErrorMessage="1" xr:uid="{C52F69F7-60CD-4885-BDD8-84B8AE0D4348}">
          <x14:formula1>
            <xm:f>BundlingCompatabilityData!B27:B36</xm:f>
          </x14:formula1>
          <xm:sqref>E27</xm:sqref>
        </x14:dataValidation>
        <x14:dataValidation type="list" allowBlank="1" showInputMessage="1" showErrorMessage="1" xr:uid="{77E631B2-D794-4CB9-A9CF-9649F659BF02}">
          <x14:formula1>
            <xm:f>BundlingCompatabilityData!B27:B36</xm:f>
          </x14:formula1>
          <xm:sqref>E28</xm:sqref>
        </x14:dataValidation>
        <x14:dataValidation type="list" allowBlank="1" showInputMessage="1" showErrorMessage="1" xr:uid="{55EACE6E-7BDF-4F2C-A5DF-E62EA4BEEFA0}">
          <x14:formula1>
            <xm:f>BundlingCompatabilityData!B27:B36</xm:f>
          </x14:formula1>
          <xm:sqref>E29</xm:sqref>
        </x14:dataValidation>
        <x14:dataValidation type="list" allowBlank="1" showInputMessage="1" showErrorMessage="1" xr:uid="{9BF3163B-0DD7-4DFC-9CE4-45689BEED7F2}">
          <x14:formula1>
            <xm:f>BundlingCompatabilityData!B27:B36</xm:f>
          </x14:formula1>
          <xm:sqref>E30</xm:sqref>
        </x14:dataValidation>
        <x14:dataValidation type="list" allowBlank="1" showInputMessage="1" showErrorMessage="1" xr:uid="{18B261D0-32E5-4AD7-8434-E9335C6EEE04}">
          <x14:formula1>
            <xm:f>BundlingCompatabilityData!B27:B36</xm:f>
          </x14:formula1>
          <xm:sqref>E31</xm:sqref>
        </x14:dataValidation>
        <x14:dataValidation type="list" allowBlank="1" showInputMessage="1" showErrorMessage="1" xr:uid="{83E87DDA-3F73-4C95-91EC-29F5EBD7D844}">
          <x14:formula1>
            <xm:f>BundlingCompatabilityData!B27:B36</xm:f>
          </x14:formula1>
          <xm:sqref>E32</xm:sqref>
        </x14:dataValidation>
        <x14:dataValidation type="list" allowBlank="1" showInputMessage="1" showErrorMessage="1" xr:uid="{E54C4AD8-73E1-47A6-98F4-9A2DEA22174B}">
          <x14:formula1>
            <xm:f>BundlingCompatabilityData!B27:B36</xm:f>
          </x14:formula1>
          <xm:sqref>E33</xm:sqref>
        </x14:dataValidation>
        <x14:dataValidation type="list" allowBlank="1" showInputMessage="1" showErrorMessage="1" xr:uid="{FCC03D4B-B783-44B3-AA60-1528E7CD60BC}">
          <x14:formula1>
            <xm:f>BundlingCompatabilityData!B27:B36</xm:f>
          </x14:formula1>
          <xm:sqref>E34</xm:sqref>
        </x14:dataValidation>
        <x14:dataValidation type="list" allowBlank="1" showInputMessage="1" showErrorMessage="1" xr:uid="{B6DC4501-3D65-45BB-8165-5BF378250046}">
          <x14:formula1>
            <xm:f>BundlingCompatabilityData!B27:B36</xm:f>
          </x14:formula1>
          <xm:sqref>E35</xm:sqref>
        </x14:dataValidation>
        <x14:dataValidation type="list" allowBlank="1" showInputMessage="1" showErrorMessage="1" xr:uid="{7655D208-0767-454D-814E-A35B6355C226}">
          <x14:formula1>
            <xm:f>BundlingCompatabilityData!B27:B36</xm:f>
          </x14:formula1>
          <xm:sqref>E36</xm:sqref>
        </x14:dataValidation>
        <x14:dataValidation type="list" allowBlank="1" showInputMessage="1" showErrorMessage="1" xr:uid="{08827675-C84B-438E-8256-FF7B8C1FEC67}">
          <x14:formula1>
            <xm:f>BundlingCompatabilityData!B27:B36</xm:f>
          </x14:formula1>
          <xm:sqref>E37</xm:sqref>
        </x14:dataValidation>
        <x14:dataValidation type="list" allowBlank="1" showInputMessage="1" showErrorMessage="1" xr:uid="{749943D6-5051-41EA-8E11-38778B59264F}">
          <x14:formula1>
            <xm:f>BundlingCompatabilityData!B27:B36</xm:f>
          </x14:formula1>
          <xm:sqref>E38</xm:sqref>
        </x14:dataValidation>
        <x14:dataValidation type="list" allowBlank="1" showInputMessage="1" showErrorMessage="1" xr:uid="{5CB893F0-A947-415F-86DE-FF6494261F74}">
          <x14:formula1>
            <xm:f>BundlingCompatabilityData!B27:B36</xm:f>
          </x14:formula1>
          <xm:sqref>E39</xm:sqref>
        </x14:dataValidation>
        <x14:dataValidation type="list" allowBlank="1" showInputMessage="1" showErrorMessage="1" xr:uid="{FF263F75-8F01-4F45-BB0D-FFDCA4858891}">
          <x14:formula1>
            <xm:f>BundlingCompatabilityData!B27:B36</xm:f>
          </x14:formula1>
          <xm:sqref>E40</xm:sqref>
        </x14:dataValidation>
        <x14:dataValidation type="list" allowBlank="1" showInputMessage="1" showErrorMessage="1" xr:uid="{4EBEB387-64DB-4E14-B1B3-772A546A3740}">
          <x14:formula1>
            <xm:f>BundlingCompatabilityData!B27:B36</xm:f>
          </x14:formula1>
          <xm:sqref>E41</xm:sqref>
        </x14:dataValidation>
        <x14:dataValidation type="list" allowBlank="1" showInputMessage="1" showErrorMessage="1" xr:uid="{0B712473-C1D1-4AD6-9D28-29746B219A40}">
          <x14:formula1>
            <xm:f>BundlingCompatabilityData!B27:B36</xm:f>
          </x14:formula1>
          <xm:sqref>E42</xm:sqref>
        </x14:dataValidation>
        <x14:dataValidation type="list" allowBlank="1" showInputMessage="1" showErrorMessage="1" xr:uid="{0E9980B9-119D-451B-A1C0-4FFA278E6F1F}">
          <x14:formula1>
            <xm:f>BundlingCompatabilityData!B27:B36</xm:f>
          </x14:formula1>
          <xm:sqref>E43</xm:sqref>
        </x14:dataValidation>
        <x14:dataValidation type="list" allowBlank="1" showInputMessage="1" showErrorMessage="1" xr:uid="{E6217DB7-3479-4EA5-AD47-4E63C6D23C9F}">
          <x14:formula1>
            <xm:f>BundlingCompatabilityData!B27:B36</xm:f>
          </x14:formula1>
          <xm:sqref>E44</xm:sqref>
        </x14:dataValidation>
        <x14:dataValidation type="list" allowBlank="1" showInputMessage="1" showErrorMessage="1" xr:uid="{F7F71E42-4BB3-44C7-B7F9-66E4BADE25A9}">
          <x14:formula1>
            <xm:f>BundlingCompatabilityData!B27:B36</xm:f>
          </x14:formula1>
          <xm:sqref>E45</xm:sqref>
        </x14:dataValidation>
        <x14:dataValidation type="list" allowBlank="1" showInputMessage="1" showErrorMessage="1" xr:uid="{65F3BC96-5790-454A-B295-F080155840FA}">
          <x14:formula1>
            <xm:f>BundlingCompatabilityData!B27:B36</xm:f>
          </x14:formula1>
          <xm:sqref>E46</xm:sqref>
        </x14:dataValidation>
        <x14:dataValidation type="list" allowBlank="1" showInputMessage="1" showErrorMessage="1" xr:uid="{212627DC-4228-4603-B676-4ED6B8C1CE7F}">
          <x14:formula1>
            <xm:f>BundlingCompatabilityData!B27:B36</xm:f>
          </x14:formula1>
          <xm:sqref>E47</xm:sqref>
        </x14:dataValidation>
        <x14:dataValidation type="list" allowBlank="1" showInputMessage="1" showErrorMessage="1" xr:uid="{D180F57C-DF69-4352-B16B-755D08C121D7}">
          <x14:formula1>
            <xm:f>BundlingCompatabilityData!B27:B36</xm:f>
          </x14:formula1>
          <xm:sqref>E48</xm:sqref>
        </x14:dataValidation>
        <x14:dataValidation type="list" allowBlank="1" showInputMessage="1" showErrorMessage="1" xr:uid="{99926691-2724-4A3D-9DEF-FB020C693765}">
          <x14:formula1>
            <xm:f>BundlingCompatabilityData!B27:B36</xm:f>
          </x14:formula1>
          <xm:sqref>E49</xm:sqref>
        </x14:dataValidation>
        <x14:dataValidation type="list" allowBlank="1" showInputMessage="1" showErrorMessage="1" xr:uid="{92BA502B-1BDF-47D0-A9EB-A494A58A3B61}">
          <x14:formula1>
            <xm:f>BundlingCompatabilityData!B27:B36</xm:f>
          </x14:formula1>
          <xm:sqref>E50</xm:sqref>
        </x14:dataValidation>
        <x14:dataValidation type="list" allowBlank="1" showInputMessage="1" showErrorMessage="1" xr:uid="{A49A07A4-718F-4B01-9E52-04B26B1B077E}">
          <x14:formula1>
            <xm:f>BundlingCompatabilityData!B27:B36</xm:f>
          </x14:formula1>
          <xm:sqref>E51</xm:sqref>
        </x14:dataValidation>
        <x14:dataValidation type="list" allowBlank="1" showInputMessage="1" showErrorMessage="1" xr:uid="{363374EB-4C29-4DB2-A20B-0B7D5816277A}">
          <x14:formula1>
            <xm:f>BundlingCompatabilityData!B27:B36</xm:f>
          </x14:formula1>
          <xm:sqref>E52</xm:sqref>
        </x14:dataValidation>
        <x14:dataValidation type="list" allowBlank="1" showInputMessage="1" showErrorMessage="1" xr:uid="{FD791F2E-14DC-49E0-8D65-9FAA9CAC8A59}">
          <x14:formula1>
            <xm:f>BundlingCompatabilityData!B27:B36</xm:f>
          </x14:formula1>
          <xm:sqref>E53</xm:sqref>
        </x14:dataValidation>
        <x14:dataValidation type="list" allowBlank="1" showInputMessage="1" showErrorMessage="1" xr:uid="{153A27F8-3B54-4045-BE54-748493357D93}">
          <x14:formula1>
            <xm:f>BundlingCompatabilityData!B27:B36</xm:f>
          </x14:formula1>
          <xm:sqref>E54</xm:sqref>
        </x14:dataValidation>
        <x14:dataValidation type="list" allowBlank="1" showInputMessage="1" showErrorMessage="1" xr:uid="{C0A8AF98-F8E5-40E9-8482-7B8693E76C75}">
          <x14:formula1>
            <xm:f>BundlingCompatabilityData!B27:B36</xm:f>
          </x14:formula1>
          <xm:sqref>E55</xm:sqref>
        </x14:dataValidation>
        <x14:dataValidation type="list" allowBlank="1" showInputMessage="1" showErrorMessage="1" xr:uid="{D8FB813E-6CF8-47B5-8EBB-985124DC8DA6}">
          <x14:formula1>
            <xm:f>BundlingCompatabilityData!B27:B36</xm:f>
          </x14:formula1>
          <xm:sqref>E56</xm:sqref>
        </x14:dataValidation>
        <x14:dataValidation type="list" allowBlank="1" showInputMessage="1" showErrorMessage="1" xr:uid="{5831D9CE-93CD-48D1-9502-A939B3EDF1C1}">
          <x14:formula1>
            <xm:f>BundlingCompatabilityData!B27:B36</xm:f>
          </x14:formula1>
          <xm:sqref>E57</xm:sqref>
        </x14:dataValidation>
        <x14:dataValidation type="list" allowBlank="1" showInputMessage="1" showErrorMessage="1" xr:uid="{709D8922-5362-4DBB-9769-DDE29AC60D3E}">
          <x14:formula1>
            <xm:f>BundlingCompatabilityData!B27:B36</xm:f>
          </x14:formula1>
          <xm:sqref>E58</xm:sqref>
        </x14:dataValidation>
        <x14:dataValidation type="list" allowBlank="1" showInputMessage="1" showErrorMessage="1" xr:uid="{E48D617C-9C8E-4CBA-AD90-A6FEC0154D92}">
          <x14:formula1>
            <xm:f>BundlingCompatabilityData!B27:B36</xm:f>
          </x14:formula1>
          <xm:sqref>E59</xm:sqref>
        </x14:dataValidation>
        <x14:dataValidation type="list" allowBlank="1" showInputMessage="1" showErrorMessage="1" xr:uid="{590724E7-844C-4198-9CE1-F09CA6ADFA00}">
          <x14:formula1>
            <xm:f>BundlingCompatabilityData!B27:B36</xm:f>
          </x14:formula1>
          <xm:sqref>E60</xm:sqref>
        </x14:dataValidation>
        <x14:dataValidation type="list" allowBlank="1" showInputMessage="1" showErrorMessage="1" xr:uid="{2383568F-CF2E-44BE-B51B-7CA97C1981A5}">
          <x14:formula1>
            <xm:f>BundlingCompatabilityData!B27:B36</xm:f>
          </x14:formula1>
          <xm:sqref>E61</xm:sqref>
        </x14:dataValidation>
        <x14:dataValidation type="list" allowBlank="1" showInputMessage="1" showErrorMessage="1" xr:uid="{258EED37-6548-4A24-B1AB-E227B0468978}">
          <x14:formula1>
            <xm:f>BundlingCompatabilityData!B27:B36</xm:f>
          </x14:formula1>
          <xm:sqref>E62</xm:sqref>
        </x14:dataValidation>
        <x14:dataValidation type="list" allowBlank="1" showInputMessage="1" showErrorMessage="1" xr:uid="{A1C42B54-BE90-485B-8504-2B9BAE0C37F6}">
          <x14:formula1>
            <xm:f>BundlingCompatabilityData!B27:B36</xm:f>
          </x14:formula1>
          <xm:sqref>E63</xm:sqref>
        </x14:dataValidation>
        <x14:dataValidation type="list" allowBlank="1" showInputMessage="1" showErrorMessage="1" xr:uid="{BAA05C3E-D6AB-4777-BB4C-371E9124BFE6}">
          <x14:formula1>
            <xm:f>BundlingCompatabilityData!B27:B36</xm:f>
          </x14:formula1>
          <xm:sqref>E64</xm:sqref>
        </x14:dataValidation>
        <x14:dataValidation type="list" allowBlank="1" showInputMessage="1" showErrorMessage="1" xr:uid="{EABB48D4-2952-484A-A623-10285F5F899E}">
          <x14:formula1>
            <xm:f>BundlingCompatabilityData!B27:B36</xm:f>
          </x14:formula1>
          <xm:sqref>E65</xm:sqref>
        </x14:dataValidation>
        <x14:dataValidation type="list" allowBlank="1" showInputMessage="1" showErrorMessage="1" xr:uid="{BF3F7073-4844-4D0F-A5BD-485A09443CAA}">
          <x14:formula1>
            <xm:f>BundlingCompatabilityData!B27:B36</xm:f>
          </x14:formula1>
          <xm:sqref>E66</xm:sqref>
        </x14:dataValidation>
        <x14:dataValidation type="list" allowBlank="1" showInputMessage="1" showErrorMessage="1" xr:uid="{36CF72EE-045F-4850-A9B5-9CB1C3D8BFF1}">
          <x14:formula1>
            <xm:f>BundlingCompatabilityData!B27:B36</xm:f>
          </x14:formula1>
          <xm:sqref>E67</xm:sqref>
        </x14:dataValidation>
        <x14:dataValidation type="list" allowBlank="1" showInputMessage="1" showErrorMessage="1" xr:uid="{32E53A56-7231-4C38-8D9D-1D544701C9BD}">
          <x14:formula1>
            <xm:f>BundlingCompatabilityData!B27:B36</xm:f>
          </x14:formula1>
          <xm:sqref>E68</xm:sqref>
        </x14:dataValidation>
        <x14:dataValidation type="list" allowBlank="1" showInputMessage="1" showErrorMessage="1" xr:uid="{EB6DE441-9FA6-452B-8753-3AA010AF6075}">
          <x14:formula1>
            <xm:f>BundlingCompatabilityData!B27:B36</xm:f>
          </x14:formula1>
          <xm:sqref>E69</xm:sqref>
        </x14:dataValidation>
        <x14:dataValidation type="list" allowBlank="1" showInputMessage="1" showErrorMessage="1" xr:uid="{29D648D6-7900-4190-B7EC-A49346EC3F04}">
          <x14:formula1>
            <xm:f>BundlingCompatabilityData!B27:B36</xm:f>
          </x14:formula1>
          <xm:sqref>E70</xm:sqref>
        </x14:dataValidation>
        <x14:dataValidation type="list" allowBlank="1" showInputMessage="1" showErrorMessage="1" xr:uid="{5DFCF979-F178-4D10-9810-47B7647BBAE7}">
          <x14:formula1>
            <xm:f>BundlingCompatabilityData!B27:B36</xm:f>
          </x14:formula1>
          <xm:sqref>E71</xm:sqref>
        </x14:dataValidation>
        <x14:dataValidation type="list" allowBlank="1" showInputMessage="1" showErrorMessage="1" xr:uid="{72EE9BE8-BDCD-4520-8A44-E3672E446EAA}">
          <x14:formula1>
            <xm:f>BundlingCompatabilityData!B27:B36</xm:f>
          </x14:formula1>
          <xm:sqref>E72</xm:sqref>
        </x14:dataValidation>
        <x14:dataValidation type="list" allowBlank="1" showInputMessage="1" showErrorMessage="1" xr:uid="{DF79DB3D-1DB1-4C4B-B017-323A12E9A208}">
          <x14:formula1>
            <xm:f>BundlingCompatabilityData!B27:B36</xm:f>
          </x14:formula1>
          <xm:sqref>E73</xm:sqref>
        </x14:dataValidation>
        <x14:dataValidation type="list" allowBlank="1" showInputMessage="1" showErrorMessage="1" xr:uid="{F0DBD170-8797-4075-8DF6-4E7A16F340E6}">
          <x14:formula1>
            <xm:f>BundlingCompatabilityData!B27:B36</xm:f>
          </x14:formula1>
          <xm:sqref>E74</xm:sqref>
        </x14:dataValidation>
        <x14:dataValidation type="list" allowBlank="1" showInputMessage="1" showErrorMessage="1" xr:uid="{94ED2D36-8E72-4DCB-A347-A4F2DF0FC03E}">
          <x14:formula1>
            <xm:f>BundlingCompatabilityData!B27:B36</xm:f>
          </x14:formula1>
          <xm:sqref>E75</xm:sqref>
        </x14:dataValidation>
        <x14:dataValidation type="list" allowBlank="1" showInputMessage="1" showErrorMessage="1" xr:uid="{B94A154E-FE2E-4645-A171-334E2452B698}">
          <x14:formula1>
            <xm:f>BundlingCompatabilityData!B27:B36</xm:f>
          </x14:formula1>
          <xm:sqref>E76</xm:sqref>
        </x14:dataValidation>
        <x14:dataValidation type="list" allowBlank="1" showInputMessage="1" showErrorMessage="1" xr:uid="{589A3914-58FA-4920-9DE8-C9FA7A3BEE5E}">
          <x14:formula1>
            <xm:f>BundlingCompatabilityData!B27:B36</xm:f>
          </x14:formula1>
          <xm:sqref>E77</xm:sqref>
        </x14:dataValidation>
        <x14:dataValidation type="list" allowBlank="1" showInputMessage="1" showErrorMessage="1" xr:uid="{391CAA9C-99E0-421E-BC52-1525EF2BB74E}">
          <x14:formula1>
            <xm:f>BundlingCompatabilityData!B27:B36</xm:f>
          </x14:formula1>
          <xm:sqref>E78</xm:sqref>
        </x14:dataValidation>
        <x14:dataValidation type="list" allowBlank="1" showInputMessage="1" showErrorMessage="1" xr:uid="{FCA31820-1D93-4BA5-B839-190E20194295}">
          <x14:formula1>
            <xm:f>BundlingCompatabilityData!B27:B36</xm:f>
          </x14:formula1>
          <xm:sqref>E79</xm:sqref>
        </x14:dataValidation>
        <x14:dataValidation type="list" allowBlank="1" showInputMessage="1" showErrorMessage="1" xr:uid="{24A1E5F1-B71A-426E-A386-73D964602789}">
          <x14:formula1>
            <xm:f>BundlingCompatabilityData!B27:B36</xm:f>
          </x14:formula1>
          <xm:sqref>E80</xm:sqref>
        </x14:dataValidation>
        <x14:dataValidation type="list" allowBlank="1" showInputMessage="1" showErrorMessage="1" xr:uid="{02C3E6BA-E60E-4374-98EC-2210D5F906CB}">
          <x14:formula1>
            <xm:f>BundlingCompatabilityData!B27:B36</xm:f>
          </x14:formula1>
          <xm:sqref>E81</xm:sqref>
        </x14:dataValidation>
        <x14:dataValidation type="list" allowBlank="1" showInputMessage="1" showErrorMessage="1" xr:uid="{5825050F-8EC9-46EA-9CC2-4BEA554176F9}">
          <x14:formula1>
            <xm:f>BundlingCompatabilityData!B27:B36</xm:f>
          </x14:formula1>
          <xm:sqref>E82</xm:sqref>
        </x14:dataValidation>
        <x14:dataValidation type="list" allowBlank="1" showInputMessage="1" showErrorMessage="1" xr:uid="{501DE115-A164-4B78-9974-6242841229E4}">
          <x14:formula1>
            <xm:f>BundlingCompatabilityData!B27:B36</xm:f>
          </x14:formula1>
          <xm:sqref>E83</xm:sqref>
        </x14:dataValidation>
        <x14:dataValidation type="list" allowBlank="1" showInputMessage="1" showErrorMessage="1" xr:uid="{97224E1D-B877-497A-8201-498648B64D65}">
          <x14:formula1>
            <xm:f>BundlingCompatabilityData!B27:B36</xm:f>
          </x14:formula1>
          <xm:sqref>E84</xm:sqref>
        </x14:dataValidation>
        <x14:dataValidation type="list" allowBlank="1" showInputMessage="1" showErrorMessage="1" xr:uid="{942A133E-4BAD-4CB5-BC63-19447EB103FA}">
          <x14:formula1>
            <xm:f>BundlingCompatabilityData!B27:B36</xm:f>
          </x14:formula1>
          <xm:sqref>E85</xm:sqref>
        </x14:dataValidation>
        <x14:dataValidation type="list" allowBlank="1" showInputMessage="1" showErrorMessage="1" xr:uid="{87812EB2-903F-4F85-9D2C-B0920875F44C}">
          <x14:formula1>
            <xm:f>BundlingCompatabilityData!B27:B36</xm:f>
          </x14:formula1>
          <xm:sqref>E86</xm:sqref>
        </x14:dataValidation>
        <x14:dataValidation type="list" allowBlank="1" showInputMessage="1" showErrorMessage="1" xr:uid="{734D8853-DD06-4974-ACD3-0AF298BABB4D}">
          <x14:formula1>
            <xm:f>BundlingCompatabilityData!B27:B36</xm:f>
          </x14:formula1>
          <xm:sqref>E87</xm:sqref>
        </x14:dataValidation>
        <x14:dataValidation type="list" allowBlank="1" showInputMessage="1" showErrorMessage="1" xr:uid="{BB46D10F-65B4-414D-A00F-F982BE0B2018}">
          <x14:formula1>
            <xm:f>BundlingCompatabilityData!B27:B36</xm:f>
          </x14:formula1>
          <xm:sqref>E88</xm:sqref>
        </x14:dataValidation>
        <x14:dataValidation type="list" allowBlank="1" showInputMessage="1" showErrorMessage="1" xr:uid="{77A2A12C-8C69-43C4-B9BC-80A3C2C0CFBD}">
          <x14:formula1>
            <xm:f>BundlingCompatabilityData!B27:B36</xm:f>
          </x14:formula1>
          <xm:sqref>E89</xm:sqref>
        </x14:dataValidation>
        <x14:dataValidation type="list" allowBlank="1" showInputMessage="1" showErrorMessage="1" xr:uid="{BC620262-1F86-40ED-AAAB-169A6B530A76}">
          <x14:formula1>
            <xm:f>BundlingCompatabilityData!B27:B36</xm:f>
          </x14:formula1>
          <xm:sqref>E90</xm:sqref>
        </x14:dataValidation>
        <x14:dataValidation type="list" allowBlank="1" showInputMessage="1" showErrorMessage="1" xr:uid="{F8889FB5-FC20-4C21-A9A7-EB142137125E}">
          <x14:formula1>
            <xm:f>BundlingCompatabilityData!B27:B36</xm:f>
          </x14:formula1>
          <xm:sqref>E91</xm:sqref>
        </x14:dataValidation>
        <x14:dataValidation type="list" allowBlank="1" showInputMessage="1" showErrorMessage="1" xr:uid="{2F592688-238A-4691-BAC2-85D6EF16E66F}">
          <x14:formula1>
            <xm:f>BundlingCompatabilityData!B27:B36</xm:f>
          </x14:formula1>
          <xm:sqref>E92</xm:sqref>
        </x14:dataValidation>
        <x14:dataValidation type="list" allowBlank="1" showInputMessage="1" showErrorMessage="1" xr:uid="{870892FB-3B81-42FE-832B-E52BE1C95A65}">
          <x14:formula1>
            <xm:f>BundlingCompatabilityData!B27:B36</xm:f>
          </x14:formula1>
          <xm:sqref>E93</xm:sqref>
        </x14:dataValidation>
        <x14:dataValidation type="list" allowBlank="1" showInputMessage="1" showErrorMessage="1" xr:uid="{51DAF284-398F-4D36-95A1-33BADB942718}">
          <x14:formula1>
            <xm:f>BundlingCompatabilityData!B27:B36</xm:f>
          </x14:formula1>
          <xm:sqref>E94</xm:sqref>
        </x14:dataValidation>
        <x14:dataValidation type="list" allowBlank="1" showInputMessage="1" showErrorMessage="1" xr:uid="{1D7B6A5F-22E9-43DC-863E-9BCA3BC43558}">
          <x14:formula1>
            <xm:f>BundlingCompatabilityData!B27:B36</xm:f>
          </x14:formula1>
          <xm:sqref>E95</xm:sqref>
        </x14:dataValidation>
        <x14:dataValidation type="list" allowBlank="1" showInputMessage="1" showErrorMessage="1" xr:uid="{3F4F45C5-1A62-4DB7-9017-B6366CA17B91}">
          <x14:formula1>
            <xm:f>BundlingCompatabilityData!B27:B36</xm:f>
          </x14:formula1>
          <xm:sqref>E96</xm:sqref>
        </x14:dataValidation>
        <x14:dataValidation type="list" allowBlank="1" showInputMessage="1" showErrorMessage="1" xr:uid="{15671E2D-B976-4A5C-BF56-1B1E45DAAED9}">
          <x14:formula1>
            <xm:f>BundlingCompatabilityData!B27:B36</xm:f>
          </x14:formula1>
          <xm:sqref>E97</xm:sqref>
        </x14:dataValidation>
        <x14:dataValidation type="list" allowBlank="1" showInputMessage="1" showErrorMessage="1" xr:uid="{098459C2-B238-4837-911F-08C9432181D3}">
          <x14:formula1>
            <xm:f>BundlingCompatabilityData!B27:B36</xm:f>
          </x14:formula1>
          <xm:sqref>E98</xm:sqref>
        </x14:dataValidation>
        <x14:dataValidation type="list" allowBlank="1" showInputMessage="1" showErrorMessage="1" xr:uid="{22AAAE15-F928-4931-A6D6-C3806D53C36C}">
          <x14:formula1>
            <xm:f>BundlingCompatabilityData!B27:B36</xm:f>
          </x14:formula1>
          <xm:sqref>E99</xm:sqref>
        </x14:dataValidation>
        <x14:dataValidation type="list" allowBlank="1" showInputMessage="1" showErrorMessage="1" xr:uid="{5F630627-F155-44CC-A718-628D4501214F}">
          <x14:formula1>
            <xm:f>BundlingCompatabilityData!B27:B36</xm:f>
          </x14:formula1>
          <xm:sqref>E100</xm:sqref>
        </x14:dataValidation>
        <x14:dataValidation type="list" allowBlank="1" showInputMessage="1" showErrorMessage="1" xr:uid="{57135E81-C584-4C77-8331-97FC5A3A6C1B}">
          <x14:formula1>
            <xm:f>BundlingCompatabilityData!B27:B36</xm:f>
          </x14:formula1>
          <xm:sqref>E101</xm:sqref>
        </x14:dataValidation>
        <x14:dataValidation type="list" allowBlank="1" showInputMessage="1" showErrorMessage="1" xr:uid="{3E2C6EC0-8FB2-4569-8E1A-BEC64193E330}">
          <x14:formula1>
            <xm:f>BundlingCompatabilityData!B27:B36</xm:f>
          </x14:formula1>
          <xm:sqref>E102</xm:sqref>
        </x14:dataValidation>
        <x14:dataValidation type="list" allowBlank="1" showInputMessage="1" showErrorMessage="1" xr:uid="{453B9FEC-540A-46BD-9411-439219089E95}">
          <x14:formula1>
            <xm:f>BundlingCompatabilityData!B27:B36</xm:f>
          </x14:formula1>
          <xm:sqref>E103</xm:sqref>
        </x14:dataValidation>
        <x14:dataValidation type="list" allowBlank="1" showInputMessage="1" showErrorMessage="1" xr:uid="{AC699B74-1A73-4D9A-BC73-EDAC828A38F0}">
          <x14:formula1>
            <xm:f>BundlingCompatabilityData!B27:B36</xm:f>
          </x14:formula1>
          <xm:sqref>E104</xm:sqref>
        </x14:dataValidation>
        <x14:dataValidation type="list" allowBlank="1" showInputMessage="1" showErrorMessage="1" xr:uid="{ABC3BA56-0DF7-4864-B0F3-5B0C64E5A223}">
          <x14:formula1>
            <xm:f>BundlingCompatabilityData!B27:B36</xm:f>
          </x14:formula1>
          <xm:sqref>E105</xm:sqref>
        </x14:dataValidation>
        <x14:dataValidation type="list" allowBlank="1" showInputMessage="1" showErrorMessage="1" xr:uid="{C8B7F80E-3E2A-48AB-BE86-7BABDB29B11A}">
          <x14:formula1>
            <xm:f>BundlingCompatabilityData!B27:B36</xm:f>
          </x14:formula1>
          <xm:sqref>E106</xm:sqref>
        </x14:dataValidation>
        <x14:dataValidation type="list" allowBlank="1" showInputMessage="1" showErrorMessage="1" xr:uid="{AA0B0026-05F1-4FA6-805A-8FDFD9E09DE2}">
          <x14:formula1>
            <xm:f>BundlingCompatabilityData!B27:B36</xm:f>
          </x14:formula1>
          <xm:sqref>E107</xm:sqref>
        </x14:dataValidation>
        <x14:dataValidation type="list" allowBlank="1" showInputMessage="1" showErrorMessage="1" xr:uid="{5B16C29D-4E5F-409F-8260-DE15F57245D1}">
          <x14:formula1>
            <xm:f>BundlingCompatabilityData!B27:B36</xm:f>
          </x14:formula1>
          <xm:sqref>E108</xm:sqref>
        </x14:dataValidation>
        <x14:dataValidation type="list" allowBlank="1" showInputMessage="1" showErrorMessage="1" xr:uid="{CEB470B2-52C9-40D4-B15B-D7BF1AAE1BBC}">
          <x14:formula1>
            <xm:f>BundlingCompatabilityData!B27:B36</xm:f>
          </x14:formula1>
          <xm:sqref>E109</xm:sqref>
        </x14:dataValidation>
        <x14:dataValidation type="list" allowBlank="1" showInputMessage="1" showErrorMessage="1" xr:uid="{07085B85-036B-4032-B208-29302C98C41A}">
          <x14:formula1>
            <xm:f>BundlingCompatabilityData!B27:B36</xm:f>
          </x14:formula1>
          <xm:sqref>E110</xm:sqref>
        </x14:dataValidation>
        <x14:dataValidation type="list" allowBlank="1" showInputMessage="1" showErrorMessage="1" xr:uid="{2912B777-DD4C-40C5-BC07-407AA401A243}">
          <x14:formula1>
            <xm:f>BundlingCompatabilityData!B27:B36</xm:f>
          </x14:formula1>
          <xm:sqref>E111</xm:sqref>
        </x14:dataValidation>
        <x14:dataValidation type="list" allowBlank="1" showInputMessage="1" showErrorMessage="1" xr:uid="{E32F04F2-F7F7-459E-80EC-B703182FBA38}">
          <x14:formula1>
            <xm:f>BundlingCompatabilityData!B27:B36</xm:f>
          </x14:formula1>
          <xm:sqref>E112</xm:sqref>
        </x14:dataValidation>
        <x14:dataValidation type="list" allowBlank="1" showInputMessage="1" showErrorMessage="1" xr:uid="{B05BCB10-B7B4-468C-9300-511BF14948F3}">
          <x14:formula1>
            <xm:f>BundlingCompatabilityData!B27:B36</xm:f>
          </x14:formula1>
          <xm:sqref>E113</xm:sqref>
        </x14:dataValidation>
        <x14:dataValidation type="list" allowBlank="1" showInputMessage="1" showErrorMessage="1" xr:uid="{A7FCABE5-8464-48A1-B2A3-1E5E525CA160}">
          <x14:formula1>
            <xm:f>BundlingCompatabilityData!B27:B36</xm:f>
          </x14:formula1>
          <xm:sqref>E114</xm:sqref>
        </x14:dataValidation>
        <x14:dataValidation type="list" allowBlank="1" showInputMessage="1" showErrorMessage="1" xr:uid="{F5E0D527-A43E-4261-BE71-9B90CDED6B75}">
          <x14:formula1>
            <xm:f>BundlingCompatabilityData!B27:B36</xm:f>
          </x14:formula1>
          <xm:sqref>E115</xm:sqref>
        </x14:dataValidation>
        <x14:dataValidation type="list" allowBlank="1" showInputMessage="1" showErrorMessage="1" xr:uid="{67FBDEA6-3ED2-420D-B372-538D8B017CBE}">
          <x14:formula1>
            <xm:f>BundlingCompatabilityData!B27:B36</xm:f>
          </x14:formula1>
          <xm:sqref>E116</xm:sqref>
        </x14:dataValidation>
        <x14:dataValidation type="list" allowBlank="1" showInputMessage="1" showErrorMessage="1" xr:uid="{CA78D65C-FB9C-484E-B16B-A3931A3D9BE7}">
          <x14:formula1>
            <xm:f>BundlingCompatabilityData!B27:B36</xm:f>
          </x14:formula1>
          <xm:sqref>E117</xm:sqref>
        </x14:dataValidation>
        <x14:dataValidation type="list" allowBlank="1" showInputMessage="1" showErrorMessage="1" xr:uid="{CE7772F7-9F41-48EF-9B6E-7BD2BD0B0978}">
          <x14:formula1>
            <xm:f>BundlingCompatabilityData!B27:B36</xm:f>
          </x14:formula1>
          <xm:sqref>E118</xm:sqref>
        </x14:dataValidation>
        <x14:dataValidation type="list" allowBlank="1" showInputMessage="1" showErrorMessage="1" xr:uid="{4F1995AF-E4C3-45D3-935A-D675A9715151}">
          <x14:formula1>
            <xm:f>BundlingCompatabilityData!B27:B36</xm:f>
          </x14:formula1>
          <xm:sqref>E119</xm:sqref>
        </x14:dataValidation>
        <x14:dataValidation type="list" allowBlank="1" showInputMessage="1" showErrorMessage="1" xr:uid="{FDF9ADCF-1B9E-4F7A-A450-5E74E8DA8184}">
          <x14:formula1>
            <xm:f>BundlingCompatabilityData!B27:B36</xm:f>
          </x14:formula1>
          <xm:sqref>E120</xm:sqref>
        </x14:dataValidation>
        <x14:dataValidation type="list" allowBlank="1" showInputMessage="1" showErrorMessage="1" xr:uid="{1B9507E8-8902-49F8-8133-8EC2A0EA396C}">
          <x14:formula1>
            <xm:f>BundlingCompatabilityData!B27:B36</xm:f>
          </x14:formula1>
          <xm:sqref>E121</xm:sqref>
        </x14:dataValidation>
        <x14:dataValidation type="list" allowBlank="1" showInputMessage="1" showErrorMessage="1" xr:uid="{278003C2-4C23-4E60-ABF7-34E453C8B298}">
          <x14:formula1>
            <xm:f>BundlingCompatabilityData!B27:B36</xm:f>
          </x14:formula1>
          <xm:sqref>E122</xm:sqref>
        </x14:dataValidation>
        <x14:dataValidation type="list" allowBlank="1" showInputMessage="1" showErrorMessage="1" xr:uid="{9F59729A-62AA-4972-8FBD-BF0C2FFB4FF8}">
          <x14:formula1>
            <xm:f>BundlingCompatabilityData!B27:B36</xm:f>
          </x14:formula1>
          <xm:sqref>E123</xm:sqref>
        </x14:dataValidation>
        <x14:dataValidation type="list" allowBlank="1" showInputMessage="1" showErrorMessage="1" xr:uid="{4FD40E36-F42E-441E-81C8-12B51C007C9C}">
          <x14:formula1>
            <xm:f>BundlingCompatabilityData!B27:B36</xm:f>
          </x14:formula1>
          <xm:sqref>E124</xm:sqref>
        </x14:dataValidation>
        <x14:dataValidation type="list" allowBlank="1" showInputMessage="1" showErrorMessage="1" xr:uid="{FD90F636-612C-4848-87A4-80FC896B41BB}">
          <x14:formula1>
            <xm:f>BundlingCompatabilityData!B27:B36</xm:f>
          </x14:formula1>
          <xm:sqref>E125</xm:sqref>
        </x14:dataValidation>
        <x14:dataValidation type="list" allowBlank="1" showInputMessage="1" showErrorMessage="1" xr:uid="{6F43BF89-F5AD-44FD-A9BE-E7ABF96323B9}">
          <x14:formula1>
            <xm:f>BundlingCompatabilityData!B27:B36</xm:f>
          </x14:formula1>
          <xm:sqref>E126</xm:sqref>
        </x14:dataValidation>
        <x14:dataValidation type="list" allowBlank="1" showInputMessage="1" showErrorMessage="1" xr:uid="{D7F105C2-13DB-49E3-8C78-2EA53FD3FD8E}">
          <x14:formula1>
            <xm:f>BundlingCompatabilityData!B27:B36</xm:f>
          </x14:formula1>
          <xm:sqref>E127</xm:sqref>
        </x14:dataValidation>
        <x14:dataValidation type="list" allowBlank="1" showInputMessage="1" showErrorMessage="1" xr:uid="{18D080CA-9773-405D-8FD2-CA213A7B838C}">
          <x14:formula1>
            <xm:f>BundlingCompatabilityData!B27:B36</xm:f>
          </x14:formula1>
          <xm:sqref>E128</xm:sqref>
        </x14:dataValidation>
        <x14:dataValidation type="list" allowBlank="1" showInputMessage="1" showErrorMessage="1" xr:uid="{B1BDA4AD-F1AF-4520-BDF8-395C06462D54}">
          <x14:formula1>
            <xm:f>BundlingCompatabilityData!B27:B36</xm:f>
          </x14:formula1>
          <xm:sqref>E129</xm:sqref>
        </x14:dataValidation>
        <x14:dataValidation type="list" allowBlank="1" showInputMessage="1" showErrorMessage="1" xr:uid="{C11891F2-C72C-409F-83D3-E3AECDFFE41C}">
          <x14:formula1>
            <xm:f>BundlingCompatabilityData!B27:B36</xm:f>
          </x14:formula1>
          <xm:sqref>E130</xm:sqref>
        </x14:dataValidation>
        <x14:dataValidation type="list" allowBlank="1" showInputMessage="1" showErrorMessage="1" xr:uid="{B192985F-994F-408A-AD17-B0A5A21C107C}">
          <x14:formula1>
            <xm:f>BundlingCompatabilityData!B27:B36</xm:f>
          </x14:formula1>
          <xm:sqref>E131</xm:sqref>
        </x14:dataValidation>
        <x14:dataValidation type="list" allowBlank="1" showInputMessage="1" showErrorMessage="1" xr:uid="{3519A7DD-FCF7-458A-A40A-14C2FB3DCF8C}">
          <x14:formula1>
            <xm:f>BundlingCompatabilityData!B27:B36</xm:f>
          </x14:formula1>
          <xm:sqref>E132</xm:sqref>
        </x14:dataValidation>
        <x14:dataValidation type="list" allowBlank="1" showInputMessage="1" showErrorMessage="1" xr:uid="{1BC3B794-85B6-4385-9467-95B29469B8E4}">
          <x14:formula1>
            <xm:f>BundlingCompatabilityData!B27:B36</xm:f>
          </x14:formula1>
          <xm:sqref>E133</xm:sqref>
        </x14:dataValidation>
        <x14:dataValidation type="list" allowBlank="1" showInputMessage="1" showErrorMessage="1" xr:uid="{26AD3ABC-7D46-48CC-A359-4660CDFE6B07}">
          <x14:formula1>
            <xm:f>BundlingCompatabilityData!B27:B36</xm:f>
          </x14:formula1>
          <xm:sqref>E134</xm:sqref>
        </x14:dataValidation>
        <x14:dataValidation type="list" allowBlank="1" showInputMessage="1" showErrorMessage="1" xr:uid="{74ABDDC8-C294-44E0-B918-4E4E71A03ADC}">
          <x14:formula1>
            <xm:f>BundlingCompatabilityData!B27:B36</xm:f>
          </x14:formula1>
          <xm:sqref>E135</xm:sqref>
        </x14:dataValidation>
        <x14:dataValidation type="list" allowBlank="1" showInputMessage="1" showErrorMessage="1" xr:uid="{F3F7A15F-42C1-4675-8B9E-9B77B26500BF}">
          <x14:formula1>
            <xm:f>BundlingCompatabilityData!B27:B36</xm:f>
          </x14:formula1>
          <xm:sqref>E136</xm:sqref>
        </x14:dataValidation>
        <x14:dataValidation type="list" allowBlank="1" showInputMessage="1" showErrorMessage="1" xr:uid="{42BAC444-D3B5-496F-B16C-665A8C82130E}">
          <x14:formula1>
            <xm:f>BundlingCompatabilityData!B27:B36</xm:f>
          </x14:formula1>
          <xm:sqref>E137</xm:sqref>
        </x14:dataValidation>
        <x14:dataValidation type="list" allowBlank="1" showInputMessage="1" showErrorMessage="1" xr:uid="{925DCB58-7D3A-48D4-A1E4-DF0AFE9CEF03}">
          <x14:formula1>
            <xm:f>BundlingCompatabilityData!B27:B36</xm:f>
          </x14:formula1>
          <xm:sqref>E138</xm:sqref>
        </x14:dataValidation>
        <x14:dataValidation type="list" allowBlank="1" showInputMessage="1" showErrorMessage="1" xr:uid="{CAA60FB3-CED1-4E5F-933C-5FE7C736B30B}">
          <x14:formula1>
            <xm:f>BundlingCompatabilityData!B27:B36</xm:f>
          </x14:formula1>
          <xm:sqref>E139</xm:sqref>
        </x14:dataValidation>
        <x14:dataValidation type="list" allowBlank="1" showInputMessage="1" showErrorMessage="1" xr:uid="{1D784074-77B9-4F8E-B813-06B2BB862190}">
          <x14:formula1>
            <xm:f>BundlingCompatabilityData!B27:B36</xm:f>
          </x14:formula1>
          <xm:sqref>E140</xm:sqref>
        </x14:dataValidation>
        <x14:dataValidation type="list" allowBlank="1" showInputMessage="1" showErrorMessage="1" xr:uid="{EF7F490C-EC3A-4525-AF1C-1759122F335D}">
          <x14:formula1>
            <xm:f>BundlingCompatabilityData!B27:B36</xm:f>
          </x14:formula1>
          <xm:sqref>E141</xm:sqref>
        </x14:dataValidation>
        <x14:dataValidation type="list" allowBlank="1" showInputMessage="1" showErrorMessage="1" xr:uid="{DF594751-BC57-41E8-B216-1E6D7ACBE60B}">
          <x14:formula1>
            <xm:f>BundlingCompatabilityData!B27:B36</xm:f>
          </x14:formula1>
          <xm:sqref>E142</xm:sqref>
        </x14:dataValidation>
        <x14:dataValidation type="list" allowBlank="1" showInputMessage="1" showErrorMessage="1" xr:uid="{4A958182-6C09-4B87-812D-068A1CFE4BDA}">
          <x14:formula1>
            <xm:f>BundlingCompatabilityData!B27:B36</xm:f>
          </x14:formula1>
          <xm:sqref>E143</xm:sqref>
        </x14:dataValidation>
        <x14:dataValidation type="list" allowBlank="1" showInputMessage="1" showErrorMessage="1" xr:uid="{9B6BC879-BCA0-40C2-A694-0BB3C3D6AFF1}">
          <x14:formula1>
            <xm:f>BundlingCompatabilityData!B27:B36</xm:f>
          </x14:formula1>
          <xm:sqref>E144</xm:sqref>
        </x14:dataValidation>
        <x14:dataValidation type="list" allowBlank="1" showInputMessage="1" showErrorMessage="1" xr:uid="{22943991-CE2C-4C59-80C3-594755D98D6C}">
          <x14:formula1>
            <xm:f>BundlingCompatabilityData!B27:B36</xm:f>
          </x14:formula1>
          <xm:sqref>E145</xm:sqref>
        </x14:dataValidation>
        <x14:dataValidation type="list" allowBlank="1" showInputMessage="1" showErrorMessage="1" xr:uid="{B9CFE1C9-770B-439F-BA3D-D5A06D174ACD}">
          <x14:formula1>
            <xm:f>BundlingCompatabilityData!B27:B36</xm:f>
          </x14:formula1>
          <xm:sqref>E146</xm:sqref>
        </x14:dataValidation>
        <x14:dataValidation type="list" allowBlank="1" showInputMessage="1" showErrorMessage="1" xr:uid="{7086165A-37D8-4752-B33D-7440CBD8FC65}">
          <x14:formula1>
            <xm:f>BundlingCompatabilityData!B27:B36</xm:f>
          </x14:formula1>
          <xm:sqref>E147</xm:sqref>
        </x14:dataValidation>
        <x14:dataValidation type="list" allowBlank="1" showInputMessage="1" showErrorMessage="1" xr:uid="{5706984B-AA0C-4868-9448-1E9600D1E990}">
          <x14:formula1>
            <xm:f>BundlingCompatabilityData!B27:B36</xm:f>
          </x14:formula1>
          <xm:sqref>E148</xm:sqref>
        </x14:dataValidation>
        <x14:dataValidation type="list" allowBlank="1" showInputMessage="1" showErrorMessage="1" xr:uid="{B35CA4AE-6BAC-4C4B-B911-5B760C16EEE3}">
          <x14:formula1>
            <xm:f>BundlingCompatabilityData!B27:B36</xm:f>
          </x14:formula1>
          <xm:sqref>E149</xm:sqref>
        </x14:dataValidation>
        <x14:dataValidation type="list" allowBlank="1" showInputMessage="1" showErrorMessage="1" xr:uid="{3D05315B-498C-438B-B116-E7C522909C1D}">
          <x14:formula1>
            <xm:f>BundlingCompatabilityData!B27:B36</xm:f>
          </x14:formula1>
          <xm:sqref>E150</xm:sqref>
        </x14:dataValidation>
        <x14:dataValidation type="list" allowBlank="1" showInputMessage="1" showErrorMessage="1" xr:uid="{7A2C0B0C-B7D5-44CF-9386-5BA83462308E}">
          <x14:formula1>
            <xm:f>BundlingCompatabilityData!B27:B36</xm:f>
          </x14:formula1>
          <xm:sqref>E151</xm:sqref>
        </x14:dataValidation>
        <x14:dataValidation type="list" allowBlank="1" showInputMessage="1" showErrorMessage="1" xr:uid="{C2BF642D-5FAC-408C-B544-5A7A5244A2B4}">
          <x14:formula1>
            <xm:f>BundlingCompatabilityData!B27:B36</xm:f>
          </x14:formula1>
          <xm:sqref>E152</xm:sqref>
        </x14:dataValidation>
        <x14:dataValidation type="list" allowBlank="1" showInputMessage="1" showErrorMessage="1" xr:uid="{4DF88829-F450-4AC9-8B59-8C0E5B2BCBA2}">
          <x14:formula1>
            <xm:f>BundlingCompatabilityData!B27:B36</xm:f>
          </x14:formula1>
          <xm:sqref>E153</xm:sqref>
        </x14:dataValidation>
        <x14:dataValidation type="list" allowBlank="1" showInputMessage="1" showErrorMessage="1" xr:uid="{AC2EF160-B0DA-4844-A470-148F31655EDB}">
          <x14:formula1>
            <xm:f>BundlingCompatabilityData!B27:B36</xm:f>
          </x14:formula1>
          <xm:sqref>E154</xm:sqref>
        </x14:dataValidation>
        <x14:dataValidation type="list" allowBlank="1" showInputMessage="1" showErrorMessage="1" xr:uid="{0B8983BF-376F-49E1-944C-7046E751CAA8}">
          <x14:formula1>
            <xm:f>BundlingCompatabilityData!B27:B36</xm:f>
          </x14:formula1>
          <xm:sqref>E155</xm:sqref>
        </x14:dataValidation>
        <x14:dataValidation type="list" allowBlank="1" showInputMessage="1" showErrorMessage="1" xr:uid="{028D3A8C-E78E-4639-84DE-8E8D0E738FAC}">
          <x14:formula1>
            <xm:f>BundlingCompatabilityData!B27:B36</xm:f>
          </x14:formula1>
          <xm:sqref>E156</xm:sqref>
        </x14:dataValidation>
        <x14:dataValidation type="list" allowBlank="1" showInputMessage="1" showErrorMessage="1" xr:uid="{0A7853C7-89CA-4EE6-B32F-C1BD37C6623E}">
          <x14:formula1>
            <xm:f>BundlingCompatabilityData!B27:B36</xm:f>
          </x14:formula1>
          <xm:sqref>E157</xm:sqref>
        </x14:dataValidation>
        <x14:dataValidation type="list" allowBlank="1" showInputMessage="1" showErrorMessage="1" xr:uid="{CCE86B2E-2125-4066-AD80-5F08A756D1D6}">
          <x14:formula1>
            <xm:f>BundlingCompatabilityData!B27:B36</xm:f>
          </x14:formula1>
          <xm:sqref>E158</xm:sqref>
        </x14:dataValidation>
        <x14:dataValidation type="list" allowBlank="1" showInputMessage="1" showErrorMessage="1" xr:uid="{AE9B00BF-B3D1-4F75-9383-36B57C7A70B9}">
          <x14:formula1>
            <xm:f>BundlingCompatabilityData!B27:B36</xm:f>
          </x14:formula1>
          <xm:sqref>E159</xm:sqref>
        </x14:dataValidation>
        <x14:dataValidation type="list" allowBlank="1" showInputMessage="1" showErrorMessage="1" xr:uid="{F864B08B-DB52-46CA-9037-43E58498552C}">
          <x14:formula1>
            <xm:f>BundlingCompatabilityData!B27:B36</xm:f>
          </x14:formula1>
          <xm:sqref>E160</xm:sqref>
        </x14:dataValidation>
        <x14:dataValidation type="list" allowBlank="1" showInputMessage="1" showErrorMessage="1" xr:uid="{8DF9678A-E31A-4BD0-B7B1-840A77715D36}">
          <x14:formula1>
            <xm:f>BundlingCompatabilityData!B27:B36</xm:f>
          </x14:formula1>
          <xm:sqref>E161</xm:sqref>
        </x14:dataValidation>
        <x14:dataValidation type="list" allowBlank="1" showInputMessage="1" showErrorMessage="1" xr:uid="{0CB89AC4-E626-42CB-9411-9CD56997CB8C}">
          <x14:formula1>
            <xm:f>BundlingCompatabilityData!B27:B36</xm:f>
          </x14:formula1>
          <xm:sqref>E162</xm:sqref>
        </x14:dataValidation>
        <x14:dataValidation type="list" allowBlank="1" showInputMessage="1" showErrorMessage="1" xr:uid="{B3D23816-1900-4B96-A810-6781CBB2AC4E}">
          <x14:formula1>
            <xm:f>BundlingCompatabilityData!B27:B36</xm:f>
          </x14:formula1>
          <xm:sqref>E163</xm:sqref>
        </x14:dataValidation>
        <x14:dataValidation type="list" allowBlank="1" showInputMessage="1" showErrorMessage="1" xr:uid="{E89B4861-3679-47D2-822E-B119C2A16E12}">
          <x14:formula1>
            <xm:f>BundlingCompatabilityData!B27:B36</xm:f>
          </x14:formula1>
          <xm:sqref>E164</xm:sqref>
        </x14:dataValidation>
        <x14:dataValidation type="list" allowBlank="1" showInputMessage="1" showErrorMessage="1" xr:uid="{BD96D2F1-D4B7-4B60-9ED5-D179C696537F}">
          <x14:formula1>
            <xm:f>BundlingCompatabilityData!B27:B36</xm:f>
          </x14:formula1>
          <xm:sqref>E165</xm:sqref>
        </x14:dataValidation>
        <x14:dataValidation type="list" allowBlank="1" showInputMessage="1" showErrorMessage="1" xr:uid="{A9307395-10CC-444E-B01F-8F9B58F254C0}">
          <x14:formula1>
            <xm:f>BundlingCompatabilityData!B27:B36</xm:f>
          </x14:formula1>
          <xm:sqref>E166</xm:sqref>
        </x14:dataValidation>
        <x14:dataValidation type="list" allowBlank="1" showInputMessage="1" showErrorMessage="1" xr:uid="{362CC420-A3D8-446C-9BDA-B020DAA7A6B3}">
          <x14:formula1>
            <xm:f>BundlingCompatabilityData!B27:B36</xm:f>
          </x14:formula1>
          <xm:sqref>E167</xm:sqref>
        </x14:dataValidation>
        <x14:dataValidation type="list" allowBlank="1" showInputMessage="1" showErrorMessage="1" xr:uid="{6A3C50DB-B900-461B-A926-161AEECCA74B}">
          <x14:formula1>
            <xm:f>BundlingCompatabilityData!B27:B36</xm:f>
          </x14:formula1>
          <xm:sqref>E168</xm:sqref>
        </x14:dataValidation>
        <x14:dataValidation type="list" allowBlank="1" showInputMessage="1" showErrorMessage="1" xr:uid="{21BB3E00-1801-43C0-A7DB-FFF916F6F21F}">
          <x14:formula1>
            <xm:f>BundlingCompatabilityData!B27:B36</xm:f>
          </x14:formula1>
          <xm:sqref>E169</xm:sqref>
        </x14:dataValidation>
        <x14:dataValidation type="list" allowBlank="1" showInputMessage="1" showErrorMessage="1" xr:uid="{A86200EF-9F24-4B99-91E2-D888E64108EE}">
          <x14:formula1>
            <xm:f>BundlingCompatabilityData!B27:B36</xm:f>
          </x14:formula1>
          <xm:sqref>E170</xm:sqref>
        </x14:dataValidation>
        <x14:dataValidation type="list" allowBlank="1" showInputMessage="1" showErrorMessage="1" xr:uid="{EB2E557F-60A3-4A6D-BFAB-9E003A88DB39}">
          <x14:formula1>
            <xm:f>BundlingCompatabilityData!B27:B36</xm:f>
          </x14:formula1>
          <xm:sqref>E171</xm:sqref>
        </x14:dataValidation>
        <x14:dataValidation type="list" allowBlank="1" showInputMessage="1" showErrorMessage="1" xr:uid="{EF035052-C625-4CF7-B54A-3040319CD7E8}">
          <x14:formula1>
            <xm:f>BundlingCompatabilityData!B27:B36</xm:f>
          </x14:formula1>
          <xm:sqref>E172</xm:sqref>
        </x14:dataValidation>
        <x14:dataValidation type="list" allowBlank="1" showInputMessage="1" showErrorMessage="1" xr:uid="{273D689E-B155-4302-8842-69864F5CA80E}">
          <x14:formula1>
            <xm:f>BundlingCompatabilityData!B27:B36</xm:f>
          </x14:formula1>
          <xm:sqref>E173</xm:sqref>
        </x14:dataValidation>
        <x14:dataValidation type="list" allowBlank="1" showInputMessage="1" showErrorMessage="1" xr:uid="{A6784E6B-999C-4923-8FDD-ABCCF1F959FF}">
          <x14:formula1>
            <xm:f>BundlingCompatabilityData!B27:B36</xm:f>
          </x14:formula1>
          <xm:sqref>E174</xm:sqref>
        </x14:dataValidation>
        <x14:dataValidation type="list" allowBlank="1" showInputMessage="1" showErrorMessage="1" xr:uid="{1AA9055B-FD86-4350-A0C1-250BC6C2254F}">
          <x14:formula1>
            <xm:f>BundlingCompatabilityData!B27:B36</xm:f>
          </x14:formula1>
          <xm:sqref>E175</xm:sqref>
        </x14:dataValidation>
        <x14:dataValidation type="list" allowBlank="1" showInputMessage="1" showErrorMessage="1" xr:uid="{DBDE3BE4-517E-47D1-95A0-35FCA71E2DA7}">
          <x14:formula1>
            <xm:f>BundlingCompatabilityData!B27:B36</xm:f>
          </x14:formula1>
          <xm:sqref>E176</xm:sqref>
        </x14:dataValidation>
        <x14:dataValidation type="list" allowBlank="1" showInputMessage="1" showErrorMessage="1" xr:uid="{EAA04650-BF8B-48D4-9A3F-C73B24A3E297}">
          <x14:formula1>
            <xm:f>BundlingCompatabilityData!B27:B36</xm:f>
          </x14:formula1>
          <xm:sqref>E177</xm:sqref>
        </x14:dataValidation>
        <x14:dataValidation type="list" allowBlank="1" showInputMessage="1" showErrorMessage="1" xr:uid="{DC996DBC-FEAC-4050-9F00-BD65427AEE37}">
          <x14:formula1>
            <xm:f>BundlingCompatabilityData!B27:B36</xm:f>
          </x14:formula1>
          <xm:sqref>E178</xm:sqref>
        </x14:dataValidation>
        <x14:dataValidation type="list" allowBlank="1" showInputMessage="1" showErrorMessage="1" xr:uid="{0EF8DA22-BCF6-4171-BBE0-750D4D6A85C2}">
          <x14:formula1>
            <xm:f>BundlingCompatabilityData!B27:B36</xm:f>
          </x14:formula1>
          <xm:sqref>E179</xm:sqref>
        </x14:dataValidation>
        <x14:dataValidation type="list" allowBlank="1" showInputMessage="1" showErrorMessage="1" xr:uid="{82B77557-6E99-46AA-B978-2E52109FC21F}">
          <x14:formula1>
            <xm:f>BundlingCompatabilityData!B27:B36</xm:f>
          </x14:formula1>
          <xm:sqref>E180</xm:sqref>
        </x14:dataValidation>
        <x14:dataValidation type="list" allowBlank="1" showInputMessage="1" showErrorMessage="1" xr:uid="{398C8420-E1C8-4309-95BF-23D437F117F6}">
          <x14:formula1>
            <xm:f>BundlingCompatabilityData!B27:B36</xm:f>
          </x14:formula1>
          <xm:sqref>E181</xm:sqref>
        </x14:dataValidation>
        <x14:dataValidation type="list" allowBlank="1" showInputMessage="1" showErrorMessage="1" xr:uid="{0A719AE2-D2A8-46B4-881B-1F49148DE244}">
          <x14:formula1>
            <xm:f>BundlingCompatabilityData!B27:B36</xm:f>
          </x14:formula1>
          <xm:sqref>E182</xm:sqref>
        </x14:dataValidation>
        <x14:dataValidation type="list" allowBlank="1" showInputMessage="1" showErrorMessage="1" xr:uid="{1D6DEA3D-1E77-4C3E-9521-C654B5690788}">
          <x14:formula1>
            <xm:f>BundlingCompatabilityData!B27:B36</xm:f>
          </x14:formula1>
          <xm:sqref>E183</xm:sqref>
        </x14:dataValidation>
        <x14:dataValidation type="list" allowBlank="1" showInputMessage="1" showErrorMessage="1" xr:uid="{87C2F14B-F5D9-4E49-9646-F6EACD98B491}">
          <x14:formula1>
            <xm:f>BundlingCompatabilityData!B27:B36</xm:f>
          </x14:formula1>
          <xm:sqref>E184</xm:sqref>
        </x14:dataValidation>
        <x14:dataValidation type="list" allowBlank="1" showInputMessage="1" showErrorMessage="1" xr:uid="{FC2FE83B-F2CD-405A-829B-17E897DAF701}">
          <x14:formula1>
            <xm:f>BundlingCompatabilityData!B27:B36</xm:f>
          </x14:formula1>
          <xm:sqref>E185</xm:sqref>
        </x14:dataValidation>
        <x14:dataValidation type="list" allowBlank="1" showInputMessage="1" showErrorMessage="1" xr:uid="{229E2B49-249C-4D35-8660-5FE729B2155B}">
          <x14:formula1>
            <xm:f>BundlingCompatabilityData!B27:B36</xm:f>
          </x14:formula1>
          <xm:sqref>E186</xm:sqref>
        </x14:dataValidation>
        <x14:dataValidation type="list" allowBlank="1" showInputMessage="1" showErrorMessage="1" xr:uid="{12AB7128-2DC9-43A8-BCCB-B0EF853F48CB}">
          <x14:formula1>
            <xm:f>BundlingCompatabilityData!B27:B36</xm:f>
          </x14:formula1>
          <xm:sqref>E187</xm:sqref>
        </x14:dataValidation>
        <x14:dataValidation type="list" allowBlank="1" showInputMessage="1" showErrorMessage="1" xr:uid="{9651B611-F600-4E02-8C79-9C133827DF17}">
          <x14:formula1>
            <xm:f>BundlingCompatabilityData!B27:B36</xm:f>
          </x14:formula1>
          <xm:sqref>E188</xm:sqref>
        </x14:dataValidation>
        <x14:dataValidation type="list" allowBlank="1" showInputMessage="1" showErrorMessage="1" xr:uid="{C1C833AA-688B-43BC-9771-6D5EFB63039A}">
          <x14:formula1>
            <xm:f>BundlingCompatabilityData!B27:B36</xm:f>
          </x14:formula1>
          <xm:sqref>E189</xm:sqref>
        </x14:dataValidation>
        <x14:dataValidation type="list" allowBlank="1" showInputMessage="1" showErrorMessage="1" xr:uid="{5BE034E2-5665-49FB-AC79-B48251308E1E}">
          <x14:formula1>
            <xm:f>BundlingCompatabilityData!B27:B36</xm:f>
          </x14:formula1>
          <xm:sqref>E190</xm:sqref>
        </x14:dataValidation>
        <x14:dataValidation type="list" allowBlank="1" showInputMessage="1" showErrorMessage="1" xr:uid="{0ACE8B6B-4B39-4F6C-BE76-A13AD243F545}">
          <x14:formula1>
            <xm:f>BundlingCompatabilityData!B27:B36</xm:f>
          </x14:formula1>
          <xm:sqref>E191</xm:sqref>
        </x14:dataValidation>
        <x14:dataValidation type="list" allowBlank="1" showInputMessage="1" showErrorMessage="1" xr:uid="{C60B427C-B1F8-4BF3-8811-DBFA724D7FCE}">
          <x14:formula1>
            <xm:f>BundlingCompatabilityData!B27:B36</xm:f>
          </x14:formula1>
          <xm:sqref>E192</xm:sqref>
        </x14:dataValidation>
        <x14:dataValidation type="list" allowBlank="1" showInputMessage="1" showErrorMessage="1" xr:uid="{8014370E-7306-4153-9BF0-D16465AFFC24}">
          <x14:formula1>
            <xm:f>BundlingCompatabilityData!B27:B36</xm:f>
          </x14:formula1>
          <xm:sqref>E193</xm:sqref>
        </x14:dataValidation>
        <x14:dataValidation type="list" allowBlank="1" showInputMessage="1" showErrorMessage="1" xr:uid="{121E909B-913E-4471-8308-861F69E7C0D5}">
          <x14:formula1>
            <xm:f>BundlingCompatabilityData!B42:B51</xm:f>
          </x14:formula1>
          <xm:sqref>F17</xm:sqref>
        </x14:dataValidation>
        <x14:dataValidation type="list" allowBlank="1" showInputMessage="1" showErrorMessage="1" xr:uid="{541A1894-FA33-43B4-B225-B072A3AB38E7}">
          <x14:formula1>
            <xm:f>BundlingCompatabilityData!B42:B51</xm:f>
          </x14:formula1>
          <xm:sqref>F18</xm:sqref>
        </x14:dataValidation>
        <x14:dataValidation type="list" allowBlank="1" showInputMessage="1" showErrorMessage="1" xr:uid="{7D766CAD-B7F9-4E0E-BF61-EB433CB9E361}">
          <x14:formula1>
            <xm:f>BundlingCompatabilityData!B42:B51</xm:f>
          </x14:formula1>
          <xm:sqref>F19</xm:sqref>
        </x14:dataValidation>
        <x14:dataValidation type="list" allowBlank="1" showInputMessage="1" showErrorMessage="1" xr:uid="{2E21320F-4DDD-4F74-A1D7-DAAF4D6858D0}">
          <x14:formula1>
            <xm:f>BundlingCompatabilityData!B42:B51</xm:f>
          </x14:formula1>
          <xm:sqref>F20</xm:sqref>
        </x14:dataValidation>
        <x14:dataValidation type="list" allowBlank="1" showInputMessage="1" showErrorMessage="1" xr:uid="{4379DD35-85D1-4AE4-9449-02C8F5F2462A}">
          <x14:formula1>
            <xm:f>BundlingCompatabilityData!B42:B51</xm:f>
          </x14:formula1>
          <xm:sqref>F21</xm:sqref>
        </x14:dataValidation>
        <x14:dataValidation type="list" allowBlank="1" showInputMessage="1" showErrorMessage="1" xr:uid="{E59C6E9C-69FC-428E-A618-F7D68051C0AC}">
          <x14:formula1>
            <xm:f>BundlingCompatabilityData!B42:B51</xm:f>
          </x14:formula1>
          <xm:sqref>F22</xm:sqref>
        </x14:dataValidation>
        <x14:dataValidation type="list" allowBlank="1" showInputMessage="1" showErrorMessage="1" xr:uid="{DFB6F452-D7E7-4188-8893-0A66C428A93C}">
          <x14:formula1>
            <xm:f>BundlingCompatabilityData!B42:B51</xm:f>
          </x14:formula1>
          <xm:sqref>F23</xm:sqref>
        </x14:dataValidation>
        <x14:dataValidation type="list" allowBlank="1" showInputMessage="1" showErrorMessage="1" xr:uid="{559D06B4-C8C4-446B-A1AE-3BB3C305BE4F}">
          <x14:formula1>
            <xm:f>BundlingCompatabilityData!B42:B51</xm:f>
          </x14:formula1>
          <xm:sqref>F24</xm:sqref>
        </x14:dataValidation>
        <x14:dataValidation type="list" allowBlank="1" showInputMessage="1" showErrorMessage="1" xr:uid="{61713385-874A-4D47-81A6-2B8F4227E043}">
          <x14:formula1>
            <xm:f>BundlingCompatabilityData!B42:B51</xm:f>
          </x14:formula1>
          <xm:sqref>F25</xm:sqref>
        </x14:dataValidation>
        <x14:dataValidation type="list" allowBlank="1" showInputMessage="1" showErrorMessage="1" xr:uid="{05C53D52-B0A8-4D26-973F-EE84C3A5F374}">
          <x14:formula1>
            <xm:f>BundlingCompatabilityData!B42:B51</xm:f>
          </x14:formula1>
          <xm:sqref>F26</xm:sqref>
        </x14:dataValidation>
        <x14:dataValidation type="list" allowBlank="1" showInputMessage="1" showErrorMessage="1" xr:uid="{146FA252-2C9F-4D04-B415-F5AB71C6CDB7}">
          <x14:formula1>
            <xm:f>BundlingCompatabilityData!B42:B51</xm:f>
          </x14:formula1>
          <xm:sqref>F27</xm:sqref>
        </x14:dataValidation>
        <x14:dataValidation type="list" allowBlank="1" showInputMessage="1" showErrorMessage="1" xr:uid="{4A6873CB-1B83-4E06-9625-81D3762E6106}">
          <x14:formula1>
            <xm:f>BundlingCompatabilityData!B42:B51</xm:f>
          </x14:formula1>
          <xm:sqref>F28</xm:sqref>
        </x14:dataValidation>
        <x14:dataValidation type="list" allowBlank="1" showInputMessage="1" showErrorMessage="1" xr:uid="{8A7EB4F5-43E7-42AD-A1B4-5AB1C0E8EB12}">
          <x14:formula1>
            <xm:f>BundlingCompatabilityData!B42:B51</xm:f>
          </x14:formula1>
          <xm:sqref>F29</xm:sqref>
        </x14:dataValidation>
        <x14:dataValidation type="list" allowBlank="1" showInputMessage="1" showErrorMessage="1" xr:uid="{1E2856CA-7606-4019-B1B0-D10490D5444D}">
          <x14:formula1>
            <xm:f>BundlingCompatabilityData!B42:B51</xm:f>
          </x14:formula1>
          <xm:sqref>F30</xm:sqref>
        </x14:dataValidation>
        <x14:dataValidation type="list" allowBlank="1" showInputMessage="1" showErrorMessage="1" xr:uid="{316A15A2-47FC-414F-A46F-5A70780FBAC6}">
          <x14:formula1>
            <xm:f>BundlingCompatabilityData!B42:B51</xm:f>
          </x14:formula1>
          <xm:sqref>F31</xm:sqref>
        </x14:dataValidation>
        <x14:dataValidation type="list" allowBlank="1" showInputMessage="1" showErrorMessage="1" xr:uid="{E4A87D64-A443-43F4-B71F-6DA91C4587E7}">
          <x14:formula1>
            <xm:f>BundlingCompatabilityData!B42:B51</xm:f>
          </x14:formula1>
          <xm:sqref>F32</xm:sqref>
        </x14:dataValidation>
        <x14:dataValidation type="list" allowBlank="1" showInputMessage="1" showErrorMessage="1" xr:uid="{3B7B32CB-1DFF-4B52-9F2A-9795EB259B41}">
          <x14:formula1>
            <xm:f>BundlingCompatabilityData!B42:B51</xm:f>
          </x14:formula1>
          <xm:sqref>F33</xm:sqref>
        </x14:dataValidation>
        <x14:dataValidation type="list" allowBlank="1" showInputMessage="1" showErrorMessage="1" xr:uid="{D35F536C-4512-4666-9361-4DC40A9EE9AC}">
          <x14:formula1>
            <xm:f>BundlingCompatabilityData!B42:B51</xm:f>
          </x14:formula1>
          <xm:sqref>F34</xm:sqref>
        </x14:dataValidation>
        <x14:dataValidation type="list" allowBlank="1" showInputMessage="1" showErrorMessage="1" xr:uid="{66460005-8D59-4805-88BA-F6303F912087}">
          <x14:formula1>
            <xm:f>BundlingCompatabilityData!B42:B51</xm:f>
          </x14:formula1>
          <xm:sqref>F35</xm:sqref>
        </x14:dataValidation>
        <x14:dataValidation type="list" allowBlank="1" showInputMessage="1" showErrorMessage="1" xr:uid="{AD454238-F139-477F-BCF4-EDE128F603EF}">
          <x14:formula1>
            <xm:f>BundlingCompatabilityData!B42:B51</xm:f>
          </x14:formula1>
          <xm:sqref>F36</xm:sqref>
        </x14:dataValidation>
        <x14:dataValidation type="list" allowBlank="1" showInputMessage="1" showErrorMessage="1" xr:uid="{86CB6650-B482-4A3C-BC8A-AA1E7EEF0FD4}">
          <x14:formula1>
            <xm:f>BundlingCompatabilityData!B42:B51</xm:f>
          </x14:formula1>
          <xm:sqref>F37</xm:sqref>
        </x14:dataValidation>
        <x14:dataValidation type="list" allowBlank="1" showInputMessage="1" showErrorMessage="1" xr:uid="{9DF017BD-BF04-4B36-A700-2BAF67F66C47}">
          <x14:formula1>
            <xm:f>BundlingCompatabilityData!B42:B51</xm:f>
          </x14:formula1>
          <xm:sqref>F38</xm:sqref>
        </x14:dataValidation>
        <x14:dataValidation type="list" allowBlank="1" showInputMessage="1" showErrorMessage="1" xr:uid="{3829D3F5-C4BF-4909-95E0-35D315FC83AA}">
          <x14:formula1>
            <xm:f>BundlingCompatabilityData!B42:B51</xm:f>
          </x14:formula1>
          <xm:sqref>F39</xm:sqref>
        </x14:dataValidation>
        <x14:dataValidation type="list" allowBlank="1" showInputMessage="1" showErrorMessage="1" xr:uid="{1CCF8840-27A1-43D6-875C-D30E8A1D0BEC}">
          <x14:formula1>
            <xm:f>BundlingCompatabilityData!B42:B51</xm:f>
          </x14:formula1>
          <xm:sqref>F40</xm:sqref>
        </x14:dataValidation>
        <x14:dataValidation type="list" allowBlank="1" showInputMessage="1" showErrorMessage="1" xr:uid="{B047D4BD-8AA1-44B0-9382-1CCDF0B15143}">
          <x14:formula1>
            <xm:f>BundlingCompatabilityData!B42:B51</xm:f>
          </x14:formula1>
          <xm:sqref>F41</xm:sqref>
        </x14:dataValidation>
        <x14:dataValidation type="list" allowBlank="1" showInputMessage="1" showErrorMessage="1" xr:uid="{D251952A-63A3-4F4E-A437-EC33F358FA80}">
          <x14:formula1>
            <xm:f>BundlingCompatabilityData!B42:B51</xm:f>
          </x14:formula1>
          <xm:sqref>F42</xm:sqref>
        </x14:dataValidation>
        <x14:dataValidation type="list" allowBlank="1" showInputMessage="1" showErrorMessage="1" xr:uid="{8D0010F7-ED06-413D-8A4F-51F0584CE428}">
          <x14:formula1>
            <xm:f>BundlingCompatabilityData!B42:B51</xm:f>
          </x14:formula1>
          <xm:sqref>F43</xm:sqref>
        </x14:dataValidation>
        <x14:dataValidation type="list" allowBlank="1" showInputMessage="1" showErrorMessage="1" xr:uid="{9BCB73AC-9523-44BB-A840-5A391C192AD6}">
          <x14:formula1>
            <xm:f>BundlingCompatabilityData!B42:B51</xm:f>
          </x14:formula1>
          <xm:sqref>F44</xm:sqref>
        </x14:dataValidation>
        <x14:dataValidation type="list" allowBlank="1" showInputMessage="1" showErrorMessage="1" xr:uid="{06399F16-2026-468F-BE95-5739DE38C31E}">
          <x14:formula1>
            <xm:f>BundlingCompatabilityData!B42:B51</xm:f>
          </x14:formula1>
          <xm:sqref>F45</xm:sqref>
        </x14:dataValidation>
        <x14:dataValidation type="list" allowBlank="1" showInputMessage="1" showErrorMessage="1" xr:uid="{A4AF5AB5-C144-453D-8734-BBF8F2027C0B}">
          <x14:formula1>
            <xm:f>BundlingCompatabilityData!B42:B51</xm:f>
          </x14:formula1>
          <xm:sqref>F46</xm:sqref>
        </x14:dataValidation>
        <x14:dataValidation type="list" allowBlank="1" showInputMessage="1" showErrorMessage="1" xr:uid="{2A2AEDC4-D0A9-4829-B167-3DF31EC3F34A}">
          <x14:formula1>
            <xm:f>BundlingCompatabilityData!B42:B51</xm:f>
          </x14:formula1>
          <xm:sqref>F47</xm:sqref>
        </x14:dataValidation>
        <x14:dataValidation type="list" allowBlank="1" showInputMessage="1" showErrorMessage="1" xr:uid="{B96D37D9-55E2-470B-96EC-50C31DDF7223}">
          <x14:formula1>
            <xm:f>BundlingCompatabilityData!B42:B51</xm:f>
          </x14:formula1>
          <xm:sqref>F48</xm:sqref>
        </x14:dataValidation>
        <x14:dataValidation type="list" allowBlank="1" showInputMessage="1" showErrorMessage="1" xr:uid="{E37339CB-5974-4F3C-822E-3DEEFCE67830}">
          <x14:formula1>
            <xm:f>BundlingCompatabilityData!B42:B51</xm:f>
          </x14:formula1>
          <xm:sqref>F49</xm:sqref>
        </x14:dataValidation>
        <x14:dataValidation type="list" allowBlank="1" showInputMessage="1" showErrorMessage="1" xr:uid="{0AA18368-66B8-4019-A7C3-A593C7DBCE89}">
          <x14:formula1>
            <xm:f>BundlingCompatabilityData!B42:B51</xm:f>
          </x14:formula1>
          <xm:sqref>F50</xm:sqref>
        </x14:dataValidation>
        <x14:dataValidation type="list" allowBlank="1" showInputMessage="1" showErrorMessage="1" xr:uid="{FDDDED9C-C905-4891-B5E6-4E5545DE4266}">
          <x14:formula1>
            <xm:f>BundlingCompatabilityData!B42:B51</xm:f>
          </x14:formula1>
          <xm:sqref>F51</xm:sqref>
        </x14:dataValidation>
        <x14:dataValidation type="list" allowBlank="1" showInputMessage="1" showErrorMessage="1" xr:uid="{3E2455B1-A7EF-4660-885A-8EA60CCC74C2}">
          <x14:formula1>
            <xm:f>BundlingCompatabilityData!B42:B51</xm:f>
          </x14:formula1>
          <xm:sqref>F52</xm:sqref>
        </x14:dataValidation>
        <x14:dataValidation type="list" allowBlank="1" showInputMessage="1" showErrorMessage="1" xr:uid="{4D1D2F20-6782-43C8-B988-82DBC64064F8}">
          <x14:formula1>
            <xm:f>BundlingCompatabilityData!B42:B51</xm:f>
          </x14:formula1>
          <xm:sqref>F53</xm:sqref>
        </x14:dataValidation>
        <x14:dataValidation type="list" allowBlank="1" showInputMessage="1" showErrorMessage="1" xr:uid="{781AE2B8-2A3C-4F8A-ABE9-E668F3954929}">
          <x14:formula1>
            <xm:f>BundlingCompatabilityData!B42:B51</xm:f>
          </x14:formula1>
          <xm:sqref>F54</xm:sqref>
        </x14:dataValidation>
        <x14:dataValidation type="list" allowBlank="1" showInputMessage="1" showErrorMessage="1" xr:uid="{F0568A7B-E13E-4B04-9802-2C7C76C467EB}">
          <x14:formula1>
            <xm:f>BundlingCompatabilityData!B42:B51</xm:f>
          </x14:formula1>
          <xm:sqref>F55</xm:sqref>
        </x14:dataValidation>
        <x14:dataValidation type="list" allowBlank="1" showInputMessage="1" showErrorMessage="1" xr:uid="{06D0F55C-2107-4BE4-A102-F9A82381812A}">
          <x14:formula1>
            <xm:f>BundlingCompatabilityData!B42:B51</xm:f>
          </x14:formula1>
          <xm:sqref>F56</xm:sqref>
        </x14:dataValidation>
        <x14:dataValidation type="list" allowBlank="1" showInputMessage="1" showErrorMessage="1" xr:uid="{8C94BBC6-46C1-4625-BA03-BC24493ADBF5}">
          <x14:formula1>
            <xm:f>BundlingCompatabilityData!B42:B51</xm:f>
          </x14:formula1>
          <xm:sqref>F57</xm:sqref>
        </x14:dataValidation>
        <x14:dataValidation type="list" allowBlank="1" showInputMessage="1" showErrorMessage="1" xr:uid="{C26E6952-383E-4C8B-814B-11C569E7E504}">
          <x14:formula1>
            <xm:f>BundlingCompatabilityData!B42:B51</xm:f>
          </x14:formula1>
          <xm:sqref>F58</xm:sqref>
        </x14:dataValidation>
        <x14:dataValidation type="list" allowBlank="1" showInputMessage="1" showErrorMessage="1" xr:uid="{07CD29CE-4057-4982-9A6E-FEEBBF34B92F}">
          <x14:formula1>
            <xm:f>BundlingCompatabilityData!B42:B51</xm:f>
          </x14:formula1>
          <xm:sqref>F59</xm:sqref>
        </x14:dataValidation>
        <x14:dataValidation type="list" allowBlank="1" showInputMessage="1" showErrorMessage="1" xr:uid="{B7D26B2E-EBC4-4BCC-AAE5-AB441315BDD3}">
          <x14:formula1>
            <xm:f>BundlingCompatabilityData!B42:B51</xm:f>
          </x14:formula1>
          <xm:sqref>F60</xm:sqref>
        </x14:dataValidation>
        <x14:dataValidation type="list" allowBlank="1" showInputMessage="1" showErrorMessage="1" xr:uid="{AFD320E6-DC96-4780-BDBC-371FEE409C25}">
          <x14:formula1>
            <xm:f>BundlingCompatabilityData!B42:B51</xm:f>
          </x14:formula1>
          <xm:sqref>F61</xm:sqref>
        </x14:dataValidation>
        <x14:dataValidation type="list" allowBlank="1" showInputMessage="1" showErrorMessage="1" xr:uid="{5AE5DE1A-3633-4316-ABFF-9E7D706637E7}">
          <x14:formula1>
            <xm:f>BundlingCompatabilityData!B42:B51</xm:f>
          </x14:formula1>
          <xm:sqref>F62</xm:sqref>
        </x14:dataValidation>
        <x14:dataValidation type="list" allowBlank="1" showInputMessage="1" showErrorMessage="1" xr:uid="{9913A0F0-44A5-4842-9B86-246BF7967071}">
          <x14:formula1>
            <xm:f>BundlingCompatabilityData!B42:B51</xm:f>
          </x14:formula1>
          <xm:sqref>F63</xm:sqref>
        </x14:dataValidation>
        <x14:dataValidation type="list" allowBlank="1" showInputMessage="1" showErrorMessage="1" xr:uid="{BC545B7A-7D5A-4007-B201-5CE0BB1123AB}">
          <x14:formula1>
            <xm:f>BundlingCompatabilityData!B42:B51</xm:f>
          </x14:formula1>
          <xm:sqref>F64</xm:sqref>
        </x14:dataValidation>
        <x14:dataValidation type="list" allowBlank="1" showInputMessage="1" showErrorMessage="1" xr:uid="{BD882274-9737-4334-A541-BA6524AFAC0E}">
          <x14:formula1>
            <xm:f>BundlingCompatabilityData!B42:B51</xm:f>
          </x14:formula1>
          <xm:sqref>F65</xm:sqref>
        </x14:dataValidation>
        <x14:dataValidation type="list" allowBlank="1" showInputMessage="1" showErrorMessage="1" xr:uid="{665FE6AC-7B01-474B-8081-8999F77C85CC}">
          <x14:formula1>
            <xm:f>BundlingCompatabilityData!B42:B51</xm:f>
          </x14:formula1>
          <xm:sqref>F66</xm:sqref>
        </x14:dataValidation>
        <x14:dataValidation type="list" allowBlank="1" showInputMessage="1" showErrorMessage="1" xr:uid="{1AB514FC-B7D7-4DE4-9BF2-BE19A9DDE7F3}">
          <x14:formula1>
            <xm:f>BundlingCompatabilityData!B42:B51</xm:f>
          </x14:formula1>
          <xm:sqref>F67</xm:sqref>
        </x14:dataValidation>
        <x14:dataValidation type="list" allowBlank="1" showInputMessage="1" showErrorMessage="1" xr:uid="{81B5CDEF-0A79-4BBE-A84F-A472FDA5EA2F}">
          <x14:formula1>
            <xm:f>BundlingCompatabilityData!B42:B51</xm:f>
          </x14:formula1>
          <xm:sqref>F68</xm:sqref>
        </x14:dataValidation>
        <x14:dataValidation type="list" allowBlank="1" showInputMessage="1" showErrorMessage="1" xr:uid="{9A1C294F-11FF-4475-B288-660DADF8EFF8}">
          <x14:formula1>
            <xm:f>BundlingCompatabilityData!B42:B51</xm:f>
          </x14:formula1>
          <xm:sqref>F69</xm:sqref>
        </x14:dataValidation>
        <x14:dataValidation type="list" allowBlank="1" showInputMessage="1" showErrorMessage="1" xr:uid="{D8794943-15D5-4F07-975B-282A7EDF52DC}">
          <x14:formula1>
            <xm:f>BundlingCompatabilityData!B42:B51</xm:f>
          </x14:formula1>
          <xm:sqref>F70</xm:sqref>
        </x14:dataValidation>
        <x14:dataValidation type="list" allowBlank="1" showInputMessage="1" showErrorMessage="1" xr:uid="{CAFEC92D-2646-4651-8487-8C763B5CF6B9}">
          <x14:formula1>
            <xm:f>BundlingCompatabilityData!B42:B51</xm:f>
          </x14:formula1>
          <xm:sqref>F71</xm:sqref>
        </x14:dataValidation>
        <x14:dataValidation type="list" allowBlank="1" showInputMessage="1" showErrorMessage="1" xr:uid="{C5795AAD-8300-4F12-B6FA-37BE7AA77207}">
          <x14:formula1>
            <xm:f>BundlingCompatabilityData!B42:B51</xm:f>
          </x14:formula1>
          <xm:sqref>F72</xm:sqref>
        </x14:dataValidation>
        <x14:dataValidation type="list" allowBlank="1" showInputMessage="1" showErrorMessage="1" xr:uid="{8D435507-A56A-40AD-8CCE-F1789DD87044}">
          <x14:formula1>
            <xm:f>BundlingCompatabilityData!B42:B51</xm:f>
          </x14:formula1>
          <xm:sqref>F73</xm:sqref>
        </x14:dataValidation>
        <x14:dataValidation type="list" allowBlank="1" showInputMessage="1" showErrorMessage="1" xr:uid="{DB8D1040-7708-4E3E-AA8B-383FEDC30D55}">
          <x14:formula1>
            <xm:f>BundlingCompatabilityData!B42:B51</xm:f>
          </x14:formula1>
          <xm:sqref>F74</xm:sqref>
        </x14:dataValidation>
        <x14:dataValidation type="list" allowBlank="1" showInputMessage="1" showErrorMessage="1" xr:uid="{FFD2FB5E-7E8D-443A-AA49-F28FF53D7510}">
          <x14:formula1>
            <xm:f>BundlingCompatabilityData!B42:B51</xm:f>
          </x14:formula1>
          <xm:sqref>F75</xm:sqref>
        </x14:dataValidation>
        <x14:dataValidation type="list" allowBlank="1" showInputMessage="1" showErrorMessage="1" xr:uid="{7B33170D-1E68-4909-9839-F3BFC60CF7A8}">
          <x14:formula1>
            <xm:f>BundlingCompatabilityData!B42:B51</xm:f>
          </x14:formula1>
          <xm:sqref>F76</xm:sqref>
        </x14:dataValidation>
        <x14:dataValidation type="list" allowBlank="1" showInputMessage="1" showErrorMessage="1" xr:uid="{E7454FB9-1B89-48B8-87BE-FF49DD94815D}">
          <x14:formula1>
            <xm:f>BundlingCompatabilityData!B42:B51</xm:f>
          </x14:formula1>
          <xm:sqref>F77</xm:sqref>
        </x14:dataValidation>
        <x14:dataValidation type="list" allowBlank="1" showInputMessage="1" showErrorMessage="1" xr:uid="{28B7B841-E536-4E3E-97CA-9E3EC3FCF1BA}">
          <x14:formula1>
            <xm:f>BundlingCompatabilityData!B42:B51</xm:f>
          </x14:formula1>
          <xm:sqref>F78</xm:sqref>
        </x14:dataValidation>
        <x14:dataValidation type="list" allowBlank="1" showInputMessage="1" showErrorMessage="1" xr:uid="{A2102E8D-E05D-47AC-990E-9DCC90457FC3}">
          <x14:formula1>
            <xm:f>BundlingCompatabilityData!B42:B51</xm:f>
          </x14:formula1>
          <xm:sqref>F79</xm:sqref>
        </x14:dataValidation>
        <x14:dataValidation type="list" allowBlank="1" showInputMessage="1" showErrorMessage="1" xr:uid="{BE2CEB7C-98A1-44EC-B0E8-A7BAD45EE336}">
          <x14:formula1>
            <xm:f>BundlingCompatabilityData!B42:B51</xm:f>
          </x14:formula1>
          <xm:sqref>F80</xm:sqref>
        </x14:dataValidation>
        <x14:dataValidation type="list" allowBlank="1" showInputMessage="1" showErrorMessage="1" xr:uid="{B6AE1FB9-1D29-4B6D-8FF1-D17CFF80BE63}">
          <x14:formula1>
            <xm:f>BundlingCompatabilityData!B42:B51</xm:f>
          </x14:formula1>
          <xm:sqref>F81</xm:sqref>
        </x14:dataValidation>
        <x14:dataValidation type="list" allowBlank="1" showInputMessage="1" showErrorMessage="1" xr:uid="{732FD87F-9408-4AFE-9819-D03A43CE0E9F}">
          <x14:formula1>
            <xm:f>BundlingCompatabilityData!B42:B51</xm:f>
          </x14:formula1>
          <xm:sqref>F82</xm:sqref>
        </x14:dataValidation>
        <x14:dataValidation type="list" allowBlank="1" showInputMessage="1" showErrorMessage="1" xr:uid="{BA188438-344F-4675-805E-5174C069361E}">
          <x14:formula1>
            <xm:f>BundlingCompatabilityData!B42:B51</xm:f>
          </x14:formula1>
          <xm:sqref>F83</xm:sqref>
        </x14:dataValidation>
        <x14:dataValidation type="list" allowBlank="1" showInputMessage="1" showErrorMessage="1" xr:uid="{C7438635-E848-4FDB-AE7B-CE6C2F5BFC41}">
          <x14:formula1>
            <xm:f>BundlingCompatabilityData!B42:B51</xm:f>
          </x14:formula1>
          <xm:sqref>F84</xm:sqref>
        </x14:dataValidation>
        <x14:dataValidation type="list" allowBlank="1" showInputMessage="1" showErrorMessage="1" xr:uid="{0B7C7C73-EC60-437B-80FD-FF8172E521D1}">
          <x14:formula1>
            <xm:f>BundlingCompatabilityData!B42:B51</xm:f>
          </x14:formula1>
          <xm:sqref>F85</xm:sqref>
        </x14:dataValidation>
        <x14:dataValidation type="list" allowBlank="1" showInputMessage="1" showErrorMessage="1" xr:uid="{51962666-981E-4996-9A5F-EAD5EC4AAA0A}">
          <x14:formula1>
            <xm:f>BundlingCompatabilityData!B42:B51</xm:f>
          </x14:formula1>
          <xm:sqref>F86</xm:sqref>
        </x14:dataValidation>
        <x14:dataValidation type="list" allowBlank="1" showInputMessage="1" showErrorMessage="1" xr:uid="{5C340C86-DA9C-4C8C-BE9A-B3062CC37B48}">
          <x14:formula1>
            <xm:f>BundlingCompatabilityData!B42:B51</xm:f>
          </x14:formula1>
          <xm:sqref>F87</xm:sqref>
        </x14:dataValidation>
        <x14:dataValidation type="list" allowBlank="1" showInputMessage="1" showErrorMessage="1" xr:uid="{83EE5011-68C0-41E9-BE05-14C59C04826C}">
          <x14:formula1>
            <xm:f>BundlingCompatabilityData!B42:B51</xm:f>
          </x14:formula1>
          <xm:sqref>F88</xm:sqref>
        </x14:dataValidation>
        <x14:dataValidation type="list" allowBlank="1" showInputMessage="1" showErrorMessage="1" xr:uid="{3E91307C-BC8A-4CC7-A5ED-5D70D0572369}">
          <x14:formula1>
            <xm:f>BundlingCompatabilityData!B42:B51</xm:f>
          </x14:formula1>
          <xm:sqref>F89</xm:sqref>
        </x14:dataValidation>
        <x14:dataValidation type="list" allowBlank="1" showInputMessage="1" showErrorMessage="1" xr:uid="{6A287CBC-32F1-47B4-AF7F-99C51B0EC22F}">
          <x14:formula1>
            <xm:f>BundlingCompatabilityData!B42:B51</xm:f>
          </x14:formula1>
          <xm:sqref>F90</xm:sqref>
        </x14:dataValidation>
        <x14:dataValidation type="list" allowBlank="1" showInputMessage="1" showErrorMessage="1" xr:uid="{CA593B43-C442-4813-9542-89218DCD4DD4}">
          <x14:formula1>
            <xm:f>BundlingCompatabilityData!B42:B51</xm:f>
          </x14:formula1>
          <xm:sqref>F91</xm:sqref>
        </x14:dataValidation>
        <x14:dataValidation type="list" allowBlank="1" showInputMessage="1" showErrorMessage="1" xr:uid="{A54C32F4-5705-4F30-84C9-954CE6CF41E2}">
          <x14:formula1>
            <xm:f>BundlingCompatabilityData!B42:B51</xm:f>
          </x14:formula1>
          <xm:sqref>F92</xm:sqref>
        </x14:dataValidation>
        <x14:dataValidation type="list" allowBlank="1" showInputMessage="1" showErrorMessage="1" xr:uid="{3384313F-F5F3-4435-9CE0-651D3C0044DE}">
          <x14:formula1>
            <xm:f>BundlingCompatabilityData!B42:B51</xm:f>
          </x14:formula1>
          <xm:sqref>F93</xm:sqref>
        </x14:dataValidation>
        <x14:dataValidation type="list" allowBlank="1" showInputMessage="1" showErrorMessage="1" xr:uid="{C6BC1202-23DD-4D13-845D-39780CAB1231}">
          <x14:formula1>
            <xm:f>BundlingCompatabilityData!B42:B51</xm:f>
          </x14:formula1>
          <xm:sqref>F94</xm:sqref>
        </x14:dataValidation>
        <x14:dataValidation type="list" allowBlank="1" showInputMessage="1" showErrorMessage="1" xr:uid="{8FA1EDAC-FC4F-4D9C-9D8B-ABF0B650ADA2}">
          <x14:formula1>
            <xm:f>BundlingCompatabilityData!B42:B51</xm:f>
          </x14:formula1>
          <xm:sqref>F95</xm:sqref>
        </x14:dataValidation>
        <x14:dataValidation type="list" allowBlank="1" showInputMessage="1" showErrorMessage="1" xr:uid="{82F072E5-BC52-4649-9C86-CFEE4099C38A}">
          <x14:formula1>
            <xm:f>BundlingCompatabilityData!B42:B51</xm:f>
          </x14:formula1>
          <xm:sqref>F96</xm:sqref>
        </x14:dataValidation>
        <x14:dataValidation type="list" allowBlank="1" showInputMessage="1" showErrorMessage="1" xr:uid="{EDE38834-6382-4529-8F40-BA3C1C23B31B}">
          <x14:formula1>
            <xm:f>BundlingCompatabilityData!B42:B51</xm:f>
          </x14:formula1>
          <xm:sqref>F97</xm:sqref>
        </x14:dataValidation>
        <x14:dataValidation type="list" allowBlank="1" showInputMessage="1" showErrorMessage="1" xr:uid="{21F9570E-9862-4A78-8A38-E606C68C3EDA}">
          <x14:formula1>
            <xm:f>BundlingCompatabilityData!B42:B51</xm:f>
          </x14:formula1>
          <xm:sqref>F98</xm:sqref>
        </x14:dataValidation>
        <x14:dataValidation type="list" allowBlank="1" showInputMessage="1" showErrorMessage="1" xr:uid="{666206F1-8ED0-447F-ACE6-6B2AF9208D6B}">
          <x14:formula1>
            <xm:f>BundlingCompatabilityData!B42:B51</xm:f>
          </x14:formula1>
          <xm:sqref>F99</xm:sqref>
        </x14:dataValidation>
        <x14:dataValidation type="list" allowBlank="1" showInputMessage="1" showErrorMessage="1" xr:uid="{1933C001-4A13-4E5A-9AD0-E0649581E679}">
          <x14:formula1>
            <xm:f>BundlingCompatabilityData!B42:B51</xm:f>
          </x14:formula1>
          <xm:sqref>F100</xm:sqref>
        </x14:dataValidation>
        <x14:dataValidation type="list" allowBlank="1" showInputMessage="1" showErrorMessage="1" xr:uid="{385EEC02-3816-4937-9376-6575A13F2C83}">
          <x14:formula1>
            <xm:f>BundlingCompatabilityData!B42:B51</xm:f>
          </x14:formula1>
          <xm:sqref>F101</xm:sqref>
        </x14:dataValidation>
        <x14:dataValidation type="list" allowBlank="1" showInputMessage="1" showErrorMessage="1" xr:uid="{DFBEA6E2-A382-4E88-8B21-ED2112983ED9}">
          <x14:formula1>
            <xm:f>BundlingCompatabilityData!B42:B51</xm:f>
          </x14:formula1>
          <xm:sqref>F102</xm:sqref>
        </x14:dataValidation>
        <x14:dataValidation type="list" allowBlank="1" showInputMessage="1" showErrorMessage="1" xr:uid="{7D9DE72A-871B-455C-90D4-B34F3B9864CF}">
          <x14:formula1>
            <xm:f>BundlingCompatabilityData!B42:B51</xm:f>
          </x14:formula1>
          <xm:sqref>F103</xm:sqref>
        </x14:dataValidation>
        <x14:dataValidation type="list" allowBlank="1" showInputMessage="1" showErrorMessage="1" xr:uid="{4170A8BE-AB86-4D0F-BFFF-54E14E6CAC8E}">
          <x14:formula1>
            <xm:f>BundlingCompatabilityData!B42:B51</xm:f>
          </x14:formula1>
          <xm:sqref>F104</xm:sqref>
        </x14:dataValidation>
        <x14:dataValidation type="list" allowBlank="1" showInputMessage="1" showErrorMessage="1" xr:uid="{C77CC81B-8C0A-4F92-AD77-0497B5299E04}">
          <x14:formula1>
            <xm:f>BundlingCompatabilityData!B42:B51</xm:f>
          </x14:formula1>
          <xm:sqref>F105</xm:sqref>
        </x14:dataValidation>
        <x14:dataValidation type="list" allowBlank="1" showInputMessage="1" showErrorMessage="1" xr:uid="{2CB228D3-F6B0-4B27-B8CA-747CF6CE56ED}">
          <x14:formula1>
            <xm:f>BundlingCompatabilityData!B42:B51</xm:f>
          </x14:formula1>
          <xm:sqref>F106</xm:sqref>
        </x14:dataValidation>
        <x14:dataValidation type="list" allowBlank="1" showInputMessage="1" showErrorMessage="1" xr:uid="{48ED7C0B-E081-4783-80B7-705667F01456}">
          <x14:formula1>
            <xm:f>BundlingCompatabilityData!B42:B51</xm:f>
          </x14:formula1>
          <xm:sqref>F107</xm:sqref>
        </x14:dataValidation>
        <x14:dataValidation type="list" allowBlank="1" showInputMessage="1" showErrorMessage="1" xr:uid="{3903C91F-81F4-4963-A6C3-8EDEFCE7106C}">
          <x14:formula1>
            <xm:f>BundlingCompatabilityData!B42:B51</xm:f>
          </x14:formula1>
          <xm:sqref>F108</xm:sqref>
        </x14:dataValidation>
        <x14:dataValidation type="list" allowBlank="1" showInputMessage="1" showErrorMessage="1" xr:uid="{2CF07AD5-CF2C-4810-A2F7-4B8F42A7EB4A}">
          <x14:formula1>
            <xm:f>BundlingCompatabilityData!B42:B51</xm:f>
          </x14:formula1>
          <xm:sqref>F109</xm:sqref>
        </x14:dataValidation>
        <x14:dataValidation type="list" allowBlank="1" showInputMessage="1" showErrorMessage="1" xr:uid="{45530B2D-20AF-4346-99B6-6F1462B4E08B}">
          <x14:formula1>
            <xm:f>BundlingCompatabilityData!B42:B51</xm:f>
          </x14:formula1>
          <xm:sqref>F110</xm:sqref>
        </x14:dataValidation>
        <x14:dataValidation type="list" allowBlank="1" showInputMessage="1" showErrorMessage="1" xr:uid="{2DA0EE62-E6A9-473C-A421-C4CA919905F3}">
          <x14:formula1>
            <xm:f>BundlingCompatabilityData!B42:B51</xm:f>
          </x14:formula1>
          <xm:sqref>F111</xm:sqref>
        </x14:dataValidation>
        <x14:dataValidation type="list" allowBlank="1" showInputMessage="1" showErrorMessage="1" xr:uid="{BB5F148F-7D78-459F-9248-21C1BABD5A59}">
          <x14:formula1>
            <xm:f>BundlingCompatabilityData!B42:B51</xm:f>
          </x14:formula1>
          <xm:sqref>F112</xm:sqref>
        </x14:dataValidation>
        <x14:dataValidation type="list" allowBlank="1" showInputMessage="1" showErrorMessage="1" xr:uid="{0AEE3ECD-8523-4C22-8D50-120EAF4241CA}">
          <x14:formula1>
            <xm:f>BundlingCompatabilityData!B42:B51</xm:f>
          </x14:formula1>
          <xm:sqref>F113</xm:sqref>
        </x14:dataValidation>
        <x14:dataValidation type="list" allowBlank="1" showInputMessage="1" showErrorMessage="1" xr:uid="{F2AA92DC-B9F7-4768-8E47-7F0630B955C6}">
          <x14:formula1>
            <xm:f>BundlingCompatabilityData!B42:B51</xm:f>
          </x14:formula1>
          <xm:sqref>F114</xm:sqref>
        </x14:dataValidation>
        <x14:dataValidation type="list" allowBlank="1" showInputMessage="1" showErrorMessage="1" xr:uid="{3F216BBA-A4E8-4512-B668-EDB15D30BB4C}">
          <x14:formula1>
            <xm:f>BundlingCompatabilityData!B42:B51</xm:f>
          </x14:formula1>
          <xm:sqref>F115</xm:sqref>
        </x14:dataValidation>
        <x14:dataValidation type="list" allowBlank="1" showInputMessage="1" showErrorMessage="1" xr:uid="{624AE1D7-7D33-4993-9FAC-A679363F2BB7}">
          <x14:formula1>
            <xm:f>BundlingCompatabilityData!B42:B51</xm:f>
          </x14:formula1>
          <xm:sqref>F116</xm:sqref>
        </x14:dataValidation>
        <x14:dataValidation type="list" allowBlank="1" showInputMessage="1" showErrorMessage="1" xr:uid="{31742059-9C57-4314-9FFA-2BE7D60AB3F7}">
          <x14:formula1>
            <xm:f>BundlingCompatabilityData!B42:B51</xm:f>
          </x14:formula1>
          <xm:sqref>F117</xm:sqref>
        </x14:dataValidation>
        <x14:dataValidation type="list" allowBlank="1" showInputMessage="1" showErrorMessage="1" xr:uid="{F0EEED13-6B87-45F7-BB03-3F2F00749091}">
          <x14:formula1>
            <xm:f>BundlingCompatabilityData!B42:B51</xm:f>
          </x14:formula1>
          <xm:sqref>F118</xm:sqref>
        </x14:dataValidation>
        <x14:dataValidation type="list" allowBlank="1" showInputMessage="1" showErrorMessage="1" xr:uid="{0F562CA3-1326-442B-9D7F-538A2FEB8E0C}">
          <x14:formula1>
            <xm:f>BundlingCompatabilityData!B42:B51</xm:f>
          </x14:formula1>
          <xm:sqref>F119</xm:sqref>
        </x14:dataValidation>
        <x14:dataValidation type="list" allowBlank="1" showInputMessage="1" showErrorMessage="1" xr:uid="{D4E8CC38-FD7D-4877-A003-4D93209D89B4}">
          <x14:formula1>
            <xm:f>BundlingCompatabilityData!B42:B51</xm:f>
          </x14:formula1>
          <xm:sqref>F120</xm:sqref>
        </x14:dataValidation>
        <x14:dataValidation type="list" allowBlank="1" showInputMessage="1" showErrorMessage="1" xr:uid="{2A928965-40A5-4F49-8086-D7338A9F91CA}">
          <x14:formula1>
            <xm:f>BundlingCompatabilityData!B42:B51</xm:f>
          </x14:formula1>
          <xm:sqref>F121</xm:sqref>
        </x14:dataValidation>
        <x14:dataValidation type="list" allowBlank="1" showInputMessage="1" showErrorMessage="1" xr:uid="{F26AC71E-5E07-4515-8BEA-9DCF60A2DDAE}">
          <x14:formula1>
            <xm:f>BundlingCompatabilityData!B42:B51</xm:f>
          </x14:formula1>
          <xm:sqref>F122</xm:sqref>
        </x14:dataValidation>
        <x14:dataValidation type="list" allowBlank="1" showInputMessage="1" showErrorMessage="1" xr:uid="{B747FE8E-48B5-4FD5-93DA-6D04843F34CF}">
          <x14:formula1>
            <xm:f>BundlingCompatabilityData!B42:B51</xm:f>
          </x14:formula1>
          <xm:sqref>F123</xm:sqref>
        </x14:dataValidation>
        <x14:dataValidation type="list" allowBlank="1" showInputMessage="1" showErrorMessage="1" xr:uid="{51BF35A2-2D10-4160-9BF4-4E2F5FDF0E60}">
          <x14:formula1>
            <xm:f>BundlingCompatabilityData!B42:B51</xm:f>
          </x14:formula1>
          <xm:sqref>F124</xm:sqref>
        </x14:dataValidation>
        <x14:dataValidation type="list" allowBlank="1" showInputMessage="1" showErrorMessage="1" xr:uid="{DB2D140C-220D-403E-A7D0-D76A6C36B263}">
          <x14:formula1>
            <xm:f>BundlingCompatabilityData!B42:B51</xm:f>
          </x14:formula1>
          <xm:sqref>F125</xm:sqref>
        </x14:dataValidation>
        <x14:dataValidation type="list" allowBlank="1" showInputMessage="1" showErrorMessage="1" xr:uid="{863F0782-8155-4DC8-A901-39F8968E5E37}">
          <x14:formula1>
            <xm:f>BundlingCompatabilityData!B42:B51</xm:f>
          </x14:formula1>
          <xm:sqref>F126</xm:sqref>
        </x14:dataValidation>
        <x14:dataValidation type="list" allowBlank="1" showInputMessage="1" showErrorMessage="1" xr:uid="{0A1D15C4-CA67-44E1-9993-FD905ABD7219}">
          <x14:formula1>
            <xm:f>BundlingCompatabilityData!B42:B51</xm:f>
          </x14:formula1>
          <xm:sqref>F127</xm:sqref>
        </x14:dataValidation>
        <x14:dataValidation type="list" allowBlank="1" showInputMessage="1" showErrorMessage="1" xr:uid="{180C6530-8C43-428F-9D17-92A4EA702BDD}">
          <x14:formula1>
            <xm:f>BundlingCompatabilityData!B42:B51</xm:f>
          </x14:formula1>
          <xm:sqref>F128</xm:sqref>
        </x14:dataValidation>
        <x14:dataValidation type="list" allowBlank="1" showInputMessage="1" showErrorMessage="1" xr:uid="{4E2A2CA1-D618-4D24-B218-84445615B0D0}">
          <x14:formula1>
            <xm:f>BundlingCompatabilityData!B42:B51</xm:f>
          </x14:formula1>
          <xm:sqref>F129</xm:sqref>
        </x14:dataValidation>
        <x14:dataValidation type="list" allowBlank="1" showInputMessage="1" showErrorMessage="1" xr:uid="{43EC9AF8-A72E-45F9-9654-E87FB38FC36F}">
          <x14:formula1>
            <xm:f>BundlingCompatabilityData!B42:B51</xm:f>
          </x14:formula1>
          <xm:sqref>F130</xm:sqref>
        </x14:dataValidation>
        <x14:dataValidation type="list" allowBlank="1" showInputMessage="1" showErrorMessage="1" xr:uid="{4F59BF74-BF91-43F7-9B16-57A0123DA8EC}">
          <x14:formula1>
            <xm:f>BundlingCompatabilityData!B42:B51</xm:f>
          </x14:formula1>
          <xm:sqref>F131</xm:sqref>
        </x14:dataValidation>
        <x14:dataValidation type="list" allowBlank="1" showInputMessage="1" showErrorMessage="1" xr:uid="{6EFE564E-E5B3-4A8E-901A-D098122F0CCB}">
          <x14:formula1>
            <xm:f>BundlingCompatabilityData!B42:B51</xm:f>
          </x14:formula1>
          <xm:sqref>F132</xm:sqref>
        </x14:dataValidation>
        <x14:dataValidation type="list" allowBlank="1" showInputMessage="1" showErrorMessage="1" xr:uid="{FA509930-8467-4FA7-9F50-7B04F5BE8D08}">
          <x14:formula1>
            <xm:f>BundlingCompatabilityData!B42:B51</xm:f>
          </x14:formula1>
          <xm:sqref>F133</xm:sqref>
        </x14:dataValidation>
        <x14:dataValidation type="list" allowBlank="1" showInputMessage="1" showErrorMessage="1" xr:uid="{EB09C078-8E1B-4E1F-81AD-32C7C5A55DCE}">
          <x14:formula1>
            <xm:f>BundlingCompatabilityData!B42:B51</xm:f>
          </x14:formula1>
          <xm:sqref>F134</xm:sqref>
        </x14:dataValidation>
        <x14:dataValidation type="list" allowBlank="1" showInputMessage="1" showErrorMessage="1" xr:uid="{FB8A707E-95CE-42A6-ABF2-0B7A775E5931}">
          <x14:formula1>
            <xm:f>BundlingCompatabilityData!B42:B51</xm:f>
          </x14:formula1>
          <xm:sqref>F135</xm:sqref>
        </x14:dataValidation>
        <x14:dataValidation type="list" allowBlank="1" showInputMessage="1" showErrorMessage="1" xr:uid="{3F245AC4-D2ED-4947-9F29-8EC91D819D30}">
          <x14:formula1>
            <xm:f>BundlingCompatabilityData!B42:B51</xm:f>
          </x14:formula1>
          <xm:sqref>F136</xm:sqref>
        </x14:dataValidation>
        <x14:dataValidation type="list" allowBlank="1" showInputMessage="1" showErrorMessage="1" xr:uid="{BD32BB71-C26D-4066-81A0-D7B2A8F75316}">
          <x14:formula1>
            <xm:f>BundlingCompatabilityData!B42:B51</xm:f>
          </x14:formula1>
          <xm:sqref>F137</xm:sqref>
        </x14:dataValidation>
        <x14:dataValidation type="list" allowBlank="1" showInputMessage="1" showErrorMessage="1" xr:uid="{ABF5073E-F4A9-4319-8B9D-D52169DB35C6}">
          <x14:formula1>
            <xm:f>BundlingCompatabilityData!B42:B51</xm:f>
          </x14:formula1>
          <xm:sqref>F138</xm:sqref>
        </x14:dataValidation>
        <x14:dataValidation type="list" allowBlank="1" showInputMessage="1" showErrorMessage="1" xr:uid="{AD8FC9E0-F4B2-4DA2-AD7A-4330247E9E52}">
          <x14:formula1>
            <xm:f>BundlingCompatabilityData!B42:B51</xm:f>
          </x14:formula1>
          <xm:sqref>F139</xm:sqref>
        </x14:dataValidation>
        <x14:dataValidation type="list" allowBlank="1" showInputMessage="1" showErrorMessage="1" xr:uid="{0300456A-A51A-4C4B-98F5-4576FE56447C}">
          <x14:formula1>
            <xm:f>BundlingCompatabilityData!B42:B51</xm:f>
          </x14:formula1>
          <xm:sqref>F140</xm:sqref>
        </x14:dataValidation>
        <x14:dataValidation type="list" allowBlank="1" showInputMessage="1" showErrorMessage="1" xr:uid="{EA89CA0A-6BFC-47AE-ACFF-AFE8E59CA569}">
          <x14:formula1>
            <xm:f>BundlingCompatabilityData!B42:B51</xm:f>
          </x14:formula1>
          <xm:sqref>F141</xm:sqref>
        </x14:dataValidation>
        <x14:dataValidation type="list" allowBlank="1" showInputMessage="1" showErrorMessage="1" xr:uid="{9B540BEC-923C-487D-BCAD-333C41EE1F55}">
          <x14:formula1>
            <xm:f>BundlingCompatabilityData!B42:B51</xm:f>
          </x14:formula1>
          <xm:sqref>F142</xm:sqref>
        </x14:dataValidation>
        <x14:dataValidation type="list" allowBlank="1" showInputMessage="1" showErrorMessage="1" xr:uid="{C3186263-8992-4D1E-96C5-5D45156C6737}">
          <x14:formula1>
            <xm:f>BundlingCompatabilityData!B42:B51</xm:f>
          </x14:formula1>
          <xm:sqref>F143</xm:sqref>
        </x14:dataValidation>
        <x14:dataValidation type="list" allowBlank="1" showInputMessage="1" showErrorMessage="1" xr:uid="{745EEAD3-5E38-4EDF-BA52-B64F5E5DEE0E}">
          <x14:formula1>
            <xm:f>BundlingCompatabilityData!B42:B51</xm:f>
          </x14:formula1>
          <xm:sqref>F144</xm:sqref>
        </x14:dataValidation>
        <x14:dataValidation type="list" allowBlank="1" showInputMessage="1" showErrorMessage="1" xr:uid="{662E88E7-372D-4E1F-8A37-4953C2E8E1D2}">
          <x14:formula1>
            <xm:f>BundlingCompatabilityData!B42:B51</xm:f>
          </x14:formula1>
          <xm:sqref>F145</xm:sqref>
        </x14:dataValidation>
        <x14:dataValidation type="list" allowBlank="1" showInputMessage="1" showErrorMessage="1" xr:uid="{C921E258-7E1E-4C73-AA90-B871386B3CD5}">
          <x14:formula1>
            <xm:f>BundlingCompatabilityData!B42:B51</xm:f>
          </x14:formula1>
          <xm:sqref>F146</xm:sqref>
        </x14:dataValidation>
        <x14:dataValidation type="list" allowBlank="1" showInputMessage="1" showErrorMessage="1" xr:uid="{56DAC525-B45C-4DEF-BD42-D97DEA0539C1}">
          <x14:formula1>
            <xm:f>BundlingCompatabilityData!B42:B51</xm:f>
          </x14:formula1>
          <xm:sqref>F147</xm:sqref>
        </x14:dataValidation>
        <x14:dataValidation type="list" allowBlank="1" showInputMessage="1" showErrorMessage="1" xr:uid="{FC2728D9-8248-414D-B672-7BCA2158AE34}">
          <x14:formula1>
            <xm:f>BundlingCompatabilityData!B42:B51</xm:f>
          </x14:formula1>
          <xm:sqref>F148</xm:sqref>
        </x14:dataValidation>
        <x14:dataValidation type="list" allowBlank="1" showInputMessage="1" showErrorMessage="1" xr:uid="{30AF7346-69AD-4E8A-B6E6-8BE4E5242F50}">
          <x14:formula1>
            <xm:f>BundlingCompatabilityData!B42:B51</xm:f>
          </x14:formula1>
          <xm:sqref>F149</xm:sqref>
        </x14:dataValidation>
        <x14:dataValidation type="list" allowBlank="1" showInputMessage="1" showErrorMessage="1" xr:uid="{895DF57E-6001-4C71-A574-13ABB983B46F}">
          <x14:formula1>
            <xm:f>BundlingCompatabilityData!B42:B51</xm:f>
          </x14:formula1>
          <xm:sqref>F150</xm:sqref>
        </x14:dataValidation>
        <x14:dataValidation type="list" allowBlank="1" showInputMessage="1" showErrorMessage="1" xr:uid="{DE0BBA80-ABBB-4101-BF0A-A13474AA00E1}">
          <x14:formula1>
            <xm:f>BundlingCompatabilityData!B42:B51</xm:f>
          </x14:formula1>
          <xm:sqref>F151</xm:sqref>
        </x14:dataValidation>
        <x14:dataValidation type="list" allowBlank="1" showInputMessage="1" showErrorMessage="1" xr:uid="{1578714E-5402-45B9-9672-ED6AEA9B6A60}">
          <x14:formula1>
            <xm:f>BundlingCompatabilityData!B42:B51</xm:f>
          </x14:formula1>
          <xm:sqref>F152</xm:sqref>
        </x14:dataValidation>
        <x14:dataValidation type="list" allowBlank="1" showInputMessage="1" showErrorMessage="1" xr:uid="{D4225BCB-F6EA-4EF1-B2E5-8B5D08E013BD}">
          <x14:formula1>
            <xm:f>BundlingCompatabilityData!B42:B51</xm:f>
          </x14:formula1>
          <xm:sqref>F153</xm:sqref>
        </x14:dataValidation>
        <x14:dataValidation type="list" allowBlank="1" showInputMessage="1" showErrorMessage="1" xr:uid="{07D3A21A-8BD0-4440-9CA3-5BEACAE9BD8E}">
          <x14:formula1>
            <xm:f>BundlingCompatabilityData!B42:B51</xm:f>
          </x14:formula1>
          <xm:sqref>F154</xm:sqref>
        </x14:dataValidation>
        <x14:dataValidation type="list" allowBlank="1" showInputMessage="1" showErrorMessage="1" xr:uid="{520DBCB6-9B6C-497D-BD97-651CA5703109}">
          <x14:formula1>
            <xm:f>BundlingCompatabilityData!B42:B51</xm:f>
          </x14:formula1>
          <xm:sqref>F155</xm:sqref>
        </x14:dataValidation>
        <x14:dataValidation type="list" allowBlank="1" showInputMessage="1" showErrorMessage="1" xr:uid="{5173EC5D-F674-461F-BF38-EB5B4929457F}">
          <x14:formula1>
            <xm:f>BundlingCompatabilityData!B42:B51</xm:f>
          </x14:formula1>
          <xm:sqref>F156</xm:sqref>
        </x14:dataValidation>
        <x14:dataValidation type="list" allowBlank="1" showInputMessage="1" showErrorMessage="1" xr:uid="{6365F824-2734-4381-8959-427108F75284}">
          <x14:formula1>
            <xm:f>BundlingCompatabilityData!B42:B51</xm:f>
          </x14:formula1>
          <xm:sqref>F157</xm:sqref>
        </x14:dataValidation>
        <x14:dataValidation type="list" allowBlank="1" showInputMessage="1" showErrorMessage="1" xr:uid="{75E8D1D3-E91E-4D5B-B30B-D09FC4678A25}">
          <x14:formula1>
            <xm:f>BundlingCompatabilityData!B42:B51</xm:f>
          </x14:formula1>
          <xm:sqref>F158</xm:sqref>
        </x14:dataValidation>
        <x14:dataValidation type="list" allowBlank="1" showInputMessage="1" showErrorMessage="1" xr:uid="{5C957A48-856F-4B45-9CFD-2A15B152E792}">
          <x14:formula1>
            <xm:f>BundlingCompatabilityData!B42:B51</xm:f>
          </x14:formula1>
          <xm:sqref>F159</xm:sqref>
        </x14:dataValidation>
        <x14:dataValidation type="list" allowBlank="1" showInputMessage="1" showErrorMessage="1" xr:uid="{62A56D69-0433-4E03-826B-45ED0486CA26}">
          <x14:formula1>
            <xm:f>BundlingCompatabilityData!B42:B51</xm:f>
          </x14:formula1>
          <xm:sqref>F160</xm:sqref>
        </x14:dataValidation>
        <x14:dataValidation type="list" allowBlank="1" showInputMessage="1" showErrorMessage="1" xr:uid="{E64D0F4C-7EAE-469C-9245-DF2594CF3F62}">
          <x14:formula1>
            <xm:f>BundlingCompatabilityData!B42:B51</xm:f>
          </x14:formula1>
          <xm:sqref>F161</xm:sqref>
        </x14:dataValidation>
        <x14:dataValidation type="list" allowBlank="1" showInputMessage="1" showErrorMessage="1" xr:uid="{3714E05D-1BA6-401D-B3BA-291D3048C9FB}">
          <x14:formula1>
            <xm:f>BundlingCompatabilityData!B42:B51</xm:f>
          </x14:formula1>
          <xm:sqref>F162</xm:sqref>
        </x14:dataValidation>
        <x14:dataValidation type="list" allowBlank="1" showInputMessage="1" showErrorMessage="1" xr:uid="{02C09874-AACC-4ABC-86F4-0896FDF32BF0}">
          <x14:formula1>
            <xm:f>BundlingCompatabilityData!B42:B51</xm:f>
          </x14:formula1>
          <xm:sqref>F163</xm:sqref>
        </x14:dataValidation>
        <x14:dataValidation type="list" allowBlank="1" showInputMessage="1" showErrorMessage="1" xr:uid="{B8E2150E-D723-48BB-A507-85B382497D5F}">
          <x14:formula1>
            <xm:f>BundlingCompatabilityData!B42:B51</xm:f>
          </x14:formula1>
          <xm:sqref>F164</xm:sqref>
        </x14:dataValidation>
        <x14:dataValidation type="list" allowBlank="1" showInputMessage="1" showErrorMessage="1" xr:uid="{53B28A4B-35BC-4E27-937A-C583279C153F}">
          <x14:formula1>
            <xm:f>BundlingCompatabilityData!B42:B51</xm:f>
          </x14:formula1>
          <xm:sqref>F165</xm:sqref>
        </x14:dataValidation>
        <x14:dataValidation type="list" allowBlank="1" showInputMessage="1" showErrorMessage="1" xr:uid="{BEE9E73E-C69A-4861-BF9F-959C0FE1911D}">
          <x14:formula1>
            <xm:f>BundlingCompatabilityData!B42:B51</xm:f>
          </x14:formula1>
          <xm:sqref>F166</xm:sqref>
        </x14:dataValidation>
        <x14:dataValidation type="list" allowBlank="1" showInputMessage="1" showErrorMessage="1" xr:uid="{B1FFBFC5-CBA8-454B-B37B-6A49E9B128A8}">
          <x14:formula1>
            <xm:f>BundlingCompatabilityData!B42:B51</xm:f>
          </x14:formula1>
          <xm:sqref>F167</xm:sqref>
        </x14:dataValidation>
        <x14:dataValidation type="list" allowBlank="1" showInputMessage="1" showErrorMessage="1" xr:uid="{4DCEFA90-B3DC-4530-985D-1CF34FA34599}">
          <x14:formula1>
            <xm:f>BundlingCompatabilityData!B42:B51</xm:f>
          </x14:formula1>
          <xm:sqref>F168</xm:sqref>
        </x14:dataValidation>
        <x14:dataValidation type="list" allowBlank="1" showInputMessage="1" showErrorMessage="1" xr:uid="{CB93A3F4-22B7-4979-9E51-DB1EA05B487A}">
          <x14:formula1>
            <xm:f>BundlingCompatabilityData!B42:B51</xm:f>
          </x14:formula1>
          <xm:sqref>F169</xm:sqref>
        </x14:dataValidation>
        <x14:dataValidation type="list" allowBlank="1" showInputMessage="1" showErrorMessage="1" xr:uid="{509FF0DA-65C4-4317-A87C-8ADFBD441E64}">
          <x14:formula1>
            <xm:f>BundlingCompatabilityData!B42:B51</xm:f>
          </x14:formula1>
          <xm:sqref>F170</xm:sqref>
        </x14:dataValidation>
        <x14:dataValidation type="list" allowBlank="1" showInputMessage="1" showErrorMessage="1" xr:uid="{A626F610-8DF8-4F31-8693-68E735D68409}">
          <x14:formula1>
            <xm:f>BundlingCompatabilityData!B42:B51</xm:f>
          </x14:formula1>
          <xm:sqref>F171</xm:sqref>
        </x14:dataValidation>
        <x14:dataValidation type="list" allowBlank="1" showInputMessage="1" showErrorMessage="1" xr:uid="{CCBF5747-D7AA-488D-99B6-3967AA934551}">
          <x14:formula1>
            <xm:f>BundlingCompatabilityData!B42:B51</xm:f>
          </x14:formula1>
          <xm:sqref>F172</xm:sqref>
        </x14:dataValidation>
        <x14:dataValidation type="list" allowBlank="1" showInputMessage="1" showErrorMessage="1" xr:uid="{468D777B-1456-4AA0-A4DD-85B450D87978}">
          <x14:formula1>
            <xm:f>BundlingCompatabilityData!B42:B51</xm:f>
          </x14:formula1>
          <xm:sqref>F173</xm:sqref>
        </x14:dataValidation>
        <x14:dataValidation type="list" allowBlank="1" showInputMessage="1" showErrorMessage="1" xr:uid="{2B9D3A02-A661-4E29-BB1C-462B9C57DEAA}">
          <x14:formula1>
            <xm:f>BundlingCompatabilityData!B42:B51</xm:f>
          </x14:formula1>
          <xm:sqref>F174</xm:sqref>
        </x14:dataValidation>
        <x14:dataValidation type="list" allowBlank="1" showInputMessage="1" showErrorMessage="1" xr:uid="{0231565F-E94E-4B30-8A4A-5B98F78D8708}">
          <x14:formula1>
            <xm:f>BundlingCompatabilityData!B42:B51</xm:f>
          </x14:formula1>
          <xm:sqref>F175</xm:sqref>
        </x14:dataValidation>
        <x14:dataValidation type="list" allowBlank="1" showInputMessage="1" showErrorMessage="1" xr:uid="{3B4317F2-DC21-4B8C-9B41-40350871847B}">
          <x14:formula1>
            <xm:f>BundlingCompatabilityData!B42:B51</xm:f>
          </x14:formula1>
          <xm:sqref>F176</xm:sqref>
        </x14:dataValidation>
        <x14:dataValidation type="list" allowBlank="1" showInputMessage="1" showErrorMessage="1" xr:uid="{E7A72AFF-E9B8-4157-AE78-05F7590F8F96}">
          <x14:formula1>
            <xm:f>BundlingCompatabilityData!B42:B51</xm:f>
          </x14:formula1>
          <xm:sqref>F177</xm:sqref>
        </x14:dataValidation>
        <x14:dataValidation type="list" allowBlank="1" showInputMessage="1" showErrorMessage="1" xr:uid="{40944984-FC0E-4502-9A1F-112C6E056CB0}">
          <x14:formula1>
            <xm:f>BundlingCompatabilityData!B42:B51</xm:f>
          </x14:formula1>
          <xm:sqref>F178</xm:sqref>
        </x14:dataValidation>
        <x14:dataValidation type="list" allowBlank="1" showInputMessage="1" showErrorMessage="1" xr:uid="{44934D7B-1A89-48C3-8185-BCB7FAC8D144}">
          <x14:formula1>
            <xm:f>BundlingCompatabilityData!B42:B51</xm:f>
          </x14:formula1>
          <xm:sqref>F179</xm:sqref>
        </x14:dataValidation>
        <x14:dataValidation type="list" allowBlank="1" showInputMessage="1" showErrorMessage="1" xr:uid="{08064C0C-0546-4E29-BFF2-F940FEB0CC73}">
          <x14:formula1>
            <xm:f>BundlingCompatabilityData!B42:B51</xm:f>
          </x14:formula1>
          <xm:sqref>F180</xm:sqref>
        </x14:dataValidation>
        <x14:dataValidation type="list" allowBlank="1" showInputMessage="1" showErrorMessage="1" xr:uid="{B91545F1-5AC7-40B8-AA84-96D9D4C177A2}">
          <x14:formula1>
            <xm:f>BundlingCompatabilityData!B42:B51</xm:f>
          </x14:formula1>
          <xm:sqref>F181</xm:sqref>
        </x14:dataValidation>
        <x14:dataValidation type="list" allowBlank="1" showInputMessage="1" showErrorMessage="1" xr:uid="{6283D324-0FE8-448A-9819-B910237192D7}">
          <x14:formula1>
            <xm:f>BundlingCompatabilityData!B42:B51</xm:f>
          </x14:formula1>
          <xm:sqref>F182</xm:sqref>
        </x14:dataValidation>
        <x14:dataValidation type="list" allowBlank="1" showInputMessage="1" showErrorMessage="1" xr:uid="{E1F2F46D-228D-4E63-9763-097AB28CE461}">
          <x14:formula1>
            <xm:f>BundlingCompatabilityData!B42:B51</xm:f>
          </x14:formula1>
          <xm:sqref>F183</xm:sqref>
        </x14:dataValidation>
        <x14:dataValidation type="list" allowBlank="1" showInputMessage="1" showErrorMessage="1" xr:uid="{2698CB64-CB0F-4BD2-950E-45DD88A23432}">
          <x14:formula1>
            <xm:f>BundlingCompatabilityData!B42:B51</xm:f>
          </x14:formula1>
          <xm:sqref>F184</xm:sqref>
        </x14:dataValidation>
        <x14:dataValidation type="list" allowBlank="1" showInputMessage="1" showErrorMessage="1" xr:uid="{CF60B85C-9036-48B9-8828-48AC580B7BA3}">
          <x14:formula1>
            <xm:f>BundlingCompatabilityData!B42:B51</xm:f>
          </x14:formula1>
          <xm:sqref>F185</xm:sqref>
        </x14:dataValidation>
        <x14:dataValidation type="list" allowBlank="1" showInputMessage="1" showErrorMessage="1" xr:uid="{6016E6D6-7A93-49FD-A9A4-0B32DA50F3E3}">
          <x14:formula1>
            <xm:f>BundlingCompatabilityData!B42:B51</xm:f>
          </x14:formula1>
          <xm:sqref>F186</xm:sqref>
        </x14:dataValidation>
        <x14:dataValidation type="list" allowBlank="1" showInputMessage="1" showErrorMessage="1" xr:uid="{B3066082-E7AF-48D6-9804-CA3651A291B6}">
          <x14:formula1>
            <xm:f>BundlingCompatabilityData!B42:B51</xm:f>
          </x14:formula1>
          <xm:sqref>F187</xm:sqref>
        </x14:dataValidation>
        <x14:dataValidation type="list" allowBlank="1" showInputMessage="1" showErrorMessage="1" xr:uid="{4FD63115-301E-423E-BA3A-E9DFAD3F6CAB}">
          <x14:formula1>
            <xm:f>BundlingCompatabilityData!B42:B51</xm:f>
          </x14:formula1>
          <xm:sqref>F188</xm:sqref>
        </x14:dataValidation>
        <x14:dataValidation type="list" allowBlank="1" showInputMessage="1" showErrorMessage="1" xr:uid="{8FBFA0E9-A75F-4773-B3A5-748DA15CEB62}">
          <x14:formula1>
            <xm:f>BundlingCompatabilityData!B42:B51</xm:f>
          </x14:formula1>
          <xm:sqref>F189</xm:sqref>
        </x14:dataValidation>
        <x14:dataValidation type="list" allowBlank="1" showInputMessage="1" showErrorMessage="1" xr:uid="{FF8F242F-9DC4-46D1-94AE-15DBA9068F2A}">
          <x14:formula1>
            <xm:f>BundlingCompatabilityData!B42:B51</xm:f>
          </x14:formula1>
          <xm:sqref>F190</xm:sqref>
        </x14:dataValidation>
        <x14:dataValidation type="list" allowBlank="1" showInputMessage="1" showErrorMessage="1" xr:uid="{E411E42C-425E-4DAA-B83B-20F96EF710F2}">
          <x14:formula1>
            <xm:f>BundlingCompatabilityData!B42:B51</xm:f>
          </x14:formula1>
          <xm:sqref>F191</xm:sqref>
        </x14:dataValidation>
        <x14:dataValidation type="list" allowBlank="1" showInputMessage="1" showErrorMessage="1" xr:uid="{0A95EC3A-E033-4093-B4C8-F7E3CE5E63D5}">
          <x14:formula1>
            <xm:f>BundlingCompatabilityData!B42:B51</xm:f>
          </x14:formula1>
          <xm:sqref>F192</xm:sqref>
        </x14:dataValidation>
        <x14:dataValidation type="list" allowBlank="1" showInputMessage="1" showErrorMessage="1" xr:uid="{87494051-C91B-4B1F-9A10-6CAE565550EB}">
          <x14:formula1>
            <xm:f>BundlingCompatabilityData!B42:B51</xm:f>
          </x14:formula1>
          <xm:sqref>F193</xm:sqref>
        </x14:dataValidation>
        <x14:dataValidation type="list" allowBlank="1" showInputMessage="1" showErrorMessage="1" xr:uid="{7B9A7240-3DE2-41C3-99BD-970D8E02D2BF}">
          <x14:formula1>
            <xm:f>BundlingCompatabilityData!B58:B67</xm:f>
          </x14:formula1>
          <xm:sqref>G17</xm:sqref>
        </x14:dataValidation>
        <x14:dataValidation type="list" allowBlank="1" showInputMessage="1" showErrorMessage="1" xr:uid="{75161B57-3165-48EF-9974-CC7F2E22B5C1}">
          <x14:formula1>
            <xm:f>BundlingCompatabilityData!B58:B67</xm:f>
          </x14:formula1>
          <xm:sqref>G18</xm:sqref>
        </x14:dataValidation>
        <x14:dataValidation type="list" allowBlank="1" showInputMessage="1" showErrorMessage="1" xr:uid="{5E163A7C-815A-45AF-9BE5-4568B0A1AC7A}">
          <x14:formula1>
            <xm:f>BundlingCompatabilityData!B58:B67</xm:f>
          </x14:formula1>
          <xm:sqref>G19</xm:sqref>
        </x14:dataValidation>
        <x14:dataValidation type="list" allowBlank="1" showInputMessage="1" showErrorMessage="1" xr:uid="{88779095-9605-4E38-A156-9E2DAC341A12}">
          <x14:formula1>
            <xm:f>BundlingCompatabilityData!B58:B67</xm:f>
          </x14:formula1>
          <xm:sqref>G20</xm:sqref>
        </x14:dataValidation>
        <x14:dataValidation type="list" allowBlank="1" showInputMessage="1" showErrorMessage="1" xr:uid="{7D5D0A56-D158-45E7-B9EF-FF03C5F5A22E}">
          <x14:formula1>
            <xm:f>BundlingCompatabilityData!B58:B67</xm:f>
          </x14:formula1>
          <xm:sqref>G21</xm:sqref>
        </x14:dataValidation>
        <x14:dataValidation type="list" allowBlank="1" showInputMessage="1" showErrorMessage="1" xr:uid="{6CEF0738-A941-4CD4-9FB1-5364DA906A26}">
          <x14:formula1>
            <xm:f>BundlingCompatabilityData!B58:B67</xm:f>
          </x14:formula1>
          <xm:sqref>G22</xm:sqref>
        </x14:dataValidation>
        <x14:dataValidation type="list" allowBlank="1" showInputMessage="1" showErrorMessage="1" xr:uid="{7A7F7767-5926-4586-A2FF-2F00A7EE0397}">
          <x14:formula1>
            <xm:f>BundlingCompatabilityData!B58:B67</xm:f>
          </x14:formula1>
          <xm:sqref>G23</xm:sqref>
        </x14:dataValidation>
        <x14:dataValidation type="list" allowBlank="1" showInputMessage="1" showErrorMessage="1" xr:uid="{C81138A2-6267-4B0B-9DCD-9C7CA6ECCB04}">
          <x14:formula1>
            <xm:f>BundlingCompatabilityData!B58:B67</xm:f>
          </x14:formula1>
          <xm:sqref>G24</xm:sqref>
        </x14:dataValidation>
        <x14:dataValidation type="list" allowBlank="1" showInputMessage="1" showErrorMessage="1" xr:uid="{81BA2F19-0C0E-4B92-82DE-ED69A80D1A14}">
          <x14:formula1>
            <xm:f>BundlingCompatabilityData!B58:B67</xm:f>
          </x14:formula1>
          <xm:sqref>G25</xm:sqref>
        </x14:dataValidation>
        <x14:dataValidation type="list" allowBlank="1" showInputMessage="1" showErrorMessage="1" xr:uid="{47758EF1-12B5-4AAD-B764-B10D896546C8}">
          <x14:formula1>
            <xm:f>BundlingCompatabilityData!B58:B67</xm:f>
          </x14:formula1>
          <xm:sqref>G26</xm:sqref>
        </x14:dataValidation>
        <x14:dataValidation type="list" allowBlank="1" showInputMessage="1" showErrorMessage="1" xr:uid="{D7E7DAE3-73F5-4554-A912-A5EA057013B2}">
          <x14:formula1>
            <xm:f>BundlingCompatabilityData!B58:B67</xm:f>
          </x14:formula1>
          <xm:sqref>G27</xm:sqref>
        </x14:dataValidation>
        <x14:dataValidation type="list" allowBlank="1" showInputMessage="1" showErrorMessage="1" xr:uid="{9168D92B-D3C2-4011-B3E8-7430CC945D4E}">
          <x14:formula1>
            <xm:f>BundlingCompatabilityData!B58:B67</xm:f>
          </x14:formula1>
          <xm:sqref>G28</xm:sqref>
        </x14:dataValidation>
        <x14:dataValidation type="list" allowBlank="1" showInputMessage="1" showErrorMessage="1" xr:uid="{BC4B7382-1D44-4518-90BD-74768A0131AF}">
          <x14:formula1>
            <xm:f>BundlingCompatabilityData!B58:B67</xm:f>
          </x14:formula1>
          <xm:sqref>G29</xm:sqref>
        </x14:dataValidation>
        <x14:dataValidation type="list" allowBlank="1" showInputMessage="1" showErrorMessage="1" xr:uid="{ED95CF12-24A1-4CB7-A356-CA3D3358EAA6}">
          <x14:formula1>
            <xm:f>BundlingCompatabilityData!B58:B67</xm:f>
          </x14:formula1>
          <xm:sqref>G30</xm:sqref>
        </x14:dataValidation>
        <x14:dataValidation type="list" allowBlank="1" showInputMessage="1" showErrorMessage="1" xr:uid="{DEAC1860-D5D2-4D58-8EAA-FA66D66759F5}">
          <x14:formula1>
            <xm:f>BundlingCompatabilityData!B58:B67</xm:f>
          </x14:formula1>
          <xm:sqref>G31</xm:sqref>
        </x14:dataValidation>
        <x14:dataValidation type="list" allowBlank="1" showInputMessage="1" showErrorMessage="1" xr:uid="{045F662E-1006-4EBD-93C9-081F166D7DA9}">
          <x14:formula1>
            <xm:f>BundlingCompatabilityData!B58:B67</xm:f>
          </x14:formula1>
          <xm:sqref>G32</xm:sqref>
        </x14:dataValidation>
        <x14:dataValidation type="list" allowBlank="1" showInputMessage="1" showErrorMessage="1" xr:uid="{3BA366E5-5419-44E3-8908-D07203254F47}">
          <x14:formula1>
            <xm:f>BundlingCompatabilityData!B58:B67</xm:f>
          </x14:formula1>
          <xm:sqref>G33</xm:sqref>
        </x14:dataValidation>
        <x14:dataValidation type="list" allowBlank="1" showInputMessage="1" showErrorMessage="1" xr:uid="{86FEC80A-86BF-45A6-ADC0-646026F5590E}">
          <x14:formula1>
            <xm:f>BundlingCompatabilityData!B58:B67</xm:f>
          </x14:formula1>
          <xm:sqref>G34</xm:sqref>
        </x14:dataValidation>
        <x14:dataValidation type="list" allowBlank="1" showInputMessage="1" showErrorMessage="1" xr:uid="{C329619D-65DA-43E6-91A0-04A28C2E2D31}">
          <x14:formula1>
            <xm:f>BundlingCompatabilityData!B58:B67</xm:f>
          </x14:formula1>
          <xm:sqref>G35</xm:sqref>
        </x14:dataValidation>
        <x14:dataValidation type="list" allowBlank="1" showInputMessage="1" showErrorMessage="1" xr:uid="{7E23BA9F-4AB4-48A6-B5C9-14852FB93052}">
          <x14:formula1>
            <xm:f>BundlingCompatabilityData!B58:B67</xm:f>
          </x14:formula1>
          <xm:sqref>G36</xm:sqref>
        </x14:dataValidation>
        <x14:dataValidation type="list" allowBlank="1" showInputMessage="1" showErrorMessage="1" xr:uid="{D6C6220E-A5E4-47C6-9DEF-9679F00E2DC5}">
          <x14:formula1>
            <xm:f>BundlingCompatabilityData!B58:B67</xm:f>
          </x14:formula1>
          <xm:sqref>G37</xm:sqref>
        </x14:dataValidation>
        <x14:dataValidation type="list" allowBlank="1" showInputMessage="1" showErrorMessage="1" xr:uid="{34A7F612-B611-499B-BB1E-E92A00C8E7AD}">
          <x14:formula1>
            <xm:f>BundlingCompatabilityData!B58:B67</xm:f>
          </x14:formula1>
          <xm:sqref>G38</xm:sqref>
        </x14:dataValidation>
        <x14:dataValidation type="list" allowBlank="1" showInputMessage="1" showErrorMessage="1" xr:uid="{9E7C7BD9-6D00-46F5-A1B6-F514F9E08BC4}">
          <x14:formula1>
            <xm:f>BundlingCompatabilityData!B58:B67</xm:f>
          </x14:formula1>
          <xm:sqref>G39</xm:sqref>
        </x14:dataValidation>
        <x14:dataValidation type="list" allowBlank="1" showInputMessage="1" showErrorMessage="1" xr:uid="{8CA229AA-9C50-4F9C-9D77-9F63498C0823}">
          <x14:formula1>
            <xm:f>BundlingCompatabilityData!B58:B67</xm:f>
          </x14:formula1>
          <xm:sqref>G40</xm:sqref>
        </x14:dataValidation>
        <x14:dataValidation type="list" allowBlank="1" showInputMessage="1" showErrorMessage="1" xr:uid="{1B09E272-019A-48E4-B0D6-412E82EB36C7}">
          <x14:formula1>
            <xm:f>BundlingCompatabilityData!B58:B67</xm:f>
          </x14:formula1>
          <xm:sqref>G41</xm:sqref>
        </x14:dataValidation>
        <x14:dataValidation type="list" allowBlank="1" showInputMessage="1" showErrorMessage="1" xr:uid="{AC7D778A-A7A5-4438-8093-F83A9EBB6D78}">
          <x14:formula1>
            <xm:f>BundlingCompatabilityData!B58:B67</xm:f>
          </x14:formula1>
          <xm:sqref>G42</xm:sqref>
        </x14:dataValidation>
        <x14:dataValidation type="list" allowBlank="1" showInputMessage="1" showErrorMessage="1" xr:uid="{8A1ADFB4-F8EB-4E98-9301-09DE942AFD34}">
          <x14:formula1>
            <xm:f>BundlingCompatabilityData!B58:B67</xm:f>
          </x14:formula1>
          <xm:sqref>G43</xm:sqref>
        </x14:dataValidation>
        <x14:dataValidation type="list" allowBlank="1" showInputMessage="1" showErrorMessage="1" xr:uid="{58CC66E3-2D2D-4C5A-BF7D-FDF0D81548B2}">
          <x14:formula1>
            <xm:f>BundlingCompatabilityData!B58:B67</xm:f>
          </x14:formula1>
          <xm:sqref>G44</xm:sqref>
        </x14:dataValidation>
        <x14:dataValidation type="list" allowBlank="1" showInputMessage="1" showErrorMessage="1" xr:uid="{D8F1A634-2C46-4892-B420-FD2B1B5AB595}">
          <x14:formula1>
            <xm:f>BundlingCompatabilityData!B58:B67</xm:f>
          </x14:formula1>
          <xm:sqref>G45</xm:sqref>
        </x14:dataValidation>
        <x14:dataValidation type="list" allowBlank="1" showInputMessage="1" showErrorMessage="1" xr:uid="{88071191-6BF5-4B8B-A67D-7E1B71810E73}">
          <x14:formula1>
            <xm:f>BundlingCompatabilityData!B58:B67</xm:f>
          </x14:formula1>
          <xm:sqref>G46</xm:sqref>
        </x14:dataValidation>
        <x14:dataValidation type="list" allowBlank="1" showInputMessage="1" showErrorMessage="1" xr:uid="{20DA4631-0B9E-46E7-8AE2-950E8A5C6B7E}">
          <x14:formula1>
            <xm:f>BundlingCompatabilityData!B58:B67</xm:f>
          </x14:formula1>
          <xm:sqref>G47</xm:sqref>
        </x14:dataValidation>
        <x14:dataValidation type="list" allowBlank="1" showInputMessage="1" showErrorMessage="1" xr:uid="{21ACEE66-1B39-4589-AF50-24EB628653A8}">
          <x14:formula1>
            <xm:f>BundlingCompatabilityData!B58:B67</xm:f>
          </x14:formula1>
          <xm:sqref>G48</xm:sqref>
        </x14:dataValidation>
        <x14:dataValidation type="list" allowBlank="1" showInputMessage="1" showErrorMessage="1" xr:uid="{983D1A6F-FA7B-4FA5-A3F7-57B37F806F7E}">
          <x14:formula1>
            <xm:f>BundlingCompatabilityData!B58:B67</xm:f>
          </x14:formula1>
          <xm:sqref>G49</xm:sqref>
        </x14:dataValidation>
        <x14:dataValidation type="list" allowBlank="1" showInputMessage="1" showErrorMessage="1" xr:uid="{A585685C-9DCC-4891-B777-901582ACD0F5}">
          <x14:formula1>
            <xm:f>BundlingCompatabilityData!B58:B67</xm:f>
          </x14:formula1>
          <xm:sqref>G50</xm:sqref>
        </x14:dataValidation>
        <x14:dataValidation type="list" allowBlank="1" showInputMessage="1" showErrorMessage="1" xr:uid="{E7C38116-7976-40F1-9891-80F3A45723B7}">
          <x14:formula1>
            <xm:f>BundlingCompatabilityData!B58:B67</xm:f>
          </x14:formula1>
          <xm:sqref>G51</xm:sqref>
        </x14:dataValidation>
        <x14:dataValidation type="list" allowBlank="1" showInputMessage="1" showErrorMessage="1" xr:uid="{9873D2C5-97AB-45DF-ADA3-97B90AA06A19}">
          <x14:formula1>
            <xm:f>BundlingCompatabilityData!B58:B67</xm:f>
          </x14:formula1>
          <xm:sqref>G52</xm:sqref>
        </x14:dataValidation>
        <x14:dataValidation type="list" allowBlank="1" showInputMessage="1" showErrorMessage="1" xr:uid="{6B040782-8921-4368-A98D-AF7968BE9555}">
          <x14:formula1>
            <xm:f>BundlingCompatabilityData!B58:B67</xm:f>
          </x14:formula1>
          <xm:sqref>G53</xm:sqref>
        </x14:dataValidation>
        <x14:dataValidation type="list" allowBlank="1" showInputMessage="1" showErrorMessage="1" xr:uid="{43A20E97-21D0-462C-89DE-099634B173F8}">
          <x14:formula1>
            <xm:f>BundlingCompatabilityData!B58:B67</xm:f>
          </x14:formula1>
          <xm:sqref>G54</xm:sqref>
        </x14:dataValidation>
        <x14:dataValidation type="list" allowBlank="1" showInputMessage="1" showErrorMessage="1" xr:uid="{2394C6A4-0DBC-4128-A7B7-98BF13F1879F}">
          <x14:formula1>
            <xm:f>BundlingCompatabilityData!B58:B67</xm:f>
          </x14:formula1>
          <xm:sqref>G55</xm:sqref>
        </x14:dataValidation>
        <x14:dataValidation type="list" allowBlank="1" showInputMessage="1" showErrorMessage="1" xr:uid="{42C44D6D-C5EB-4C27-8CBF-E5490285B0C7}">
          <x14:formula1>
            <xm:f>BundlingCompatabilityData!B58:B67</xm:f>
          </x14:formula1>
          <xm:sqref>G56</xm:sqref>
        </x14:dataValidation>
        <x14:dataValidation type="list" allowBlank="1" showInputMessage="1" showErrorMessage="1" xr:uid="{CFC0ED02-0576-488D-8240-BD6FF2E5340B}">
          <x14:formula1>
            <xm:f>BundlingCompatabilityData!B58:B67</xm:f>
          </x14:formula1>
          <xm:sqref>G57</xm:sqref>
        </x14:dataValidation>
        <x14:dataValidation type="list" allowBlank="1" showInputMessage="1" showErrorMessage="1" xr:uid="{B564748C-C66B-4B8E-B022-681E24F71088}">
          <x14:formula1>
            <xm:f>BundlingCompatabilityData!B58:B67</xm:f>
          </x14:formula1>
          <xm:sqref>G58</xm:sqref>
        </x14:dataValidation>
        <x14:dataValidation type="list" allowBlank="1" showInputMessage="1" showErrorMessage="1" xr:uid="{DB3F5F14-848F-424C-AA2B-AD2406CF7F03}">
          <x14:formula1>
            <xm:f>BundlingCompatabilityData!B58:B67</xm:f>
          </x14:formula1>
          <xm:sqref>G59</xm:sqref>
        </x14:dataValidation>
        <x14:dataValidation type="list" allowBlank="1" showInputMessage="1" showErrorMessage="1" xr:uid="{DD091C34-AC0E-4C95-886E-CB09174C148B}">
          <x14:formula1>
            <xm:f>BundlingCompatabilityData!B58:B67</xm:f>
          </x14:formula1>
          <xm:sqref>G60</xm:sqref>
        </x14:dataValidation>
        <x14:dataValidation type="list" allowBlank="1" showInputMessage="1" showErrorMessage="1" xr:uid="{4503F910-4473-448C-AC6C-6BB6674EC224}">
          <x14:formula1>
            <xm:f>BundlingCompatabilityData!B58:B67</xm:f>
          </x14:formula1>
          <xm:sqref>G61</xm:sqref>
        </x14:dataValidation>
        <x14:dataValidation type="list" allowBlank="1" showInputMessage="1" showErrorMessage="1" xr:uid="{9633CD75-D673-43AC-974A-95EAD01B68C7}">
          <x14:formula1>
            <xm:f>BundlingCompatabilityData!B58:B67</xm:f>
          </x14:formula1>
          <xm:sqref>G62</xm:sqref>
        </x14:dataValidation>
        <x14:dataValidation type="list" allowBlank="1" showInputMessage="1" showErrorMessage="1" xr:uid="{9F076603-F846-4DEA-B83B-59D06AD6EF66}">
          <x14:formula1>
            <xm:f>BundlingCompatabilityData!B58:B67</xm:f>
          </x14:formula1>
          <xm:sqref>G63</xm:sqref>
        </x14:dataValidation>
        <x14:dataValidation type="list" allowBlank="1" showInputMessage="1" showErrorMessage="1" xr:uid="{879DD8D9-7D82-4160-9FF2-CD4FB5050595}">
          <x14:formula1>
            <xm:f>BundlingCompatabilityData!B58:B67</xm:f>
          </x14:formula1>
          <xm:sqref>G64</xm:sqref>
        </x14:dataValidation>
        <x14:dataValidation type="list" allowBlank="1" showInputMessage="1" showErrorMessage="1" xr:uid="{BA552CAD-B03C-4179-9867-BD975A346204}">
          <x14:formula1>
            <xm:f>BundlingCompatabilityData!B58:B67</xm:f>
          </x14:formula1>
          <xm:sqref>G65</xm:sqref>
        </x14:dataValidation>
        <x14:dataValidation type="list" allowBlank="1" showInputMessage="1" showErrorMessage="1" xr:uid="{A493F3CD-F7F0-4C66-8173-BAC6450E006C}">
          <x14:formula1>
            <xm:f>BundlingCompatabilityData!B58:B67</xm:f>
          </x14:formula1>
          <xm:sqref>G66</xm:sqref>
        </x14:dataValidation>
        <x14:dataValidation type="list" allowBlank="1" showInputMessage="1" showErrorMessage="1" xr:uid="{150BEF9A-AF2F-445F-8A46-DA904F25791F}">
          <x14:formula1>
            <xm:f>BundlingCompatabilityData!B58:B67</xm:f>
          </x14:formula1>
          <xm:sqref>G67</xm:sqref>
        </x14:dataValidation>
        <x14:dataValidation type="list" allowBlank="1" showInputMessage="1" showErrorMessage="1" xr:uid="{A86F1316-7447-4E74-A0B0-CBF3BEB15677}">
          <x14:formula1>
            <xm:f>BundlingCompatabilityData!B58:B67</xm:f>
          </x14:formula1>
          <xm:sqref>G68</xm:sqref>
        </x14:dataValidation>
        <x14:dataValidation type="list" allowBlank="1" showInputMessage="1" showErrorMessage="1" xr:uid="{BDCC81DE-4076-4E72-B6EC-1EDEF943D5F6}">
          <x14:formula1>
            <xm:f>BundlingCompatabilityData!B58:B67</xm:f>
          </x14:formula1>
          <xm:sqref>G69</xm:sqref>
        </x14:dataValidation>
        <x14:dataValidation type="list" allowBlank="1" showInputMessage="1" showErrorMessage="1" xr:uid="{2C91F249-E44E-4DAD-899F-715CAF54D818}">
          <x14:formula1>
            <xm:f>BundlingCompatabilityData!B58:B67</xm:f>
          </x14:formula1>
          <xm:sqref>G70</xm:sqref>
        </x14:dataValidation>
        <x14:dataValidation type="list" allowBlank="1" showInputMessage="1" showErrorMessage="1" xr:uid="{6BBAF657-E64E-488F-B8D4-A42A6DA8049F}">
          <x14:formula1>
            <xm:f>BundlingCompatabilityData!B58:B67</xm:f>
          </x14:formula1>
          <xm:sqref>G71</xm:sqref>
        </x14:dataValidation>
        <x14:dataValidation type="list" allowBlank="1" showInputMessage="1" showErrorMessage="1" xr:uid="{0D5817FB-D2FC-4435-8A12-FE7A90FC64DD}">
          <x14:formula1>
            <xm:f>BundlingCompatabilityData!B58:B67</xm:f>
          </x14:formula1>
          <xm:sqref>G72</xm:sqref>
        </x14:dataValidation>
        <x14:dataValidation type="list" allowBlank="1" showInputMessage="1" showErrorMessage="1" xr:uid="{1AF3E750-72F5-4F33-96A0-997CADCECCA3}">
          <x14:formula1>
            <xm:f>BundlingCompatabilityData!B58:B67</xm:f>
          </x14:formula1>
          <xm:sqref>G73</xm:sqref>
        </x14:dataValidation>
        <x14:dataValidation type="list" allowBlank="1" showInputMessage="1" showErrorMessage="1" xr:uid="{D0A4ADB0-76B2-4302-AF49-400E6C1975CC}">
          <x14:formula1>
            <xm:f>BundlingCompatabilityData!B58:B67</xm:f>
          </x14:formula1>
          <xm:sqref>G74</xm:sqref>
        </x14:dataValidation>
        <x14:dataValidation type="list" allowBlank="1" showInputMessage="1" showErrorMessage="1" xr:uid="{64067A14-7D60-4636-BCA5-4170D3CB0ACA}">
          <x14:formula1>
            <xm:f>BundlingCompatabilityData!B58:B67</xm:f>
          </x14:formula1>
          <xm:sqref>G75</xm:sqref>
        </x14:dataValidation>
        <x14:dataValidation type="list" allowBlank="1" showInputMessage="1" showErrorMessage="1" xr:uid="{5D744349-A922-4477-9FE6-740A86ACEF3E}">
          <x14:formula1>
            <xm:f>BundlingCompatabilityData!B58:B67</xm:f>
          </x14:formula1>
          <xm:sqref>G76</xm:sqref>
        </x14:dataValidation>
        <x14:dataValidation type="list" allowBlank="1" showInputMessage="1" showErrorMessage="1" xr:uid="{CC2A05B8-FD5D-4ABE-BC53-B198A3AED017}">
          <x14:formula1>
            <xm:f>BundlingCompatabilityData!B58:B67</xm:f>
          </x14:formula1>
          <xm:sqref>G77</xm:sqref>
        </x14:dataValidation>
        <x14:dataValidation type="list" allowBlank="1" showInputMessage="1" showErrorMessage="1" xr:uid="{4A5877BB-9F5E-4331-98E3-286D78408C88}">
          <x14:formula1>
            <xm:f>BundlingCompatabilityData!B58:B67</xm:f>
          </x14:formula1>
          <xm:sqref>G78</xm:sqref>
        </x14:dataValidation>
        <x14:dataValidation type="list" allowBlank="1" showInputMessage="1" showErrorMessage="1" xr:uid="{4850F402-E327-48AA-80FD-90709835BDF5}">
          <x14:formula1>
            <xm:f>BundlingCompatabilityData!B58:B67</xm:f>
          </x14:formula1>
          <xm:sqref>G79</xm:sqref>
        </x14:dataValidation>
        <x14:dataValidation type="list" allowBlank="1" showInputMessage="1" showErrorMessage="1" xr:uid="{022B613F-3842-4EF2-8AA4-0E57FE79FD9C}">
          <x14:formula1>
            <xm:f>BundlingCompatabilityData!B58:B67</xm:f>
          </x14:formula1>
          <xm:sqref>G80</xm:sqref>
        </x14:dataValidation>
        <x14:dataValidation type="list" allowBlank="1" showInputMessage="1" showErrorMessage="1" xr:uid="{883B6A0B-FBDD-472F-B897-6423C5FAC802}">
          <x14:formula1>
            <xm:f>BundlingCompatabilityData!B58:B67</xm:f>
          </x14:formula1>
          <xm:sqref>G81</xm:sqref>
        </x14:dataValidation>
        <x14:dataValidation type="list" allowBlank="1" showInputMessage="1" showErrorMessage="1" xr:uid="{7D55F87B-467E-45B1-8801-E0A840E05CEB}">
          <x14:formula1>
            <xm:f>BundlingCompatabilityData!B58:B67</xm:f>
          </x14:formula1>
          <xm:sqref>G82</xm:sqref>
        </x14:dataValidation>
        <x14:dataValidation type="list" allowBlank="1" showInputMessage="1" showErrorMessage="1" xr:uid="{534D360D-3904-450C-84C6-C84A45643181}">
          <x14:formula1>
            <xm:f>BundlingCompatabilityData!B58:B67</xm:f>
          </x14:formula1>
          <xm:sqref>G83</xm:sqref>
        </x14:dataValidation>
        <x14:dataValidation type="list" allowBlank="1" showInputMessage="1" showErrorMessage="1" xr:uid="{6814B838-7AE1-4655-A902-74B1B24A4CC1}">
          <x14:formula1>
            <xm:f>BundlingCompatabilityData!B58:B67</xm:f>
          </x14:formula1>
          <xm:sqref>G84</xm:sqref>
        </x14:dataValidation>
        <x14:dataValidation type="list" allowBlank="1" showInputMessage="1" showErrorMessage="1" xr:uid="{010276C5-3D43-4327-81AF-0D3393A791FE}">
          <x14:formula1>
            <xm:f>BundlingCompatabilityData!B58:B67</xm:f>
          </x14:formula1>
          <xm:sqref>G85</xm:sqref>
        </x14:dataValidation>
        <x14:dataValidation type="list" allowBlank="1" showInputMessage="1" showErrorMessage="1" xr:uid="{B1A737DF-1BDF-43A8-B6C7-C1D8DD6DC6E7}">
          <x14:formula1>
            <xm:f>BundlingCompatabilityData!B58:B67</xm:f>
          </x14:formula1>
          <xm:sqref>G86</xm:sqref>
        </x14:dataValidation>
        <x14:dataValidation type="list" allowBlank="1" showInputMessage="1" showErrorMessage="1" xr:uid="{D8EE2621-CF6E-4623-B01E-F347C9768E8D}">
          <x14:formula1>
            <xm:f>BundlingCompatabilityData!B58:B67</xm:f>
          </x14:formula1>
          <xm:sqref>G87</xm:sqref>
        </x14:dataValidation>
        <x14:dataValidation type="list" allowBlank="1" showInputMessage="1" showErrorMessage="1" xr:uid="{724A3927-26D5-4D52-ADC3-9817DD875C24}">
          <x14:formula1>
            <xm:f>BundlingCompatabilityData!B58:B67</xm:f>
          </x14:formula1>
          <xm:sqref>G88</xm:sqref>
        </x14:dataValidation>
        <x14:dataValidation type="list" allowBlank="1" showInputMessage="1" showErrorMessage="1" xr:uid="{B20834EC-692F-4D0F-B2A3-8B2E1BE3BC9D}">
          <x14:formula1>
            <xm:f>BundlingCompatabilityData!B58:B67</xm:f>
          </x14:formula1>
          <xm:sqref>G89</xm:sqref>
        </x14:dataValidation>
        <x14:dataValidation type="list" allowBlank="1" showInputMessage="1" showErrorMessage="1" xr:uid="{614A4A01-3787-42C5-95D1-979DFC44F8FC}">
          <x14:formula1>
            <xm:f>BundlingCompatabilityData!B58:B67</xm:f>
          </x14:formula1>
          <xm:sqref>G90</xm:sqref>
        </x14:dataValidation>
        <x14:dataValidation type="list" allowBlank="1" showInputMessage="1" showErrorMessage="1" xr:uid="{5CC441A6-E684-4DF0-A2C1-46922AE323A1}">
          <x14:formula1>
            <xm:f>BundlingCompatabilityData!B58:B67</xm:f>
          </x14:formula1>
          <xm:sqref>G91</xm:sqref>
        </x14:dataValidation>
        <x14:dataValidation type="list" allowBlank="1" showInputMessage="1" showErrorMessage="1" xr:uid="{44B612E0-BA43-4550-9637-CC5ED8C0996C}">
          <x14:formula1>
            <xm:f>BundlingCompatabilityData!B58:B67</xm:f>
          </x14:formula1>
          <xm:sqref>G92</xm:sqref>
        </x14:dataValidation>
        <x14:dataValidation type="list" allowBlank="1" showInputMessage="1" showErrorMessage="1" xr:uid="{159E7730-F104-45B6-9315-D9E1437EF78E}">
          <x14:formula1>
            <xm:f>BundlingCompatabilityData!B58:B67</xm:f>
          </x14:formula1>
          <xm:sqref>G93</xm:sqref>
        </x14:dataValidation>
        <x14:dataValidation type="list" allowBlank="1" showInputMessage="1" showErrorMessage="1" xr:uid="{8F3CD889-740C-41EA-999F-7FD2E41D315C}">
          <x14:formula1>
            <xm:f>BundlingCompatabilityData!B58:B67</xm:f>
          </x14:formula1>
          <xm:sqref>G94</xm:sqref>
        </x14:dataValidation>
        <x14:dataValidation type="list" allowBlank="1" showInputMessage="1" showErrorMessage="1" xr:uid="{EF773567-C930-4644-A55E-4B55F1E8CA2C}">
          <x14:formula1>
            <xm:f>BundlingCompatabilityData!B58:B67</xm:f>
          </x14:formula1>
          <xm:sqref>G95</xm:sqref>
        </x14:dataValidation>
        <x14:dataValidation type="list" allowBlank="1" showInputMessage="1" showErrorMessage="1" xr:uid="{627A2A53-6C77-45D2-B483-F96EEBA4E8B0}">
          <x14:formula1>
            <xm:f>BundlingCompatabilityData!B58:B67</xm:f>
          </x14:formula1>
          <xm:sqref>G96</xm:sqref>
        </x14:dataValidation>
        <x14:dataValidation type="list" allowBlank="1" showInputMessage="1" showErrorMessage="1" xr:uid="{1E1E1C11-920A-4614-863A-55AEDA42637C}">
          <x14:formula1>
            <xm:f>BundlingCompatabilityData!B58:B67</xm:f>
          </x14:formula1>
          <xm:sqref>G97</xm:sqref>
        </x14:dataValidation>
        <x14:dataValidation type="list" allowBlank="1" showInputMessage="1" showErrorMessage="1" xr:uid="{76520D91-8977-4E22-93FA-DCCE5A3C6F82}">
          <x14:formula1>
            <xm:f>BundlingCompatabilityData!B58:B67</xm:f>
          </x14:formula1>
          <xm:sqref>G98</xm:sqref>
        </x14:dataValidation>
        <x14:dataValidation type="list" allowBlank="1" showInputMessage="1" showErrorMessage="1" xr:uid="{42A02DD5-45CE-4183-B44E-C35F598F6E6F}">
          <x14:formula1>
            <xm:f>BundlingCompatabilityData!B58:B67</xm:f>
          </x14:formula1>
          <xm:sqref>G99</xm:sqref>
        </x14:dataValidation>
        <x14:dataValidation type="list" allowBlank="1" showInputMessage="1" showErrorMessage="1" xr:uid="{F4DEFE56-6873-42FF-AE0F-F83C7685C308}">
          <x14:formula1>
            <xm:f>BundlingCompatabilityData!B58:B67</xm:f>
          </x14:formula1>
          <xm:sqref>G100</xm:sqref>
        </x14:dataValidation>
        <x14:dataValidation type="list" allowBlank="1" showInputMessage="1" showErrorMessage="1" xr:uid="{AACB91D8-A8D5-4012-B0A0-8D6640FB49EE}">
          <x14:formula1>
            <xm:f>BundlingCompatabilityData!B58:B67</xm:f>
          </x14:formula1>
          <xm:sqref>G101</xm:sqref>
        </x14:dataValidation>
        <x14:dataValidation type="list" allowBlank="1" showInputMessage="1" showErrorMessage="1" xr:uid="{27E88F34-47B9-4550-9EFB-E8A01ADD3CAF}">
          <x14:formula1>
            <xm:f>BundlingCompatabilityData!B58:B67</xm:f>
          </x14:formula1>
          <xm:sqref>G102</xm:sqref>
        </x14:dataValidation>
        <x14:dataValidation type="list" allowBlank="1" showInputMessage="1" showErrorMessage="1" xr:uid="{334B4947-6933-48F2-8213-82175A80E380}">
          <x14:formula1>
            <xm:f>BundlingCompatabilityData!B58:B67</xm:f>
          </x14:formula1>
          <xm:sqref>G103</xm:sqref>
        </x14:dataValidation>
        <x14:dataValidation type="list" allowBlank="1" showInputMessage="1" showErrorMessage="1" xr:uid="{C207CB8B-5185-4F9C-8067-99E5361E0CD0}">
          <x14:formula1>
            <xm:f>BundlingCompatabilityData!B58:B67</xm:f>
          </x14:formula1>
          <xm:sqref>G104</xm:sqref>
        </x14:dataValidation>
        <x14:dataValidation type="list" allowBlank="1" showInputMessage="1" showErrorMessage="1" xr:uid="{8C069342-CE6A-4156-BF5C-B1CED7C16CC6}">
          <x14:formula1>
            <xm:f>BundlingCompatabilityData!B58:B67</xm:f>
          </x14:formula1>
          <xm:sqref>G105</xm:sqref>
        </x14:dataValidation>
        <x14:dataValidation type="list" allowBlank="1" showInputMessage="1" showErrorMessage="1" xr:uid="{B76BAF08-6921-4E68-ADF4-5070C5E48CD8}">
          <x14:formula1>
            <xm:f>BundlingCompatabilityData!B58:B67</xm:f>
          </x14:formula1>
          <xm:sqref>G106</xm:sqref>
        </x14:dataValidation>
        <x14:dataValidation type="list" allowBlank="1" showInputMessage="1" showErrorMessage="1" xr:uid="{8BAE3729-A7EB-4AAB-9ACE-5A5CD5AFDBB4}">
          <x14:formula1>
            <xm:f>BundlingCompatabilityData!B58:B67</xm:f>
          </x14:formula1>
          <xm:sqref>G107</xm:sqref>
        </x14:dataValidation>
        <x14:dataValidation type="list" allowBlank="1" showInputMessage="1" showErrorMessage="1" xr:uid="{9D6682FF-019B-45FD-BF0E-97EBD7D424BA}">
          <x14:formula1>
            <xm:f>BundlingCompatabilityData!B58:B67</xm:f>
          </x14:formula1>
          <xm:sqref>G108</xm:sqref>
        </x14:dataValidation>
        <x14:dataValidation type="list" allowBlank="1" showInputMessage="1" showErrorMessage="1" xr:uid="{59EC6C89-F2B7-475C-94DD-D2833FD6ED9F}">
          <x14:formula1>
            <xm:f>BundlingCompatabilityData!B58:B67</xm:f>
          </x14:formula1>
          <xm:sqref>G109</xm:sqref>
        </x14:dataValidation>
        <x14:dataValidation type="list" allowBlank="1" showInputMessage="1" showErrorMessage="1" xr:uid="{1ED1F58C-8649-4903-B25E-7CB8625FA3D6}">
          <x14:formula1>
            <xm:f>BundlingCompatabilityData!B58:B67</xm:f>
          </x14:formula1>
          <xm:sqref>G110</xm:sqref>
        </x14:dataValidation>
        <x14:dataValidation type="list" allowBlank="1" showInputMessage="1" showErrorMessage="1" xr:uid="{6DE47722-FA56-48EB-8B9D-9A96D14D4165}">
          <x14:formula1>
            <xm:f>BundlingCompatabilityData!B58:B67</xm:f>
          </x14:formula1>
          <xm:sqref>G111</xm:sqref>
        </x14:dataValidation>
        <x14:dataValidation type="list" allowBlank="1" showInputMessage="1" showErrorMessage="1" xr:uid="{6E8AA35C-1F27-4FB1-9A42-A9D8F5AD3AA7}">
          <x14:formula1>
            <xm:f>BundlingCompatabilityData!B58:B67</xm:f>
          </x14:formula1>
          <xm:sqref>G112</xm:sqref>
        </x14:dataValidation>
        <x14:dataValidation type="list" allowBlank="1" showInputMessage="1" showErrorMessage="1" xr:uid="{BE63D721-A60A-4B4B-AF85-4443D0D12A5C}">
          <x14:formula1>
            <xm:f>BundlingCompatabilityData!B58:B67</xm:f>
          </x14:formula1>
          <xm:sqref>G113</xm:sqref>
        </x14:dataValidation>
        <x14:dataValidation type="list" allowBlank="1" showInputMessage="1" showErrorMessage="1" xr:uid="{2501949E-5E84-49A7-A7DA-FAA652B4AB12}">
          <x14:formula1>
            <xm:f>BundlingCompatabilityData!B58:B67</xm:f>
          </x14:formula1>
          <xm:sqref>G114</xm:sqref>
        </x14:dataValidation>
        <x14:dataValidation type="list" allowBlank="1" showInputMessage="1" showErrorMessage="1" xr:uid="{EC81ED0E-01FD-4A76-AAE0-BD24E47B1977}">
          <x14:formula1>
            <xm:f>BundlingCompatabilityData!B58:B67</xm:f>
          </x14:formula1>
          <xm:sqref>G115</xm:sqref>
        </x14:dataValidation>
        <x14:dataValidation type="list" allowBlank="1" showInputMessage="1" showErrorMessage="1" xr:uid="{6C2BA6C0-8ADC-42F4-AFC2-965492145211}">
          <x14:formula1>
            <xm:f>BundlingCompatabilityData!B58:B67</xm:f>
          </x14:formula1>
          <xm:sqref>G116</xm:sqref>
        </x14:dataValidation>
        <x14:dataValidation type="list" allowBlank="1" showInputMessage="1" showErrorMessage="1" xr:uid="{5B96BBE0-4CF0-4C5D-8320-84E8894B8384}">
          <x14:formula1>
            <xm:f>BundlingCompatabilityData!B58:B67</xm:f>
          </x14:formula1>
          <xm:sqref>G117</xm:sqref>
        </x14:dataValidation>
        <x14:dataValidation type="list" allowBlank="1" showInputMessage="1" showErrorMessage="1" xr:uid="{D276F249-3D3E-43C7-8E09-36FE39D94B77}">
          <x14:formula1>
            <xm:f>BundlingCompatabilityData!B58:B67</xm:f>
          </x14:formula1>
          <xm:sqref>G118</xm:sqref>
        </x14:dataValidation>
        <x14:dataValidation type="list" allowBlank="1" showInputMessage="1" showErrorMessage="1" xr:uid="{C47E51BF-B41E-452B-9310-D3ECCC282C64}">
          <x14:formula1>
            <xm:f>BundlingCompatabilityData!B58:B67</xm:f>
          </x14:formula1>
          <xm:sqref>G119</xm:sqref>
        </x14:dataValidation>
        <x14:dataValidation type="list" allowBlank="1" showInputMessage="1" showErrorMessage="1" xr:uid="{4034D49D-FCE8-46B3-88B7-3C84A781697E}">
          <x14:formula1>
            <xm:f>BundlingCompatabilityData!B58:B67</xm:f>
          </x14:formula1>
          <xm:sqref>G120</xm:sqref>
        </x14:dataValidation>
        <x14:dataValidation type="list" allowBlank="1" showInputMessage="1" showErrorMessage="1" xr:uid="{FA34300D-7F86-404C-A40F-EA80D6DBFE75}">
          <x14:formula1>
            <xm:f>BundlingCompatabilityData!B58:B67</xm:f>
          </x14:formula1>
          <xm:sqref>G121</xm:sqref>
        </x14:dataValidation>
        <x14:dataValidation type="list" allowBlank="1" showInputMessage="1" showErrorMessage="1" xr:uid="{2B2BF40C-02EF-4B16-8842-0F9399D32956}">
          <x14:formula1>
            <xm:f>BundlingCompatabilityData!B58:B67</xm:f>
          </x14:formula1>
          <xm:sqref>G122</xm:sqref>
        </x14:dataValidation>
        <x14:dataValidation type="list" allowBlank="1" showInputMessage="1" showErrorMessage="1" xr:uid="{3F2D3E1A-0E40-46C7-B72B-5F3A71C20D55}">
          <x14:formula1>
            <xm:f>BundlingCompatabilityData!B58:B67</xm:f>
          </x14:formula1>
          <xm:sqref>G123</xm:sqref>
        </x14:dataValidation>
        <x14:dataValidation type="list" allowBlank="1" showInputMessage="1" showErrorMessage="1" xr:uid="{8E99341E-1B9A-4122-A117-22484AD62FCF}">
          <x14:formula1>
            <xm:f>BundlingCompatabilityData!B58:B67</xm:f>
          </x14:formula1>
          <xm:sqref>G124</xm:sqref>
        </x14:dataValidation>
        <x14:dataValidation type="list" allowBlank="1" showInputMessage="1" showErrorMessage="1" xr:uid="{B43FBD3A-7092-458F-8969-FCD16DFD5538}">
          <x14:formula1>
            <xm:f>BundlingCompatabilityData!B58:B67</xm:f>
          </x14:formula1>
          <xm:sqref>G125</xm:sqref>
        </x14:dataValidation>
        <x14:dataValidation type="list" allowBlank="1" showInputMessage="1" showErrorMessage="1" xr:uid="{DE2CF86D-2DE8-4DA0-8547-53DD90671C25}">
          <x14:formula1>
            <xm:f>BundlingCompatabilityData!B58:B67</xm:f>
          </x14:formula1>
          <xm:sqref>G126</xm:sqref>
        </x14:dataValidation>
        <x14:dataValidation type="list" allowBlank="1" showInputMessage="1" showErrorMessage="1" xr:uid="{6F8DAC76-6BD4-4FD0-A23A-A6C9956BAFE0}">
          <x14:formula1>
            <xm:f>BundlingCompatabilityData!B58:B67</xm:f>
          </x14:formula1>
          <xm:sqref>G127</xm:sqref>
        </x14:dataValidation>
        <x14:dataValidation type="list" allowBlank="1" showInputMessage="1" showErrorMessage="1" xr:uid="{84D11A6F-4EDD-447C-8908-98AD6E62DA4B}">
          <x14:formula1>
            <xm:f>BundlingCompatabilityData!B58:B67</xm:f>
          </x14:formula1>
          <xm:sqref>G128</xm:sqref>
        </x14:dataValidation>
        <x14:dataValidation type="list" allowBlank="1" showInputMessage="1" showErrorMessage="1" xr:uid="{413C0645-1E0D-4E33-B8FE-081B43450880}">
          <x14:formula1>
            <xm:f>BundlingCompatabilityData!B58:B67</xm:f>
          </x14:formula1>
          <xm:sqref>G129</xm:sqref>
        </x14:dataValidation>
        <x14:dataValidation type="list" allowBlank="1" showInputMessage="1" showErrorMessage="1" xr:uid="{8046083F-AC88-4872-A2D5-11718E9A3F3F}">
          <x14:formula1>
            <xm:f>BundlingCompatabilityData!B58:B67</xm:f>
          </x14:formula1>
          <xm:sqref>G130</xm:sqref>
        </x14:dataValidation>
        <x14:dataValidation type="list" allowBlank="1" showInputMessage="1" showErrorMessage="1" xr:uid="{E816751E-6A41-45A4-A07B-7A2884D9D05C}">
          <x14:formula1>
            <xm:f>BundlingCompatabilityData!B58:B67</xm:f>
          </x14:formula1>
          <xm:sqref>G131</xm:sqref>
        </x14:dataValidation>
        <x14:dataValidation type="list" allowBlank="1" showInputMessage="1" showErrorMessage="1" xr:uid="{695AE36C-F502-40EF-A7C5-E40044C28405}">
          <x14:formula1>
            <xm:f>BundlingCompatabilityData!B58:B67</xm:f>
          </x14:formula1>
          <xm:sqref>G132</xm:sqref>
        </x14:dataValidation>
        <x14:dataValidation type="list" allowBlank="1" showInputMessage="1" showErrorMessage="1" xr:uid="{C3F9AE21-0DB8-443E-B80C-DD63A0DD190B}">
          <x14:formula1>
            <xm:f>BundlingCompatabilityData!B58:B67</xm:f>
          </x14:formula1>
          <xm:sqref>G133</xm:sqref>
        </x14:dataValidation>
        <x14:dataValidation type="list" allowBlank="1" showInputMessage="1" showErrorMessage="1" xr:uid="{65514F5D-4DA7-4F4F-9E3C-D1F2AB70E8CA}">
          <x14:formula1>
            <xm:f>BundlingCompatabilityData!B58:B67</xm:f>
          </x14:formula1>
          <xm:sqref>G134</xm:sqref>
        </x14:dataValidation>
        <x14:dataValidation type="list" allowBlank="1" showInputMessage="1" showErrorMessage="1" xr:uid="{EFD8FA11-E275-4202-B826-B5C41486D934}">
          <x14:formula1>
            <xm:f>BundlingCompatabilityData!B58:B67</xm:f>
          </x14:formula1>
          <xm:sqref>G135</xm:sqref>
        </x14:dataValidation>
        <x14:dataValidation type="list" allowBlank="1" showInputMessage="1" showErrorMessage="1" xr:uid="{059C1736-079F-46C0-80B5-E1094FCD68FF}">
          <x14:formula1>
            <xm:f>BundlingCompatabilityData!B58:B67</xm:f>
          </x14:formula1>
          <xm:sqref>G136</xm:sqref>
        </x14:dataValidation>
        <x14:dataValidation type="list" allowBlank="1" showInputMessage="1" showErrorMessage="1" xr:uid="{6202105B-FA1F-46F4-BA96-6F5095E26756}">
          <x14:formula1>
            <xm:f>BundlingCompatabilityData!B58:B67</xm:f>
          </x14:formula1>
          <xm:sqref>G137</xm:sqref>
        </x14:dataValidation>
        <x14:dataValidation type="list" allowBlank="1" showInputMessage="1" showErrorMessage="1" xr:uid="{9E62EDFA-DC52-4589-BD1C-7E4E862BC876}">
          <x14:formula1>
            <xm:f>BundlingCompatabilityData!B58:B67</xm:f>
          </x14:formula1>
          <xm:sqref>G138</xm:sqref>
        </x14:dataValidation>
        <x14:dataValidation type="list" allowBlank="1" showInputMessage="1" showErrorMessage="1" xr:uid="{AA6BFFD0-487B-4652-A650-8F05629885AC}">
          <x14:formula1>
            <xm:f>BundlingCompatabilityData!B58:B67</xm:f>
          </x14:formula1>
          <xm:sqref>G139</xm:sqref>
        </x14:dataValidation>
        <x14:dataValidation type="list" allowBlank="1" showInputMessage="1" showErrorMessage="1" xr:uid="{3F310BF8-7604-4156-9FB3-ADC46F72D6EA}">
          <x14:formula1>
            <xm:f>BundlingCompatabilityData!B58:B67</xm:f>
          </x14:formula1>
          <xm:sqref>G140</xm:sqref>
        </x14:dataValidation>
        <x14:dataValidation type="list" allowBlank="1" showInputMessage="1" showErrorMessage="1" xr:uid="{6D7ABFAC-AECD-4B0B-AAB0-4F0EE3BF3895}">
          <x14:formula1>
            <xm:f>BundlingCompatabilityData!B58:B67</xm:f>
          </x14:formula1>
          <xm:sqref>G141</xm:sqref>
        </x14:dataValidation>
        <x14:dataValidation type="list" allowBlank="1" showInputMessage="1" showErrorMessage="1" xr:uid="{511786B2-7C49-4CF7-951B-E0C5F0BCEB47}">
          <x14:formula1>
            <xm:f>BundlingCompatabilityData!B58:B67</xm:f>
          </x14:formula1>
          <xm:sqref>G142</xm:sqref>
        </x14:dataValidation>
        <x14:dataValidation type="list" allowBlank="1" showInputMessage="1" showErrorMessage="1" xr:uid="{85FFEEB9-AD8D-491D-9776-AA0BDFCB30EF}">
          <x14:formula1>
            <xm:f>BundlingCompatabilityData!B58:B67</xm:f>
          </x14:formula1>
          <xm:sqref>G143</xm:sqref>
        </x14:dataValidation>
        <x14:dataValidation type="list" allowBlank="1" showInputMessage="1" showErrorMessage="1" xr:uid="{EB34040D-47F5-4926-8363-2FF45A87A5A0}">
          <x14:formula1>
            <xm:f>BundlingCompatabilityData!B58:B67</xm:f>
          </x14:formula1>
          <xm:sqref>G144</xm:sqref>
        </x14:dataValidation>
        <x14:dataValidation type="list" allowBlank="1" showInputMessage="1" showErrorMessage="1" xr:uid="{C98B0C98-6612-44FF-A36B-3CCE9C08307B}">
          <x14:formula1>
            <xm:f>BundlingCompatabilityData!B58:B67</xm:f>
          </x14:formula1>
          <xm:sqref>G145</xm:sqref>
        </x14:dataValidation>
        <x14:dataValidation type="list" allowBlank="1" showInputMessage="1" showErrorMessage="1" xr:uid="{72312080-D0D3-4064-9E82-DF60265473CA}">
          <x14:formula1>
            <xm:f>BundlingCompatabilityData!B58:B67</xm:f>
          </x14:formula1>
          <xm:sqref>G146</xm:sqref>
        </x14:dataValidation>
        <x14:dataValidation type="list" allowBlank="1" showInputMessage="1" showErrorMessage="1" xr:uid="{E4821722-2339-4DE5-B862-FD0C975D6ED6}">
          <x14:formula1>
            <xm:f>BundlingCompatabilityData!B58:B67</xm:f>
          </x14:formula1>
          <xm:sqref>G147</xm:sqref>
        </x14:dataValidation>
        <x14:dataValidation type="list" allowBlank="1" showInputMessage="1" showErrorMessage="1" xr:uid="{75E3C9F3-ADC1-477F-938B-9F36F99A1918}">
          <x14:formula1>
            <xm:f>BundlingCompatabilityData!B58:B67</xm:f>
          </x14:formula1>
          <xm:sqref>G148</xm:sqref>
        </x14:dataValidation>
        <x14:dataValidation type="list" allowBlank="1" showInputMessage="1" showErrorMessage="1" xr:uid="{413AAA21-A4E1-4A6F-AF23-1E8DC9D164FE}">
          <x14:formula1>
            <xm:f>BundlingCompatabilityData!B58:B67</xm:f>
          </x14:formula1>
          <xm:sqref>G149</xm:sqref>
        </x14:dataValidation>
        <x14:dataValidation type="list" allowBlank="1" showInputMessage="1" showErrorMessage="1" xr:uid="{A98C236C-857D-4369-9BA7-627D282BC461}">
          <x14:formula1>
            <xm:f>BundlingCompatabilityData!B58:B67</xm:f>
          </x14:formula1>
          <xm:sqref>G150</xm:sqref>
        </x14:dataValidation>
        <x14:dataValidation type="list" allowBlank="1" showInputMessage="1" showErrorMessage="1" xr:uid="{7EB46831-52A4-46C0-AB49-59D4BEC876FE}">
          <x14:formula1>
            <xm:f>BundlingCompatabilityData!B58:B67</xm:f>
          </x14:formula1>
          <xm:sqref>G151</xm:sqref>
        </x14:dataValidation>
        <x14:dataValidation type="list" allowBlank="1" showInputMessage="1" showErrorMessage="1" xr:uid="{C7A088AB-7D1D-4DD0-A3C3-3238810CE739}">
          <x14:formula1>
            <xm:f>BundlingCompatabilityData!B58:B67</xm:f>
          </x14:formula1>
          <xm:sqref>G152</xm:sqref>
        </x14:dataValidation>
        <x14:dataValidation type="list" allowBlank="1" showInputMessage="1" showErrorMessage="1" xr:uid="{EDD56F5C-CDAA-4110-8ECA-DF20BDEF20EC}">
          <x14:formula1>
            <xm:f>BundlingCompatabilityData!B58:B67</xm:f>
          </x14:formula1>
          <xm:sqref>G153</xm:sqref>
        </x14:dataValidation>
        <x14:dataValidation type="list" allowBlank="1" showInputMessage="1" showErrorMessage="1" xr:uid="{FA886C69-8828-47A6-BEB3-7746A6E34F3E}">
          <x14:formula1>
            <xm:f>BundlingCompatabilityData!B58:B67</xm:f>
          </x14:formula1>
          <xm:sqref>G154</xm:sqref>
        </x14:dataValidation>
        <x14:dataValidation type="list" allowBlank="1" showInputMessage="1" showErrorMessage="1" xr:uid="{6D42F664-E0FD-4D03-8457-649BF97D1E1B}">
          <x14:formula1>
            <xm:f>BundlingCompatabilityData!B58:B67</xm:f>
          </x14:formula1>
          <xm:sqref>G155</xm:sqref>
        </x14:dataValidation>
        <x14:dataValidation type="list" allowBlank="1" showInputMessage="1" showErrorMessage="1" xr:uid="{637CAA0B-0484-45A0-A2E1-5504F2D098D0}">
          <x14:formula1>
            <xm:f>BundlingCompatabilityData!B58:B67</xm:f>
          </x14:formula1>
          <xm:sqref>G156</xm:sqref>
        </x14:dataValidation>
        <x14:dataValidation type="list" allowBlank="1" showInputMessage="1" showErrorMessage="1" xr:uid="{FDAC3CB7-BF4D-4254-9303-B2CEE65E17D4}">
          <x14:formula1>
            <xm:f>BundlingCompatabilityData!B58:B67</xm:f>
          </x14:formula1>
          <xm:sqref>G157</xm:sqref>
        </x14:dataValidation>
        <x14:dataValidation type="list" allowBlank="1" showInputMessage="1" showErrorMessage="1" xr:uid="{F3DAAEE9-5F3B-469E-88E9-37BB8C0C5002}">
          <x14:formula1>
            <xm:f>BundlingCompatabilityData!B58:B67</xm:f>
          </x14:formula1>
          <xm:sqref>G158</xm:sqref>
        </x14:dataValidation>
        <x14:dataValidation type="list" allowBlank="1" showInputMessage="1" showErrorMessage="1" xr:uid="{20337C8E-38D5-4058-88C4-7E2786BA33DE}">
          <x14:formula1>
            <xm:f>BundlingCompatabilityData!B58:B67</xm:f>
          </x14:formula1>
          <xm:sqref>G159</xm:sqref>
        </x14:dataValidation>
        <x14:dataValidation type="list" allowBlank="1" showInputMessage="1" showErrorMessage="1" xr:uid="{74D3713E-AE3C-4B73-8A63-2FB9CEC8AA5C}">
          <x14:formula1>
            <xm:f>BundlingCompatabilityData!B58:B67</xm:f>
          </x14:formula1>
          <xm:sqref>G160</xm:sqref>
        </x14:dataValidation>
        <x14:dataValidation type="list" allowBlank="1" showInputMessage="1" showErrorMessage="1" xr:uid="{A8162814-7896-45F3-8EFA-AE388A5C4BDA}">
          <x14:formula1>
            <xm:f>BundlingCompatabilityData!B58:B67</xm:f>
          </x14:formula1>
          <xm:sqref>G161</xm:sqref>
        </x14:dataValidation>
        <x14:dataValidation type="list" allowBlank="1" showInputMessage="1" showErrorMessage="1" xr:uid="{B7FAD64D-8AAE-4C2E-9E16-D72F578E809E}">
          <x14:formula1>
            <xm:f>BundlingCompatabilityData!B58:B67</xm:f>
          </x14:formula1>
          <xm:sqref>G162</xm:sqref>
        </x14:dataValidation>
        <x14:dataValidation type="list" allowBlank="1" showInputMessage="1" showErrorMessage="1" xr:uid="{43CE08A2-54EE-4203-A2EA-76A838AF5A3D}">
          <x14:formula1>
            <xm:f>BundlingCompatabilityData!B58:B67</xm:f>
          </x14:formula1>
          <xm:sqref>G163</xm:sqref>
        </x14:dataValidation>
        <x14:dataValidation type="list" allowBlank="1" showInputMessage="1" showErrorMessage="1" xr:uid="{E04CB6BC-C6C2-4FAF-AF03-D8AA3AB931FC}">
          <x14:formula1>
            <xm:f>BundlingCompatabilityData!B58:B67</xm:f>
          </x14:formula1>
          <xm:sqref>G164</xm:sqref>
        </x14:dataValidation>
        <x14:dataValidation type="list" allowBlank="1" showInputMessage="1" showErrorMessage="1" xr:uid="{4D5E372F-F87A-4945-BAE4-3DE97070FE64}">
          <x14:formula1>
            <xm:f>BundlingCompatabilityData!B58:B67</xm:f>
          </x14:formula1>
          <xm:sqref>G165</xm:sqref>
        </x14:dataValidation>
        <x14:dataValidation type="list" allowBlank="1" showInputMessage="1" showErrorMessage="1" xr:uid="{DCB5773A-3F7F-44C4-AD4E-2E6530792776}">
          <x14:formula1>
            <xm:f>BundlingCompatabilityData!B58:B67</xm:f>
          </x14:formula1>
          <xm:sqref>G166</xm:sqref>
        </x14:dataValidation>
        <x14:dataValidation type="list" allowBlank="1" showInputMessage="1" showErrorMessage="1" xr:uid="{DBABB85C-FB1B-4945-A70E-DAF288B21B82}">
          <x14:formula1>
            <xm:f>BundlingCompatabilityData!B58:B67</xm:f>
          </x14:formula1>
          <xm:sqref>G167</xm:sqref>
        </x14:dataValidation>
        <x14:dataValidation type="list" allowBlank="1" showInputMessage="1" showErrorMessage="1" xr:uid="{F1A4294F-753D-4EAC-9009-8A05933E9939}">
          <x14:formula1>
            <xm:f>BundlingCompatabilityData!B58:B67</xm:f>
          </x14:formula1>
          <xm:sqref>G168</xm:sqref>
        </x14:dataValidation>
        <x14:dataValidation type="list" allowBlank="1" showInputMessage="1" showErrorMessage="1" xr:uid="{DC43D5DE-A82F-42E6-97FF-F52128051415}">
          <x14:formula1>
            <xm:f>BundlingCompatabilityData!B58:B67</xm:f>
          </x14:formula1>
          <xm:sqref>G169</xm:sqref>
        </x14:dataValidation>
        <x14:dataValidation type="list" allowBlank="1" showInputMessage="1" showErrorMessage="1" xr:uid="{88F92AE2-1F36-4FD0-B6BD-935C1AA794A0}">
          <x14:formula1>
            <xm:f>BundlingCompatabilityData!B58:B67</xm:f>
          </x14:formula1>
          <xm:sqref>G170</xm:sqref>
        </x14:dataValidation>
        <x14:dataValidation type="list" allowBlank="1" showInputMessage="1" showErrorMessage="1" xr:uid="{A2DF3B3B-A956-4572-BC6D-7E00DD63A661}">
          <x14:formula1>
            <xm:f>BundlingCompatabilityData!B58:B67</xm:f>
          </x14:formula1>
          <xm:sqref>G171</xm:sqref>
        </x14:dataValidation>
        <x14:dataValidation type="list" allowBlank="1" showInputMessage="1" showErrorMessage="1" xr:uid="{7490AEBD-50EF-4C96-8889-16E5715D6E9E}">
          <x14:formula1>
            <xm:f>BundlingCompatabilityData!B58:B67</xm:f>
          </x14:formula1>
          <xm:sqref>G172</xm:sqref>
        </x14:dataValidation>
        <x14:dataValidation type="list" allowBlank="1" showInputMessage="1" showErrorMessage="1" xr:uid="{584EEE0F-66D0-4ACC-94D4-F1A40755A83E}">
          <x14:formula1>
            <xm:f>BundlingCompatabilityData!B58:B67</xm:f>
          </x14:formula1>
          <xm:sqref>G173</xm:sqref>
        </x14:dataValidation>
        <x14:dataValidation type="list" allowBlank="1" showInputMessage="1" showErrorMessage="1" xr:uid="{A9E15564-22FE-4409-88D3-E930B691962F}">
          <x14:formula1>
            <xm:f>BundlingCompatabilityData!B58:B67</xm:f>
          </x14:formula1>
          <xm:sqref>G174</xm:sqref>
        </x14:dataValidation>
        <x14:dataValidation type="list" allowBlank="1" showInputMessage="1" showErrorMessage="1" xr:uid="{B125056E-7372-4F40-88A5-38D67C7AB20E}">
          <x14:formula1>
            <xm:f>BundlingCompatabilityData!B58:B67</xm:f>
          </x14:formula1>
          <xm:sqref>G175</xm:sqref>
        </x14:dataValidation>
        <x14:dataValidation type="list" allowBlank="1" showInputMessage="1" showErrorMessage="1" xr:uid="{28CA714E-3BB7-43B0-86C7-053D1562CA08}">
          <x14:formula1>
            <xm:f>BundlingCompatabilityData!B58:B67</xm:f>
          </x14:formula1>
          <xm:sqref>G176</xm:sqref>
        </x14:dataValidation>
        <x14:dataValidation type="list" allowBlank="1" showInputMessage="1" showErrorMessage="1" xr:uid="{536BB037-3DDF-4592-8D00-94EE015D6EAB}">
          <x14:formula1>
            <xm:f>BundlingCompatabilityData!B58:B67</xm:f>
          </x14:formula1>
          <xm:sqref>G177</xm:sqref>
        </x14:dataValidation>
        <x14:dataValidation type="list" allowBlank="1" showInputMessage="1" showErrorMessage="1" xr:uid="{97F915BC-F4BE-419C-BC3B-C30B230DA3C9}">
          <x14:formula1>
            <xm:f>BundlingCompatabilityData!B58:B67</xm:f>
          </x14:formula1>
          <xm:sqref>G178</xm:sqref>
        </x14:dataValidation>
        <x14:dataValidation type="list" allowBlank="1" showInputMessage="1" showErrorMessage="1" xr:uid="{186DBC5D-871A-43E9-953A-08AF3541BCB6}">
          <x14:formula1>
            <xm:f>BundlingCompatabilityData!B58:B67</xm:f>
          </x14:formula1>
          <xm:sqref>G179</xm:sqref>
        </x14:dataValidation>
        <x14:dataValidation type="list" allowBlank="1" showInputMessage="1" showErrorMessage="1" xr:uid="{99332E5C-2508-4B06-9079-B8D2B58D1304}">
          <x14:formula1>
            <xm:f>BundlingCompatabilityData!B58:B67</xm:f>
          </x14:formula1>
          <xm:sqref>G180</xm:sqref>
        </x14:dataValidation>
        <x14:dataValidation type="list" allowBlank="1" showInputMessage="1" showErrorMessage="1" xr:uid="{84CF69AC-6BF4-4D71-A334-EC12D95AE5C0}">
          <x14:formula1>
            <xm:f>BundlingCompatabilityData!B58:B67</xm:f>
          </x14:formula1>
          <xm:sqref>G181</xm:sqref>
        </x14:dataValidation>
        <x14:dataValidation type="list" allowBlank="1" showInputMessage="1" showErrorMessage="1" xr:uid="{8FB19444-4291-407A-82ED-1A4670C4845E}">
          <x14:formula1>
            <xm:f>BundlingCompatabilityData!B58:B67</xm:f>
          </x14:formula1>
          <xm:sqref>G182</xm:sqref>
        </x14:dataValidation>
        <x14:dataValidation type="list" allowBlank="1" showInputMessage="1" showErrorMessage="1" xr:uid="{9DA166C4-DDED-4D3F-B666-81D1393EC380}">
          <x14:formula1>
            <xm:f>BundlingCompatabilityData!B58:B67</xm:f>
          </x14:formula1>
          <xm:sqref>G183</xm:sqref>
        </x14:dataValidation>
        <x14:dataValidation type="list" allowBlank="1" showInputMessage="1" showErrorMessage="1" xr:uid="{CA467B7C-8660-4063-9755-A6261A1F5030}">
          <x14:formula1>
            <xm:f>BundlingCompatabilityData!B58:B67</xm:f>
          </x14:formula1>
          <xm:sqref>G184</xm:sqref>
        </x14:dataValidation>
        <x14:dataValidation type="list" allowBlank="1" showInputMessage="1" showErrorMessage="1" xr:uid="{092D3FDB-93A1-41A3-8FAF-754468C6AB91}">
          <x14:formula1>
            <xm:f>BundlingCompatabilityData!B58:B67</xm:f>
          </x14:formula1>
          <xm:sqref>G185</xm:sqref>
        </x14:dataValidation>
        <x14:dataValidation type="list" allowBlank="1" showInputMessage="1" showErrorMessage="1" xr:uid="{E81FE88B-CD47-4852-AD1E-DB9692F4783F}">
          <x14:formula1>
            <xm:f>BundlingCompatabilityData!B58:B67</xm:f>
          </x14:formula1>
          <xm:sqref>G186</xm:sqref>
        </x14:dataValidation>
        <x14:dataValidation type="list" allowBlank="1" showInputMessage="1" showErrorMessage="1" xr:uid="{5350BF15-C844-4F47-B9E8-461CAEFA72E6}">
          <x14:formula1>
            <xm:f>BundlingCompatabilityData!B58:B67</xm:f>
          </x14:formula1>
          <xm:sqref>G187</xm:sqref>
        </x14:dataValidation>
        <x14:dataValidation type="list" allowBlank="1" showInputMessage="1" showErrorMessage="1" xr:uid="{E46FBF5F-EF0A-43FE-8AE3-2571F066153E}">
          <x14:formula1>
            <xm:f>BundlingCompatabilityData!B58:B67</xm:f>
          </x14:formula1>
          <xm:sqref>G188</xm:sqref>
        </x14:dataValidation>
        <x14:dataValidation type="list" allowBlank="1" showInputMessage="1" showErrorMessage="1" xr:uid="{532BC479-BFE6-43C3-8318-3E102D13035A}">
          <x14:formula1>
            <xm:f>BundlingCompatabilityData!B58:B67</xm:f>
          </x14:formula1>
          <xm:sqref>G189</xm:sqref>
        </x14:dataValidation>
        <x14:dataValidation type="list" allowBlank="1" showInputMessage="1" showErrorMessage="1" xr:uid="{FC0D0192-16A1-4C53-B0D5-0FA71E586D31}">
          <x14:formula1>
            <xm:f>BundlingCompatabilityData!B58:B67</xm:f>
          </x14:formula1>
          <xm:sqref>G190</xm:sqref>
        </x14:dataValidation>
        <x14:dataValidation type="list" allowBlank="1" showInputMessage="1" showErrorMessage="1" xr:uid="{E5239E72-8483-4E1C-B26D-AF4B1B6254DE}">
          <x14:formula1>
            <xm:f>BundlingCompatabilityData!B58:B67</xm:f>
          </x14:formula1>
          <xm:sqref>G191</xm:sqref>
        </x14:dataValidation>
        <x14:dataValidation type="list" allowBlank="1" showInputMessage="1" showErrorMessage="1" xr:uid="{2DA30AF5-DFDA-4307-8959-99AB816767F2}">
          <x14:formula1>
            <xm:f>BundlingCompatabilityData!B58:B67</xm:f>
          </x14:formula1>
          <xm:sqref>G192</xm:sqref>
        </x14:dataValidation>
        <x14:dataValidation type="list" allowBlank="1" showInputMessage="1" showErrorMessage="1" xr:uid="{05B4FFF1-8BF6-4228-84CB-46FD990E4C45}">
          <x14:formula1>
            <xm:f>BundlingCompatabilityData!B58:B67</xm:f>
          </x14:formula1>
          <xm:sqref>G193</xm:sqref>
        </x14:dataValidation>
        <x14:dataValidation type="list" allowBlank="1" showInputMessage="1" showErrorMessage="1" xr:uid="{56290681-9995-45F7-BCD2-6BBE6E123584}">
          <x14:formula1>
            <xm:f>BundlingCompatabilityData!B27:B36</xm:f>
          </x14:formula1>
          <xm:sqref>E194</xm:sqref>
        </x14:dataValidation>
        <x14:dataValidation type="list" allowBlank="1" showInputMessage="1" showErrorMessage="1" xr:uid="{D85A9272-96CD-42C6-B663-D297B48382EC}">
          <x14:formula1>
            <xm:f>BundlingCompatabilityData!B27:B36</xm:f>
          </x14:formula1>
          <xm:sqref>E195</xm:sqref>
        </x14:dataValidation>
        <x14:dataValidation type="list" allowBlank="1" showInputMessage="1" showErrorMessage="1" xr:uid="{ED9491FC-5AA0-48AD-99CE-3E88F0F5BF3A}">
          <x14:formula1>
            <xm:f>BundlingCompatabilityData!B27:B36</xm:f>
          </x14:formula1>
          <xm:sqref>E196</xm:sqref>
        </x14:dataValidation>
        <x14:dataValidation type="list" allowBlank="1" showInputMessage="1" showErrorMessage="1" xr:uid="{CB96530E-B3B9-4310-81C7-BD8A6FBB0461}">
          <x14:formula1>
            <xm:f>BundlingCompatabilityData!B27:B36</xm:f>
          </x14:formula1>
          <xm:sqref>E197</xm:sqref>
        </x14:dataValidation>
        <x14:dataValidation type="list" allowBlank="1" showInputMessage="1" showErrorMessage="1" xr:uid="{9E82C883-CE55-484F-B16E-42007DD7D61F}">
          <x14:formula1>
            <xm:f>BundlingCompatabilityData!B27:B36</xm:f>
          </x14:formula1>
          <xm:sqref>E198</xm:sqref>
        </x14:dataValidation>
        <x14:dataValidation type="list" allowBlank="1" showInputMessage="1" showErrorMessage="1" xr:uid="{98D8DE5C-CB54-476A-8287-3E2140FB52B8}">
          <x14:formula1>
            <xm:f>BundlingCompatabilityData!B27:B36</xm:f>
          </x14:formula1>
          <xm:sqref>E199</xm:sqref>
        </x14:dataValidation>
        <x14:dataValidation type="list" allowBlank="1" showInputMessage="1" showErrorMessage="1" xr:uid="{6E207D26-3725-443F-86DC-6B9DC26B3049}">
          <x14:formula1>
            <xm:f>BundlingCompatabilityData!B27:B36</xm:f>
          </x14:formula1>
          <xm:sqref>E200</xm:sqref>
        </x14:dataValidation>
        <x14:dataValidation type="list" allowBlank="1" showInputMessage="1" showErrorMessage="1" xr:uid="{A5DA1DF7-19CB-4EB9-BC55-B134712E8A80}">
          <x14:formula1>
            <xm:f>BundlingCompatabilityData!B27:B36</xm:f>
          </x14:formula1>
          <xm:sqref>E201</xm:sqref>
        </x14:dataValidation>
        <x14:dataValidation type="list" allowBlank="1" showInputMessage="1" showErrorMessage="1" xr:uid="{FB3CB749-F172-435C-9083-A980E17FDCA0}">
          <x14:formula1>
            <xm:f>BundlingCompatabilityData!B27:B36</xm:f>
          </x14:formula1>
          <xm:sqref>E202</xm:sqref>
        </x14:dataValidation>
        <x14:dataValidation type="list" allowBlank="1" showInputMessage="1" showErrorMessage="1" xr:uid="{E535CF38-72AD-4CDB-AD08-5B7F9438B572}">
          <x14:formula1>
            <xm:f>BundlingCompatabilityData!B27:B36</xm:f>
          </x14:formula1>
          <xm:sqref>E203</xm:sqref>
        </x14:dataValidation>
        <x14:dataValidation type="list" allowBlank="1" showInputMessage="1" showErrorMessage="1" xr:uid="{53AEE64F-CA6B-4C6E-9991-793B86F371AD}">
          <x14:formula1>
            <xm:f>BundlingCompatabilityData!B27:B36</xm:f>
          </x14:formula1>
          <xm:sqref>E204</xm:sqref>
        </x14:dataValidation>
        <x14:dataValidation type="list" allowBlank="1" showInputMessage="1" showErrorMessage="1" xr:uid="{113497C8-1380-4E21-845B-E3BCA05C53BC}">
          <x14:formula1>
            <xm:f>BundlingCompatabilityData!B27:B36</xm:f>
          </x14:formula1>
          <xm:sqref>E205</xm:sqref>
        </x14:dataValidation>
        <x14:dataValidation type="list" allowBlank="1" showInputMessage="1" showErrorMessage="1" xr:uid="{40A48ACC-34E1-4C4F-9CAC-4B1ECFC63E10}">
          <x14:formula1>
            <xm:f>BundlingCompatabilityData!B27:B36</xm:f>
          </x14:formula1>
          <xm:sqref>E206</xm:sqref>
        </x14:dataValidation>
        <x14:dataValidation type="list" allowBlank="1" showInputMessage="1" showErrorMessage="1" xr:uid="{18F8B54B-6A8C-4A20-A4A2-01E671F298AA}">
          <x14:formula1>
            <xm:f>BundlingCompatabilityData!B27:B36</xm:f>
          </x14:formula1>
          <xm:sqref>E207</xm:sqref>
        </x14:dataValidation>
        <x14:dataValidation type="list" allowBlank="1" showInputMessage="1" showErrorMessage="1" xr:uid="{6B0CFEE4-6ABE-4F6E-B22D-72BFE1AC815D}">
          <x14:formula1>
            <xm:f>BundlingCompatabilityData!B27:B36</xm:f>
          </x14:formula1>
          <xm:sqref>E208</xm:sqref>
        </x14:dataValidation>
        <x14:dataValidation type="list" allowBlank="1" showInputMessage="1" showErrorMessage="1" xr:uid="{E6CA2AA3-56D8-4B36-B2CA-18B41BCEC140}">
          <x14:formula1>
            <xm:f>BundlingCompatabilityData!B27:B36</xm:f>
          </x14:formula1>
          <xm:sqref>E209</xm:sqref>
        </x14:dataValidation>
        <x14:dataValidation type="list" allowBlank="1" showInputMessage="1" showErrorMessage="1" xr:uid="{788C2CC3-4C68-4A2B-A3CF-4C9DB361F836}">
          <x14:formula1>
            <xm:f>BundlingCompatabilityData!B27:B36</xm:f>
          </x14:formula1>
          <xm:sqref>E210</xm:sqref>
        </x14:dataValidation>
        <x14:dataValidation type="list" allowBlank="1" showInputMessage="1" showErrorMessage="1" xr:uid="{C7562DC8-6121-418F-ADCD-21D81D9BE7DC}">
          <x14:formula1>
            <xm:f>BundlingCompatabilityData!B27:B36</xm:f>
          </x14:formula1>
          <xm:sqref>E211</xm:sqref>
        </x14:dataValidation>
        <x14:dataValidation type="list" allowBlank="1" showInputMessage="1" showErrorMessage="1" xr:uid="{F5E106D4-F959-467B-9174-5EEA70CEBBAF}">
          <x14:formula1>
            <xm:f>BundlingCompatabilityData!B27:B36</xm:f>
          </x14:formula1>
          <xm:sqref>E212</xm:sqref>
        </x14:dataValidation>
        <x14:dataValidation type="list" allowBlank="1" showInputMessage="1" showErrorMessage="1" xr:uid="{2932BE0D-AE86-4AD1-9749-2A50A4FBAD36}">
          <x14:formula1>
            <xm:f>BundlingCompatabilityData!B27:B36</xm:f>
          </x14:formula1>
          <xm:sqref>E213</xm:sqref>
        </x14:dataValidation>
        <x14:dataValidation type="list" allowBlank="1" showInputMessage="1" showErrorMessage="1" xr:uid="{718D2416-932F-4F58-80D3-2DAA857E10A0}">
          <x14:formula1>
            <xm:f>BundlingCompatabilityData!B27:B36</xm:f>
          </x14:formula1>
          <xm:sqref>E214</xm:sqref>
        </x14:dataValidation>
        <x14:dataValidation type="list" allowBlank="1" showInputMessage="1" showErrorMessage="1" xr:uid="{49E556C1-59F6-409F-B512-E6157EB17784}">
          <x14:formula1>
            <xm:f>BundlingCompatabilityData!B27:B36</xm:f>
          </x14:formula1>
          <xm:sqref>E215</xm:sqref>
        </x14:dataValidation>
        <x14:dataValidation type="list" allowBlank="1" showInputMessage="1" showErrorMessage="1" xr:uid="{22D2691D-D968-4F1E-A392-FBF9CCDA1A9E}">
          <x14:formula1>
            <xm:f>BundlingCompatabilityData!B27:B36</xm:f>
          </x14:formula1>
          <xm:sqref>E216</xm:sqref>
        </x14:dataValidation>
        <x14:dataValidation type="list" allowBlank="1" showInputMessage="1" showErrorMessage="1" xr:uid="{A4A78915-D92C-4A2F-9C07-04EBC0C4A8EC}">
          <x14:formula1>
            <xm:f>BundlingCompatabilityData!B27:B36</xm:f>
          </x14:formula1>
          <xm:sqref>E217</xm:sqref>
        </x14:dataValidation>
        <x14:dataValidation type="list" allowBlank="1" showInputMessage="1" showErrorMessage="1" xr:uid="{C2C098DD-CD0D-4DA0-B496-D20A199B26A4}">
          <x14:formula1>
            <xm:f>BundlingCompatabilityData!B27:B36</xm:f>
          </x14:formula1>
          <xm:sqref>E218</xm:sqref>
        </x14:dataValidation>
        <x14:dataValidation type="list" allowBlank="1" showInputMessage="1" showErrorMessage="1" xr:uid="{00CC8EB8-16C3-4CD7-A83C-644593193009}">
          <x14:formula1>
            <xm:f>BundlingCompatabilityData!B27:B36</xm:f>
          </x14:formula1>
          <xm:sqref>E219</xm:sqref>
        </x14:dataValidation>
        <x14:dataValidation type="list" allowBlank="1" showInputMessage="1" showErrorMessage="1" xr:uid="{3E2A0E27-334B-4EB2-8AA9-F84AEF42434F}">
          <x14:formula1>
            <xm:f>BundlingCompatabilityData!B27:B36</xm:f>
          </x14:formula1>
          <xm:sqref>E220</xm:sqref>
        </x14:dataValidation>
        <x14:dataValidation type="list" allowBlank="1" showInputMessage="1" showErrorMessage="1" xr:uid="{7EB99069-3231-44DD-8A5F-AF77DE753C45}">
          <x14:formula1>
            <xm:f>BundlingCompatabilityData!B27:B36</xm:f>
          </x14:formula1>
          <xm:sqref>E221</xm:sqref>
        </x14:dataValidation>
        <x14:dataValidation type="list" allowBlank="1" showInputMessage="1" showErrorMessage="1" xr:uid="{BAF1B19C-D5E6-440B-82F9-A568CC03D64E}">
          <x14:formula1>
            <xm:f>BundlingCompatabilityData!B27:B36</xm:f>
          </x14:formula1>
          <xm:sqref>E222</xm:sqref>
        </x14:dataValidation>
        <x14:dataValidation type="list" allowBlank="1" showInputMessage="1" showErrorMessage="1" xr:uid="{954548BA-AAF9-4C62-8C40-CCC7193E54B4}">
          <x14:formula1>
            <xm:f>BundlingCompatabilityData!B27:B36</xm:f>
          </x14:formula1>
          <xm:sqref>E223</xm:sqref>
        </x14:dataValidation>
        <x14:dataValidation type="list" allowBlank="1" showInputMessage="1" showErrorMessage="1" xr:uid="{8D2085A4-7441-4C93-AD2B-B31F6ED7E12D}">
          <x14:formula1>
            <xm:f>BundlingCompatabilityData!B27:B36</xm:f>
          </x14:formula1>
          <xm:sqref>E224</xm:sqref>
        </x14:dataValidation>
        <x14:dataValidation type="list" allowBlank="1" showInputMessage="1" showErrorMessage="1" xr:uid="{591DB9F4-7F5B-40D3-8788-56EECB7750AF}">
          <x14:formula1>
            <xm:f>BundlingCompatabilityData!B27:B36</xm:f>
          </x14:formula1>
          <xm:sqref>E225</xm:sqref>
        </x14:dataValidation>
        <x14:dataValidation type="list" allowBlank="1" showInputMessage="1" showErrorMessage="1" xr:uid="{1DCD7470-5CD5-446E-92D3-027310C8BA0A}">
          <x14:formula1>
            <xm:f>BundlingCompatabilityData!B27:B36</xm:f>
          </x14:formula1>
          <xm:sqref>E226</xm:sqref>
        </x14:dataValidation>
        <x14:dataValidation type="list" allowBlank="1" showInputMessage="1" showErrorMessage="1" xr:uid="{046B1DE1-C419-4048-A020-B61AAB2D8D9D}">
          <x14:formula1>
            <xm:f>BundlingCompatabilityData!B27:B36</xm:f>
          </x14:formula1>
          <xm:sqref>E227</xm:sqref>
        </x14:dataValidation>
        <x14:dataValidation type="list" allowBlank="1" showInputMessage="1" showErrorMessage="1" xr:uid="{FA28692F-BF2B-452D-90A5-D102315CF1CB}">
          <x14:formula1>
            <xm:f>BundlingCompatabilityData!B27:B36</xm:f>
          </x14:formula1>
          <xm:sqref>E228</xm:sqref>
        </x14:dataValidation>
        <x14:dataValidation type="list" allowBlank="1" showInputMessage="1" showErrorMessage="1" xr:uid="{1045C20D-B0D9-473E-91CB-9E658CD4B1FA}">
          <x14:formula1>
            <xm:f>BundlingCompatabilityData!B27:B36</xm:f>
          </x14:formula1>
          <xm:sqref>E229</xm:sqref>
        </x14:dataValidation>
        <x14:dataValidation type="list" allowBlank="1" showInputMessage="1" showErrorMessage="1" xr:uid="{0B1FE5C6-CD4E-449C-801E-E1A06A74C22C}">
          <x14:formula1>
            <xm:f>BundlingCompatabilityData!B27:B36</xm:f>
          </x14:formula1>
          <xm:sqref>E230</xm:sqref>
        </x14:dataValidation>
        <x14:dataValidation type="list" allowBlank="1" showInputMessage="1" showErrorMessage="1" xr:uid="{24B4FBA6-46CB-431C-B775-67D551D59977}">
          <x14:formula1>
            <xm:f>BundlingCompatabilityData!B27:B36</xm:f>
          </x14:formula1>
          <xm:sqref>E231</xm:sqref>
        </x14:dataValidation>
        <x14:dataValidation type="list" allowBlank="1" showInputMessage="1" showErrorMessage="1" xr:uid="{80608ECA-119F-42C2-B333-9AF29D90A952}">
          <x14:formula1>
            <xm:f>BundlingCompatabilityData!B27:B36</xm:f>
          </x14:formula1>
          <xm:sqref>E232</xm:sqref>
        </x14:dataValidation>
        <x14:dataValidation type="list" allowBlank="1" showInputMessage="1" showErrorMessage="1" xr:uid="{495B8416-9FD9-4709-B6C9-587763A408AD}">
          <x14:formula1>
            <xm:f>BundlingCompatabilityData!B27:B36</xm:f>
          </x14:formula1>
          <xm:sqref>E233</xm:sqref>
        </x14:dataValidation>
        <x14:dataValidation type="list" allowBlank="1" showInputMessage="1" showErrorMessage="1" xr:uid="{1587FB14-3BCD-415C-B744-ECCF550B672A}">
          <x14:formula1>
            <xm:f>BundlingCompatabilityData!B27:B36</xm:f>
          </x14:formula1>
          <xm:sqref>E234</xm:sqref>
        </x14:dataValidation>
        <x14:dataValidation type="list" allowBlank="1" showInputMessage="1" showErrorMessage="1" xr:uid="{3CA7C0F3-6850-4A08-886C-B6B3CBF5C654}">
          <x14:formula1>
            <xm:f>BundlingCompatabilityData!B27:B36</xm:f>
          </x14:formula1>
          <xm:sqref>E235</xm:sqref>
        </x14:dataValidation>
        <x14:dataValidation type="list" allowBlank="1" showInputMessage="1" showErrorMessage="1" xr:uid="{1E491A8E-8484-4B2D-BC6A-E668AF0D1E30}">
          <x14:formula1>
            <xm:f>BundlingCompatabilityData!B27:B36</xm:f>
          </x14:formula1>
          <xm:sqref>E236</xm:sqref>
        </x14:dataValidation>
        <x14:dataValidation type="list" allowBlank="1" showInputMessage="1" showErrorMessage="1" xr:uid="{2D8B6DBB-69A5-4A58-8532-EF9773CCC0B8}">
          <x14:formula1>
            <xm:f>BundlingCompatabilityData!B27:B36</xm:f>
          </x14:formula1>
          <xm:sqref>E237</xm:sqref>
        </x14:dataValidation>
        <x14:dataValidation type="list" allowBlank="1" showInputMessage="1" showErrorMessage="1" xr:uid="{AD3EF253-A2B8-4F10-A6B6-1A16B13FC097}">
          <x14:formula1>
            <xm:f>BundlingCompatabilityData!B27:B36</xm:f>
          </x14:formula1>
          <xm:sqref>E238</xm:sqref>
        </x14:dataValidation>
        <x14:dataValidation type="list" allowBlank="1" showInputMessage="1" showErrorMessage="1" xr:uid="{2F712AAC-F0D1-486A-BE3B-730C6D1B6668}">
          <x14:formula1>
            <xm:f>BundlingCompatabilityData!B27:B36</xm:f>
          </x14:formula1>
          <xm:sqref>E239</xm:sqref>
        </x14:dataValidation>
        <x14:dataValidation type="list" allowBlank="1" showInputMessage="1" showErrorMessage="1" xr:uid="{78D1A820-30AA-45BF-A88D-4098549E50D5}">
          <x14:formula1>
            <xm:f>BundlingCompatabilityData!B27:B36</xm:f>
          </x14:formula1>
          <xm:sqref>E240</xm:sqref>
        </x14:dataValidation>
        <x14:dataValidation type="list" allowBlank="1" showInputMessage="1" showErrorMessage="1" xr:uid="{8C6EEC69-4A6A-4648-A647-BBD9267A28E7}">
          <x14:formula1>
            <xm:f>BundlingCompatabilityData!B27:B36</xm:f>
          </x14:formula1>
          <xm:sqref>E241</xm:sqref>
        </x14:dataValidation>
        <x14:dataValidation type="list" allowBlank="1" showInputMessage="1" showErrorMessage="1" xr:uid="{563C68C0-6E9E-4C29-AA3C-BB6EEF5627F1}">
          <x14:formula1>
            <xm:f>BundlingCompatabilityData!B27:B36</xm:f>
          </x14:formula1>
          <xm:sqref>E242</xm:sqref>
        </x14:dataValidation>
        <x14:dataValidation type="list" allowBlank="1" showInputMessage="1" showErrorMessage="1" xr:uid="{573FD114-0496-403C-9A0F-2C0F8C59EEBE}">
          <x14:formula1>
            <xm:f>BundlingCompatabilityData!B27:B36</xm:f>
          </x14:formula1>
          <xm:sqref>E243</xm:sqref>
        </x14:dataValidation>
        <x14:dataValidation type="list" allowBlank="1" showInputMessage="1" showErrorMessage="1" xr:uid="{2AAE53C0-C0D1-4F33-905E-139E7B8DA4BB}">
          <x14:formula1>
            <xm:f>BundlingCompatabilityData!B27:B36</xm:f>
          </x14:formula1>
          <xm:sqref>E244</xm:sqref>
        </x14:dataValidation>
        <x14:dataValidation type="list" allowBlank="1" showInputMessage="1" showErrorMessage="1" xr:uid="{E3C77DD7-97FD-4D7E-BFDF-A051AF735176}">
          <x14:formula1>
            <xm:f>BundlingCompatabilityData!B27:B36</xm:f>
          </x14:formula1>
          <xm:sqref>E245</xm:sqref>
        </x14:dataValidation>
        <x14:dataValidation type="list" allowBlank="1" showInputMessage="1" showErrorMessage="1" xr:uid="{FBB7360F-1CCF-46DE-B111-275CD4DBCA62}">
          <x14:formula1>
            <xm:f>BundlingCompatabilityData!B27:B36</xm:f>
          </x14:formula1>
          <xm:sqref>E246</xm:sqref>
        </x14:dataValidation>
        <x14:dataValidation type="list" allowBlank="1" showInputMessage="1" showErrorMessage="1" xr:uid="{84E823FE-21F8-4968-AB3C-24A0AC13AFB8}">
          <x14:formula1>
            <xm:f>BundlingCompatabilityData!B27:B36</xm:f>
          </x14:formula1>
          <xm:sqref>E247</xm:sqref>
        </x14:dataValidation>
        <x14:dataValidation type="list" allowBlank="1" showInputMessage="1" showErrorMessage="1" xr:uid="{2034497A-FBEB-4FEB-9900-FC104A992DB3}">
          <x14:formula1>
            <xm:f>BundlingCompatabilityData!B27:B36</xm:f>
          </x14:formula1>
          <xm:sqref>E248</xm:sqref>
        </x14:dataValidation>
        <x14:dataValidation type="list" allowBlank="1" showInputMessage="1" showErrorMessage="1" xr:uid="{6741A2B1-7649-47D7-82E3-AF94AD63CC96}">
          <x14:formula1>
            <xm:f>BundlingCompatabilityData!B27:B36</xm:f>
          </x14:formula1>
          <xm:sqref>E249</xm:sqref>
        </x14:dataValidation>
        <x14:dataValidation type="list" allowBlank="1" showInputMessage="1" showErrorMessage="1" xr:uid="{CEE8B626-068D-4E8C-B1B9-76A9CB866097}">
          <x14:formula1>
            <xm:f>BundlingCompatabilityData!B27:B36</xm:f>
          </x14:formula1>
          <xm:sqref>E250</xm:sqref>
        </x14:dataValidation>
        <x14:dataValidation type="list" allowBlank="1" showInputMessage="1" showErrorMessage="1" xr:uid="{16D1C96A-AE2B-4F35-9B5C-103914E88FA3}">
          <x14:formula1>
            <xm:f>BundlingCompatabilityData!B27:B36</xm:f>
          </x14:formula1>
          <xm:sqref>E251</xm:sqref>
        </x14:dataValidation>
        <x14:dataValidation type="list" allowBlank="1" showInputMessage="1" showErrorMessage="1" xr:uid="{3BCC4CFE-90CD-4DDF-A672-663DEC4FAD76}">
          <x14:formula1>
            <xm:f>BundlingCompatabilityData!B27:B36</xm:f>
          </x14:formula1>
          <xm:sqref>E252</xm:sqref>
        </x14:dataValidation>
        <x14:dataValidation type="list" allowBlank="1" showInputMessage="1" showErrorMessage="1" xr:uid="{9738155A-DC57-4FFE-8942-2694C9C40174}">
          <x14:formula1>
            <xm:f>BundlingCompatabilityData!B27:B36</xm:f>
          </x14:formula1>
          <xm:sqref>E253</xm:sqref>
        </x14:dataValidation>
        <x14:dataValidation type="list" allowBlank="1" showInputMessage="1" showErrorMessage="1" xr:uid="{14840897-81E2-4651-B7A9-27561C4A3102}">
          <x14:formula1>
            <xm:f>BundlingCompatabilityData!B27:B36</xm:f>
          </x14:formula1>
          <xm:sqref>E254</xm:sqref>
        </x14:dataValidation>
        <x14:dataValidation type="list" allowBlank="1" showInputMessage="1" showErrorMessage="1" xr:uid="{9D1EE533-1055-414E-B290-8C33FA5406C6}">
          <x14:formula1>
            <xm:f>BundlingCompatabilityData!B27:B36</xm:f>
          </x14:formula1>
          <xm:sqref>E255</xm:sqref>
        </x14:dataValidation>
        <x14:dataValidation type="list" allowBlank="1" showInputMessage="1" showErrorMessage="1" xr:uid="{D316A67D-4643-458C-BFB1-70979D60328D}">
          <x14:formula1>
            <xm:f>BundlingCompatabilityData!B27:B36</xm:f>
          </x14:formula1>
          <xm:sqref>E256</xm:sqref>
        </x14:dataValidation>
        <x14:dataValidation type="list" allowBlank="1" showInputMessage="1" showErrorMessage="1" xr:uid="{7A05F70C-CDED-488B-AEFE-D8A6BFB7AA0D}">
          <x14:formula1>
            <xm:f>BundlingCompatabilityData!B27:B36</xm:f>
          </x14:formula1>
          <xm:sqref>E257</xm:sqref>
        </x14:dataValidation>
        <x14:dataValidation type="list" allowBlank="1" showInputMessage="1" showErrorMessage="1" xr:uid="{6305F6D5-61D0-4DD0-BA2B-7F684E6ED2C7}">
          <x14:formula1>
            <xm:f>BundlingCompatabilityData!B27:B36</xm:f>
          </x14:formula1>
          <xm:sqref>E258</xm:sqref>
        </x14:dataValidation>
        <x14:dataValidation type="list" allowBlank="1" showInputMessage="1" showErrorMessage="1" xr:uid="{81F5C535-6929-4379-B49A-94367314BC67}">
          <x14:formula1>
            <xm:f>BundlingCompatabilityData!B27:B36</xm:f>
          </x14:formula1>
          <xm:sqref>E259</xm:sqref>
        </x14:dataValidation>
        <x14:dataValidation type="list" allowBlank="1" showInputMessage="1" showErrorMessage="1" xr:uid="{C4525FC9-7A69-479C-8A8B-2224C9F0F21F}">
          <x14:formula1>
            <xm:f>BundlingCompatabilityData!B27:B36</xm:f>
          </x14:formula1>
          <xm:sqref>E260</xm:sqref>
        </x14:dataValidation>
        <x14:dataValidation type="list" allowBlank="1" showInputMessage="1" showErrorMessage="1" xr:uid="{8CB7EF03-D09C-4FF3-A47F-43C6529182D9}">
          <x14:formula1>
            <xm:f>BundlingCompatabilityData!B27:B36</xm:f>
          </x14:formula1>
          <xm:sqref>E261</xm:sqref>
        </x14:dataValidation>
        <x14:dataValidation type="list" allowBlank="1" showInputMessage="1" showErrorMessage="1" xr:uid="{0210B410-A13A-4FA7-AAE1-2EBB97C9834E}">
          <x14:formula1>
            <xm:f>BundlingCompatabilityData!B27:B36</xm:f>
          </x14:formula1>
          <xm:sqref>E262</xm:sqref>
        </x14:dataValidation>
        <x14:dataValidation type="list" allowBlank="1" showInputMessage="1" showErrorMessage="1" xr:uid="{BA60BE35-7EC8-4859-B502-B79521D905D2}">
          <x14:formula1>
            <xm:f>BundlingCompatabilityData!B27:B36</xm:f>
          </x14:formula1>
          <xm:sqref>E263</xm:sqref>
        </x14:dataValidation>
        <x14:dataValidation type="list" allowBlank="1" showInputMessage="1" showErrorMessage="1" xr:uid="{003332B8-E0EA-4C53-9909-4DD8B53FB80D}">
          <x14:formula1>
            <xm:f>BundlingCompatabilityData!B27:B36</xm:f>
          </x14:formula1>
          <xm:sqref>E264</xm:sqref>
        </x14:dataValidation>
        <x14:dataValidation type="list" allowBlank="1" showInputMessage="1" showErrorMessage="1" xr:uid="{07C83E29-267C-4C4B-BA4F-673A475F49FE}">
          <x14:formula1>
            <xm:f>BundlingCompatabilityData!B27:B36</xm:f>
          </x14:formula1>
          <xm:sqref>E265</xm:sqref>
        </x14:dataValidation>
        <x14:dataValidation type="list" allowBlank="1" showInputMessage="1" showErrorMessage="1" xr:uid="{D92C34A9-EC97-4B20-8268-9643502C2558}">
          <x14:formula1>
            <xm:f>BundlingCompatabilityData!B27:B36</xm:f>
          </x14:formula1>
          <xm:sqref>E266</xm:sqref>
        </x14:dataValidation>
        <x14:dataValidation type="list" allowBlank="1" showInputMessage="1" showErrorMessage="1" xr:uid="{79F55BA7-C1F6-4C18-B211-E338BB80720A}">
          <x14:formula1>
            <xm:f>BundlingCompatabilityData!B27:B36</xm:f>
          </x14:formula1>
          <xm:sqref>E267</xm:sqref>
        </x14:dataValidation>
        <x14:dataValidation type="list" allowBlank="1" showInputMessage="1" showErrorMessage="1" xr:uid="{2F6BC9B1-1671-418F-973D-68C92CF4F19A}">
          <x14:formula1>
            <xm:f>BundlingCompatabilityData!B27:B36</xm:f>
          </x14:formula1>
          <xm:sqref>E268</xm:sqref>
        </x14:dataValidation>
        <x14:dataValidation type="list" allowBlank="1" showInputMessage="1" showErrorMessage="1" xr:uid="{B32DBEC4-C6E5-45F0-B3C6-79FB608A0E6F}">
          <x14:formula1>
            <xm:f>BundlingCompatabilityData!B27:B36</xm:f>
          </x14:formula1>
          <xm:sqref>E269</xm:sqref>
        </x14:dataValidation>
        <x14:dataValidation type="list" allowBlank="1" showInputMessage="1" showErrorMessage="1" xr:uid="{BC69942D-FB6A-40B3-B96B-5BB76CD34B94}">
          <x14:formula1>
            <xm:f>BundlingCompatabilityData!B27:B36</xm:f>
          </x14:formula1>
          <xm:sqref>E270</xm:sqref>
        </x14:dataValidation>
        <x14:dataValidation type="list" allowBlank="1" showInputMessage="1" showErrorMessage="1" xr:uid="{452AB408-E3BB-4211-A5E3-638D5C11709C}">
          <x14:formula1>
            <xm:f>BundlingCompatabilityData!B27:B36</xm:f>
          </x14:formula1>
          <xm:sqref>E271</xm:sqref>
        </x14:dataValidation>
        <x14:dataValidation type="list" allowBlank="1" showInputMessage="1" showErrorMessage="1" xr:uid="{D641C089-721C-4D53-B872-CD5F392BDB41}">
          <x14:formula1>
            <xm:f>BundlingCompatabilityData!B27:B36</xm:f>
          </x14:formula1>
          <xm:sqref>E272</xm:sqref>
        </x14:dataValidation>
        <x14:dataValidation type="list" allowBlank="1" showInputMessage="1" showErrorMessage="1" xr:uid="{D8C9DC65-B88A-4E82-8E0A-E40624FD1063}">
          <x14:formula1>
            <xm:f>BundlingCompatabilityData!B27:B36</xm:f>
          </x14:formula1>
          <xm:sqref>E273</xm:sqref>
        </x14:dataValidation>
        <x14:dataValidation type="list" allowBlank="1" showInputMessage="1" showErrorMessage="1" xr:uid="{4BEFF9DB-9DC5-41F1-8DDB-38AB69AAF1BA}">
          <x14:formula1>
            <xm:f>BundlingCompatabilityData!B27:B36</xm:f>
          </x14:formula1>
          <xm:sqref>E274</xm:sqref>
        </x14:dataValidation>
        <x14:dataValidation type="list" allowBlank="1" showInputMessage="1" showErrorMessage="1" xr:uid="{96D9F40E-5179-4675-B744-13BFFC533E25}">
          <x14:formula1>
            <xm:f>BundlingCompatabilityData!B27:B36</xm:f>
          </x14:formula1>
          <xm:sqref>E275</xm:sqref>
        </x14:dataValidation>
        <x14:dataValidation type="list" allowBlank="1" showInputMessage="1" showErrorMessage="1" xr:uid="{8CC7CFA7-814D-40F2-A5DC-9E2B3BFA12AE}">
          <x14:formula1>
            <xm:f>BundlingCompatabilityData!B27:B36</xm:f>
          </x14:formula1>
          <xm:sqref>E276</xm:sqref>
        </x14:dataValidation>
        <x14:dataValidation type="list" allowBlank="1" showInputMessage="1" showErrorMessage="1" xr:uid="{35EB7D90-4630-4F11-982F-684FAF7A1C73}">
          <x14:formula1>
            <xm:f>BundlingCompatabilityData!B27:B36</xm:f>
          </x14:formula1>
          <xm:sqref>E277</xm:sqref>
        </x14:dataValidation>
        <x14:dataValidation type="list" allowBlank="1" showInputMessage="1" showErrorMessage="1" xr:uid="{874CC6B4-E099-4B9B-B74C-9FC2E1C65CDD}">
          <x14:formula1>
            <xm:f>BundlingCompatabilityData!B27:B36</xm:f>
          </x14:formula1>
          <xm:sqref>E278</xm:sqref>
        </x14:dataValidation>
        <x14:dataValidation type="list" allowBlank="1" showInputMessage="1" showErrorMessage="1" xr:uid="{9C7E2A5E-91C2-4EBD-A9A8-CDF2F92892A8}">
          <x14:formula1>
            <xm:f>BundlingCompatabilityData!B27:B36</xm:f>
          </x14:formula1>
          <xm:sqref>E279</xm:sqref>
        </x14:dataValidation>
        <x14:dataValidation type="list" allowBlank="1" showInputMessage="1" showErrorMessage="1" xr:uid="{A16EC048-04E6-4AD4-AE8D-8F87AEBD8474}">
          <x14:formula1>
            <xm:f>BundlingCompatabilityData!B27:B36</xm:f>
          </x14:formula1>
          <xm:sqref>E280</xm:sqref>
        </x14:dataValidation>
        <x14:dataValidation type="list" allowBlank="1" showInputMessage="1" showErrorMessage="1" xr:uid="{3943D0A1-BA11-4842-AFEF-7825329EA0F3}">
          <x14:formula1>
            <xm:f>BundlingCompatabilityData!B27:B36</xm:f>
          </x14:formula1>
          <xm:sqref>E281</xm:sqref>
        </x14:dataValidation>
        <x14:dataValidation type="list" allowBlank="1" showInputMessage="1" showErrorMessage="1" xr:uid="{62220C63-C213-4FE2-90B9-58B9BD63F46B}">
          <x14:formula1>
            <xm:f>BundlingCompatabilityData!B27:B36</xm:f>
          </x14:formula1>
          <xm:sqref>E282</xm:sqref>
        </x14:dataValidation>
        <x14:dataValidation type="list" allowBlank="1" showInputMessage="1" showErrorMessage="1" xr:uid="{D2BDBF60-B6E8-4A1A-8234-0F87A5BC2170}">
          <x14:formula1>
            <xm:f>BundlingCompatabilityData!B27:B36</xm:f>
          </x14:formula1>
          <xm:sqref>E283</xm:sqref>
        </x14:dataValidation>
        <x14:dataValidation type="list" allowBlank="1" showInputMessage="1" showErrorMessage="1" xr:uid="{A83945A7-2C49-4F45-A0A4-A85E1202953B}">
          <x14:formula1>
            <xm:f>BundlingCompatabilityData!B27:B36</xm:f>
          </x14:formula1>
          <xm:sqref>E284</xm:sqref>
        </x14:dataValidation>
        <x14:dataValidation type="list" allowBlank="1" showInputMessage="1" showErrorMessage="1" xr:uid="{22D0E360-9557-4C37-B742-509C72B95522}">
          <x14:formula1>
            <xm:f>BundlingCompatabilityData!B27:B36</xm:f>
          </x14:formula1>
          <xm:sqref>E285</xm:sqref>
        </x14:dataValidation>
        <x14:dataValidation type="list" allowBlank="1" showInputMessage="1" showErrorMessage="1" xr:uid="{A6CF1255-C61C-486F-973E-00065A0F204B}">
          <x14:formula1>
            <xm:f>BundlingCompatabilityData!B27:B36</xm:f>
          </x14:formula1>
          <xm:sqref>E286</xm:sqref>
        </x14:dataValidation>
        <x14:dataValidation type="list" allowBlank="1" showInputMessage="1" showErrorMessage="1" xr:uid="{F8C240AD-7E08-47D7-B280-8B2114080E91}">
          <x14:formula1>
            <xm:f>BundlingCompatabilityData!B27:B36</xm:f>
          </x14:formula1>
          <xm:sqref>E287</xm:sqref>
        </x14:dataValidation>
        <x14:dataValidation type="list" allowBlank="1" showInputMessage="1" showErrorMessage="1" xr:uid="{9F19F98D-73D1-4836-9479-66811CEDF751}">
          <x14:formula1>
            <xm:f>BundlingCompatabilityData!B27:B36</xm:f>
          </x14:formula1>
          <xm:sqref>E288</xm:sqref>
        </x14:dataValidation>
        <x14:dataValidation type="list" allowBlank="1" showInputMessage="1" showErrorMessage="1" xr:uid="{A6C740F6-9ABE-4F14-A7BD-1D5F56300FB8}">
          <x14:formula1>
            <xm:f>BundlingCompatabilityData!B27:B36</xm:f>
          </x14:formula1>
          <xm:sqref>E289</xm:sqref>
        </x14:dataValidation>
        <x14:dataValidation type="list" allowBlank="1" showInputMessage="1" showErrorMessage="1" xr:uid="{965A4C23-B675-4533-922C-DF4D2C9D9C96}">
          <x14:formula1>
            <xm:f>BundlingCompatabilityData!B27:B36</xm:f>
          </x14:formula1>
          <xm:sqref>E290</xm:sqref>
        </x14:dataValidation>
        <x14:dataValidation type="list" allowBlank="1" showInputMessage="1" showErrorMessage="1" xr:uid="{B7F319DE-21AD-4189-90AE-B18A06E17AEC}">
          <x14:formula1>
            <xm:f>BundlingCompatabilityData!B27:B36</xm:f>
          </x14:formula1>
          <xm:sqref>E291</xm:sqref>
        </x14:dataValidation>
        <x14:dataValidation type="list" allowBlank="1" showInputMessage="1" showErrorMessage="1" xr:uid="{82278CF2-7257-4F27-A980-B84D5368C0D4}">
          <x14:formula1>
            <xm:f>BundlingCompatabilityData!B27:B36</xm:f>
          </x14:formula1>
          <xm:sqref>E292</xm:sqref>
        </x14:dataValidation>
        <x14:dataValidation type="list" allowBlank="1" showInputMessage="1" showErrorMessage="1" xr:uid="{D1A390A5-60FB-48B1-8CAD-CF921FBBDE06}">
          <x14:formula1>
            <xm:f>BundlingCompatabilityData!B27:B36</xm:f>
          </x14:formula1>
          <xm:sqref>E293</xm:sqref>
        </x14:dataValidation>
        <x14:dataValidation type="list" allowBlank="1" showInputMessage="1" showErrorMessage="1" xr:uid="{3BF07CCC-F25B-4B8D-831B-B4B33C13BA05}">
          <x14:formula1>
            <xm:f>BundlingCompatabilityData!B27:B36</xm:f>
          </x14:formula1>
          <xm:sqref>E294</xm:sqref>
        </x14:dataValidation>
        <x14:dataValidation type="list" allowBlank="1" showInputMessage="1" showErrorMessage="1" xr:uid="{C686450F-6212-41D9-BF4B-0C83BDBBF71D}">
          <x14:formula1>
            <xm:f>BundlingCompatabilityData!B27:B36</xm:f>
          </x14:formula1>
          <xm:sqref>E295</xm:sqref>
        </x14:dataValidation>
        <x14:dataValidation type="list" allowBlank="1" showInputMessage="1" showErrorMessage="1" xr:uid="{B7388F3A-9E83-46F6-A1BD-FF1197B9EF64}">
          <x14:formula1>
            <xm:f>BundlingCompatabilityData!B27:B36</xm:f>
          </x14:formula1>
          <xm:sqref>E296</xm:sqref>
        </x14:dataValidation>
        <x14:dataValidation type="list" allowBlank="1" showInputMessage="1" showErrorMessage="1" xr:uid="{C5B7DA17-BC1D-42CE-ADAB-3AEFD2416696}">
          <x14:formula1>
            <xm:f>BundlingCompatabilityData!B27:B36</xm:f>
          </x14:formula1>
          <xm:sqref>E297</xm:sqref>
        </x14:dataValidation>
        <x14:dataValidation type="list" allowBlank="1" showInputMessage="1" showErrorMessage="1" xr:uid="{81461F2E-85E3-4A13-A7EA-B219F184303E}">
          <x14:formula1>
            <xm:f>BundlingCompatabilityData!B27:B36</xm:f>
          </x14:formula1>
          <xm:sqref>E298</xm:sqref>
        </x14:dataValidation>
        <x14:dataValidation type="list" allowBlank="1" showInputMessage="1" showErrorMessage="1" xr:uid="{5C9032F4-680F-4C0C-8025-2249D244BC93}">
          <x14:formula1>
            <xm:f>BundlingCompatabilityData!B27:B36</xm:f>
          </x14:formula1>
          <xm:sqref>E299</xm:sqref>
        </x14:dataValidation>
        <x14:dataValidation type="list" allowBlank="1" showInputMessage="1" showErrorMessage="1" xr:uid="{22DC1923-D5F8-43A3-A45B-552D0C731153}">
          <x14:formula1>
            <xm:f>BundlingCompatabilityData!B27:B36</xm:f>
          </x14:formula1>
          <xm:sqref>E300</xm:sqref>
        </x14:dataValidation>
        <x14:dataValidation type="list" allowBlank="1" showInputMessage="1" showErrorMessage="1" xr:uid="{13DCB208-EA5C-4B7F-A0ED-1BEDEF67D9DE}">
          <x14:formula1>
            <xm:f>BundlingCompatabilityData!B27:B36</xm:f>
          </x14:formula1>
          <xm:sqref>E301</xm:sqref>
        </x14:dataValidation>
        <x14:dataValidation type="list" allowBlank="1" showInputMessage="1" showErrorMessage="1" xr:uid="{32A1B139-AC7C-47CD-B8ED-37A90523D11E}">
          <x14:formula1>
            <xm:f>BundlingCompatabilityData!B27:B36</xm:f>
          </x14:formula1>
          <xm:sqref>E302</xm:sqref>
        </x14:dataValidation>
        <x14:dataValidation type="list" allowBlank="1" showInputMessage="1" showErrorMessage="1" xr:uid="{0BB88E2F-7B44-43BA-80E6-7EBA66BB215C}">
          <x14:formula1>
            <xm:f>BundlingCompatabilityData!B27:B36</xm:f>
          </x14:formula1>
          <xm:sqref>E303</xm:sqref>
        </x14:dataValidation>
        <x14:dataValidation type="list" allowBlank="1" showInputMessage="1" showErrorMessage="1" xr:uid="{A99281E9-CD65-498F-8576-FAD316C94F54}">
          <x14:formula1>
            <xm:f>BundlingCompatabilityData!B27:B36</xm:f>
          </x14:formula1>
          <xm:sqref>E304</xm:sqref>
        </x14:dataValidation>
        <x14:dataValidation type="list" allowBlank="1" showInputMessage="1" showErrorMessage="1" xr:uid="{0FB19ACE-0AC7-4783-826A-D6AE52D7132F}">
          <x14:formula1>
            <xm:f>BundlingCompatabilityData!B27:B36</xm:f>
          </x14:formula1>
          <xm:sqref>E305</xm:sqref>
        </x14:dataValidation>
        <x14:dataValidation type="list" allowBlank="1" showInputMessage="1" showErrorMessage="1" xr:uid="{85ADFB38-1F88-4391-91C3-CAD10EFB8DA3}">
          <x14:formula1>
            <xm:f>BundlingCompatabilityData!B27:B36</xm:f>
          </x14:formula1>
          <xm:sqref>E306</xm:sqref>
        </x14:dataValidation>
        <x14:dataValidation type="list" allowBlank="1" showInputMessage="1" showErrorMessage="1" xr:uid="{3CBD99BF-9820-472D-8F6B-5AFD09EBF9DE}">
          <x14:formula1>
            <xm:f>BundlingCompatabilityData!B27:B36</xm:f>
          </x14:formula1>
          <xm:sqref>E307</xm:sqref>
        </x14:dataValidation>
        <x14:dataValidation type="list" allowBlank="1" showInputMessage="1" showErrorMessage="1" xr:uid="{CB3248AF-BAFE-45E7-AB69-701297F9729A}">
          <x14:formula1>
            <xm:f>BundlingCompatabilityData!B27:B36</xm:f>
          </x14:formula1>
          <xm:sqref>E308</xm:sqref>
        </x14:dataValidation>
        <x14:dataValidation type="list" allowBlank="1" showInputMessage="1" showErrorMessage="1" xr:uid="{A6C52332-0346-450A-92BC-EA6F4DBC423E}">
          <x14:formula1>
            <xm:f>BundlingCompatabilityData!B27:B36</xm:f>
          </x14:formula1>
          <xm:sqref>E309</xm:sqref>
        </x14:dataValidation>
        <x14:dataValidation type="list" allowBlank="1" showInputMessage="1" showErrorMessage="1" xr:uid="{4350E8AF-DD74-4D96-BB8D-56D51757423E}">
          <x14:formula1>
            <xm:f>BundlingCompatabilityData!B27:B36</xm:f>
          </x14:formula1>
          <xm:sqref>E310</xm:sqref>
        </x14:dataValidation>
        <x14:dataValidation type="list" allowBlank="1" showInputMessage="1" showErrorMessage="1" xr:uid="{9260603D-B389-4D21-93D1-FF1BF6BF3B6C}">
          <x14:formula1>
            <xm:f>BundlingCompatabilityData!B27:B36</xm:f>
          </x14:formula1>
          <xm:sqref>E311</xm:sqref>
        </x14:dataValidation>
        <x14:dataValidation type="list" allowBlank="1" showInputMessage="1" showErrorMessage="1" xr:uid="{AA3B6794-D361-478E-AECD-291C018CF79A}">
          <x14:formula1>
            <xm:f>BundlingCompatabilityData!B27:B36</xm:f>
          </x14:formula1>
          <xm:sqref>E312</xm:sqref>
        </x14:dataValidation>
        <x14:dataValidation type="list" allowBlank="1" showInputMessage="1" showErrorMessage="1" xr:uid="{FAA1BFD4-E8C8-419E-B89B-6A91FA6C0DA5}">
          <x14:formula1>
            <xm:f>BundlingCompatabilityData!B27:B36</xm:f>
          </x14:formula1>
          <xm:sqref>E313</xm:sqref>
        </x14:dataValidation>
        <x14:dataValidation type="list" allowBlank="1" showInputMessage="1" showErrorMessage="1" xr:uid="{C1AD226D-3440-4294-AB3D-A61E15048F38}">
          <x14:formula1>
            <xm:f>BundlingCompatabilityData!B27:B36</xm:f>
          </x14:formula1>
          <xm:sqref>E314</xm:sqref>
        </x14:dataValidation>
        <x14:dataValidation type="list" allowBlank="1" showInputMessage="1" showErrorMessage="1" xr:uid="{EB02CAEF-9D1C-475E-9C41-6BD9052DC16C}">
          <x14:formula1>
            <xm:f>BundlingCompatabilityData!B27:B36</xm:f>
          </x14:formula1>
          <xm:sqref>E315</xm:sqref>
        </x14:dataValidation>
        <x14:dataValidation type="list" allowBlank="1" showInputMessage="1" showErrorMessage="1" xr:uid="{47CA9027-F2B6-43CC-8446-06DC38FB8459}">
          <x14:formula1>
            <xm:f>BundlingCompatabilityData!B27:B36</xm:f>
          </x14:formula1>
          <xm:sqref>E316</xm:sqref>
        </x14:dataValidation>
        <x14:dataValidation type="list" allowBlank="1" showInputMessage="1" showErrorMessage="1" xr:uid="{94077017-18EB-4A36-B3A4-8CF85E969AFC}">
          <x14:formula1>
            <xm:f>BundlingCompatabilityData!B27:B36</xm:f>
          </x14:formula1>
          <xm:sqref>E317</xm:sqref>
        </x14:dataValidation>
        <x14:dataValidation type="list" allowBlank="1" showInputMessage="1" showErrorMessage="1" xr:uid="{857B2DF6-9550-4792-B8F0-8A1F53F9570A}">
          <x14:formula1>
            <xm:f>BundlingCompatabilityData!B27:B36</xm:f>
          </x14:formula1>
          <xm:sqref>E318</xm:sqref>
        </x14:dataValidation>
        <x14:dataValidation type="list" allowBlank="1" showInputMessage="1" showErrorMessage="1" xr:uid="{E5C92FC3-7CD1-408C-9CBD-66B771D7BE1F}">
          <x14:formula1>
            <xm:f>BundlingCompatabilityData!B27:B36</xm:f>
          </x14:formula1>
          <xm:sqref>E319</xm:sqref>
        </x14:dataValidation>
        <x14:dataValidation type="list" allowBlank="1" showInputMessage="1" showErrorMessage="1" xr:uid="{7DE49B60-D6FA-4739-9ED2-F911BB345B10}">
          <x14:formula1>
            <xm:f>BundlingCompatabilityData!B27:B36</xm:f>
          </x14:formula1>
          <xm:sqref>E320</xm:sqref>
        </x14:dataValidation>
        <x14:dataValidation type="list" allowBlank="1" showInputMessage="1" showErrorMessage="1" xr:uid="{F0FA96FA-AB40-40DF-9105-F63C0172F0F4}">
          <x14:formula1>
            <xm:f>BundlingCompatabilityData!B27:B36</xm:f>
          </x14:formula1>
          <xm:sqref>E321</xm:sqref>
        </x14:dataValidation>
        <x14:dataValidation type="list" allowBlank="1" showInputMessage="1" showErrorMessage="1" xr:uid="{BFCB82F6-9919-4EFA-9BBA-B9E0676782DC}">
          <x14:formula1>
            <xm:f>BundlingCompatabilityData!B27:B36</xm:f>
          </x14:formula1>
          <xm:sqref>E322</xm:sqref>
        </x14:dataValidation>
        <x14:dataValidation type="list" allowBlank="1" showInputMessage="1" showErrorMessage="1" xr:uid="{D2B77890-973C-4C87-8274-D5E9A43110B6}">
          <x14:formula1>
            <xm:f>BundlingCompatabilityData!B27:B36</xm:f>
          </x14:formula1>
          <xm:sqref>E323</xm:sqref>
        </x14:dataValidation>
        <x14:dataValidation type="list" allowBlank="1" showInputMessage="1" showErrorMessage="1" xr:uid="{F815EFA6-95EC-4FE0-8ACA-9208AB4C3F17}">
          <x14:formula1>
            <xm:f>BundlingCompatabilityData!B27:B36</xm:f>
          </x14:formula1>
          <xm:sqref>E324</xm:sqref>
        </x14:dataValidation>
        <x14:dataValidation type="list" allowBlank="1" showInputMessage="1" showErrorMessage="1" xr:uid="{2E5AD6BC-2E39-44A0-B674-AF99908C441E}">
          <x14:formula1>
            <xm:f>BundlingCompatabilityData!B27:B36</xm:f>
          </x14:formula1>
          <xm:sqref>E325</xm:sqref>
        </x14:dataValidation>
        <x14:dataValidation type="list" allowBlank="1" showInputMessage="1" showErrorMessage="1" xr:uid="{C865DB84-8CDE-4B9E-B035-361E6F9E0005}">
          <x14:formula1>
            <xm:f>BundlingCompatabilityData!B27:B36</xm:f>
          </x14:formula1>
          <xm:sqref>E326</xm:sqref>
        </x14:dataValidation>
        <x14:dataValidation type="list" allowBlank="1" showInputMessage="1" showErrorMessage="1" xr:uid="{C66D35A4-81E0-4398-B9C0-D9C8EDFB5633}">
          <x14:formula1>
            <xm:f>BundlingCompatabilityData!B27:B36</xm:f>
          </x14:formula1>
          <xm:sqref>E327</xm:sqref>
        </x14:dataValidation>
        <x14:dataValidation type="list" allowBlank="1" showInputMessage="1" showErrorMessage="1" xr:uid="{B50D649C-518C-47D4-88B8-1ACCEF4FF580}">
          <x14:formula1>
            <xm:f>BundlingCompatabilityData!B27:B36</xm:f>
          </x14:formula1>
          <xm:sqref>E328</xm:sqref>
        </x14:dataValidation>
        <x14:dataValidation type="list" allowBlank="1" showInputMessage="1" showErrorMessage="1" xr:uid="{EE0EA252-DF38-455A-B23D-FF8E3641CFF8}">
          <x14:formula1>
            <xm:f>BundlingCompatabilityData!B27:B36</xm:f>
          </x14:formula1>
          <xm:sqref>E329</xm:sqref>
        </x14:dataValidation>
        <x14:dataValidation type="list" allowBlank="1" showInputMessage="1" showErrorMessage="1" xr:uid="{203D9A86-4BBF-40E6-946B-206D75A619B0}">
          <x14:formula1>
            <xm:f>BundlingCompatabilityData!B27:B36</xm:f>
          </x14:formula1>
          <xm:sqref>E330</xm:sqref>
        </x14:dataValidation>
        <x14:dataValidation type="list" allowBlank="1" showInputMessage="1" showErrorMessage="1" xr:uid="{7981A942-D49B-4266-A870-665FD66137E8}">
          <x14:formula1>
            <xm:f>BundlingCompatabilityData!B27:B36</xm:f>
          </x14:formula1>
          <xm:sqref>E331</xm:sqref>
        </x14:dataValidation>
        <x14:dataValidation type="list" allowBlank="1" showInputMessage="1" showErrorMessage="1" xr:uid="{4932E513-5835-449F-A572-77A9BE24D5E4}">
          <x14:formula1>
            <xm:f>BundlingCompatabilityData!B27:B36</xm:f>
          </x14:formula1>
          <xm:sqref>E332</xm:sqref>
        </x14:dataValidation>
        <x14:dataValidation type="list" allowBlank="1" showInputMessage="1" showErrorMessage="1" xr:uid="{9CE60B8D-5526-4B4D-ABA5-F00B60546D6F}">
          <x14:formula1>
            <xm:f>BundlingCompatabilityData!B27:B36</xm:f>
          </x14:formula1>
          <xm:sqref>E333</xm:sqref>
        </x14:dataValidation>
        <x14:dataValidation type="list" allowBlank="1" showInputMessage="1" showErrorMessage="1" xr:uid="{4D3929ED-B97B-4316-A2BB-C4C4856148AB}">
          <x14:formula1>
            <xm:f>BundlingCompatabilityData!B27:B36</xm:f>
          </x14:formula1>
          <xm:sqref>E334</xm:sqref>
        </x14:dataValidation>
        <x14:dataValidation type="list" allowBlank="1" showInputMessage="1" showErrorMessage="1" xr:uid="{74ADAFDB-76D2-427A-8AC6-65A2BA3181B3}">
          <x14:formula1>
            <xm:f>BundlingCompatabilityData!B27:B36</xm:f>
          </x14:formula1>
          <xm:sqref>E335</xm:sqref>
        </x14:dataValidation>
        <x14:dataValidation type="list" allowBlank="1" showInputMessage="1" showErrorMessage="1" xr:uid="{81C71362-DE06-4D54-98D3-BE935EA6B76F}">
          <x14:formula1>
            <xm:f>BundlingCompatabilityData!B27:B36</xm:f>
          </x14:formula1>
          <xm:sqref>E336</xm:sqref>
        </x14:dataValidation>
        <x14:dataValidation type="list" allowBlank="1" showInputMessage="1" showErrorMessage="1" xr:uid="{41F33706-F390-42C7-A066-33482E50A5D9}">
          <x14:formula1>
            <xm:f>BundlingCompatabilityData!B27:B36</xm:f>
          </x14:formula1>
          <xm:sqref>E337</xm:sqref>
        </x14:dataValidation>
        <x14:dataValidation type="list" allowBlank="1" showInputMessage="1" showErrorMessage="1" xr:uid="{6DEE1C91-06B5-4196-B3CA-5BB98CA9F58B}">
          <x14:formula1>
            <xm:f>BundlingCompatabilityData!B27:B36</xm:f>
          </x14:formula1>
          <xm:sqref>E338</xm:sqref>
        </x14:dataValidation>
        <x14:dataValidation type="list" allowBlank="1" showInputMessage="1" showErrorMessage="1" xr:uid="{751BA1AF-DDFE-4322-8E3C-5BAD6C35877B}">
          <x14:formula1>
            <xm:f>BundlingCompatabilityData!B27:B36</xm:f>
          </x14:formula1>
          <xm:sqref>E339</xm:sqref>
        </x14:dataValidation>
        <x14:dataValidation type="list" allowBlank="1" showInputMessage="1" showErrorMessage="1" xr:uid="{B95A21C8-87E9-4E87-A61A-7B0E27612D77}">
          <x14:formula1>
            <xm:f>BundlingCompatabilityData!B27:B36</xm:f>
          </x14:formula1>
          <xm:sqref>E340</xm:sqref>
        </x14:dataValidation>
        <x14:dataValidation type="list" allowBlank="1" showInputMessage="1" showErrorMessage="1" xr:uid="{EE7D7900-0A87-4F69-AED5-E88C2B3BD1D5}">
          <x14:formula1>
            <xm:f>BundlingCompatabilityData!B27:B36</xm:f>
          </x14:formula1>
          <xm:sqref>E341</xm:sqref>
        </x14:dataValidation>
        <x14:dataValidation type="list" allowBlank="1" showInputMessage="1" showErrorMessage="1" xr:uid="{8257BD8D-FEAA-43BF-B103-DF076C39B7CC}">
          <x14:formula1>
            <xm:f>BundlingCompatabilityData!B27:B36</xm:f>
          </x14:formula1>
          <xm:sqref>E342</xm:sqref>
        </x14:dataValidation>
        <x14:dataValidation type="list" allowBlank="1" showInputMessage="1" showErrorMessage="1" xr:uid="{AEFED833-DBCE-4436-AD69-96DD2EFF677D}">
          <x14:formula1>
            <xm:f>BundlingCompatabilityData!B27:B36</xm:f>
          </x14:formula1>
          <xm:sqref>E343</xm:sqref>
        </x14:dataValidation>
        <x14:dataValidation type="list" allowBlank="1" showInputMessage="1" showErrorMessage="1" xr:uid="{DFF7B15D-42B0-49C8-9DBC-5DBC84A9EA84}">
          <x14:formula1>
            <xm:f>BundlingCompatabilityData!B27:B36</xm:f>
          </x14:formula1>
          <xm:sqref>E344</xm:sqref>
        </x14:dataValidation>
        <x14:dataValidation type="list" allowBlank="1" showInputMessage="1" showErrorMessage="1" xr:uid="{272726DE-5B1D-4E6D-AB5D-2451ADD7249C}">
          <x14:formula1>
            <xm:f>BundlingCompatabilityData!B27:B36</xm:f>
          </x14:formula1>
          <xm:sqref>E345</xm:sqref>
        </x14:dataValidation>
        <x14:dataValidation type="list" allowBlank="1" showInputMessage="1" showErrorMessage="1" xr:uid="{35F32D0E-3C56-40E6-B8A3-6C1BAEC9019A}">
          <x14:formula1>
            <xm:f>BundlingCompatabilityData!B27:B36</xm:f>
          </x14:formula1>
          <xm:sqref>E346</xm:sqref>
        </x14:dataValidation>
        <x14:dataValidation type="list" allowBlank="1" showInputMessage="1" showErrorMessage="1" xr:uid="{566D4190-9E88-470B-9274-0FC03D5B2165}">
          <x14:formula1>
            <xm:f>BundlingCompatabilityData!B27:B36</xm:f>
          </x14:formula1>
          <xm:sqref>E347</xm:sqref>
        </x14:dataValidation>
        <x14:dataValidation type="list" allowBlank="1" showInputMessage="1" showErrorMessage="1" xr:uid="{D12B023A-2CC1-40A2-AE51-0D59F8FA72C5}">
          <x14:formula1>
            <xm:f>BundlingCompatabilityData!B27:B36</xm:f>
          </x14:formula1>
          <xm:sqref>E348</xm:sqref>
        </x14:dataValidation>
        <x14:dataValidation type="list" allowBlank="1" showInputMessage="1" showErrorMessage="1" xr:uid="{1ED571ED-16D0-4351-B011-4D5A2F805B7D}">
          <x14:formula1>
            <xm:f>BundlingCompatabilityData!B27:B36</xm:f>
          </x14:formula1>
          <xm:sqref>E349</xm:sqref>
        </x14:dataValidation>
        <x14:dataValidation type="list" allowBlank="1" showInputMessage="1" showErrorMessage="1" xr:uid="{AFAA2584-4F03-4F11-8094-DA067B5692ED}">
          <x14:formula1>
            <xm:f>BundlingCompatabilityData!B27:B36</xm:f>
          </x14:formula1>
          <xm:sqref>E350</xm:sqref>
        </x14:dataValidation>
        <x14:dataValidation type="list" allowBlank="1" showInputMessage="1" showErrorMessage="1" xr:uid="{4D0BD6B4-D521-437D-988C-BA4AD2296760}">
          <x14:formula1>
            <xm:f>BundlingCompatabilityData!B27:B36</xm:f>
          </x14:formula1>
          <xm:sqref>E351</xm:sqref>
        </x14:dataValidation>
        <x14:dataValidation type="list" allowBlank="1" showInputMessage="1" showErrorMessage="1" xr:uid="{5D75890E-94DE-4090-BE08-52B45BD3BD4E}">
          <x14:formula1>
            <xm:f>BundlingCompatabilityData!B27:B36</xm:f>
          </x14:formula1>
          <xm:sqref>E352</xm:sqref>
        </x14:dataValidation>
        <x14:dataValidation type="list" allowBlank="1" showInputMessage="1" showErrorMessage="1" xr:uid="{98B1B574-8C26-4B93-87CA-7017433D42F7}">
          <x14:formula1>
            <xm:f>BundlingCompatabilityData!B27:B36</xm:f>
          </x14:formula1>
          <xm:sqref>E353</xm:sqref>
        </x14:dataValidation>
        <x14:dataValidation type="list" allowBlank="1" showInputMessage="1" showErrorMessage="1" xr:uid="{C001C5BC-8AFF-42C9-8ED8-104E5736A8F0}">
          <x14:formula1>
            <xm:f>BundlingCompatabilityData!B27:B36</xm:f>
          </x14:formula1>
          <xm:sqref>E354</xm:sqref>
        </x14:dataValidation>
        <x14:dataValidation type="list" allowBlank="1" showInputMessage="1" showErrorMessage="1" xr:uid="{F81807FF-8BB3-4CD0-979E-EE7BBE6CD975}">
          <x14:formula1>
            <xm:f>BundlingCompatabilityData!B27:B36</xm:f>
          </x14:formula1>
          <xm:sqref>E355</xm:sqref>
        </x14:dataValidation>
        <x14:dataValidation type="list" allowBlank="1" showInputMessage="1" showErrorMessage="1" xr:uid="{BDC106FD-7415-469C-B6ED-89BC4EC40126}">
          <x14:formula1>
            <xm:f>BundlingCompatabilityData!B27:B36</xm:f>
          </x14:formula1>
          <xm:sqref>E356</xm:sqref>
        </x14:dataValidation>
        <x14:dataValidation type="list" allowBlank="1" showInputMessage="1" showErrorMessage="1" xr:uid="{8584E161-7678-470A-8D16-9189FD08BB2C}">
          <x14:formula1>
            <xm:f>BundlingCompatabilityData!B27:B36</xm:f>
          </x14:formula1>
          <xm:sqref>E357</xm:sqref>
        </x14:dataValidation>
        <x14:dataValidation type="list" allowBlank="1" showInputMessage="1" showErrorMessage="1" xr:uid="{363A9D50-F269-4BB4-9455-4788D1491176}">
          <x14:formula1>
            <xm:f>BundlingCompatabilityData!B27:B36</xm:f>
          </x14:formula1>
          <xm:sqref>E358</xm:sqref>
        </x14:dataValidation>
        <x14:dataValidation type="list" allowBlank="1" showInputMessage="1" showErrorMessage="1" xr:uid="{08045DA0-0111-407B-B531-3E8245AC1921}">
          <x14:formula1>
            <xm:f>BundlingCompatabilityData!B27:B36</xm:f>
          </x14:formula1>
          <xm:sqref>E359</xm:sqref>
        </x14:dataValidation>
        <x14:dataValidation type="list" allowBlank="1" showInputMessage="1" showErrorMessage="1" xr:uid="{7CC0DDF5-F9D0-4361-A1AE-CAED60315AB7}">
          <x14:formula1>
            <xm:f>BundlingCompatabilityData!B27:B36</xm:f>
          </x14:formula1>
          <xm:sqref>E360</xm:sqref>
        </x14:dataValidation>
        <x14:dataValidation type="list" allowBlank="1" showInputMessage="1" showErrorMessage="1" xr:uid="{942FC78A-42A6-41BC-A52B-995049A8C1DB}">
          <x14:formula1>
            <xm:f>BundlingCompatabilityData!B27:B36</xm:f>
          </x14:formula1>
          <xm:sqref>E361</xm:sqref>
        </x14:dataValidation>
        <x14:dataValidation type="list" allowBlank="1" showInputMessage="1" showErrorMessage="1" xr:uid="{2AFEB2F4-78E8-47C6-B386-EECF3CBD04C4}">
          <x14:formula1>
            <xm:f>BundlingCompatabilityData!B27:B36</xm:f>
          </x14:formula1>
          <xm:sqref>E362</xm:sqref>
        </x14:dataValidation>
        <x14:dataValidation type="list" allowBlank="1" showInputMessage="1" showErrorMessage="1" xr:uid="{D36B4B0B-A56E-4C9C-93CD-ABE765BA4756}">
          <x14:formula1>
            <xm:f>BundlingCompatabilityData!B27:B36</xm:f>
          </x14:formula1>
          <xm:sqref>E363</xm:sqref>
        </x14:dataValidation>
        <x14:dataValidation type="list" allowBlank="1" showInputMessage="1" showErrorMessage="1" xr:uid="{F44456F0-21C0-4B06-99F7-194637BD9EE9}">
          <x14:formula1>
            <xm:f>BundlingCompatabilityData!B27:B36</xm:f>
          </x14:formula1>
          <xm:sqref>E364</xm:sqref>
        </x14:dataValidation>
        <x14:dataValidation type="list" allowBlank="1" showInputMessage="1" showErrorMessage="1" xr:uid="{D9CDA099-105C-4F66-ACAB-8D510C7EC852}">
          <x14:formula1>
            <xm:f>BundlingCompatabilityData!B27:B36</xm:f>
          </x14:formula1>
          <xm:sqref>E365</xm:sqref>
        </x14:dataValidation>
        <x14:dataValidation type="list" allowBlank="1" showInputMessage="1" showErrorMessage="1" xr:uid="{7716F47F-543B-415C-B948-D7E8BE434925}">
          <x14:formula1>
            <xm:f>BundlingCompatabilityData!B27:B36</xm:f>
          </x14:formula1>
          <xm:sqref>E366</xm:sqref>
        </x14:dataValidation>
        <x14:dataValidation type="list" allowBlank="1" showInputMessage="1" showErrorMessage="1" xr:uid="{EA0C3272-E991-406B-95B5-FAA5DD7CAF52}">
          <x14:formula1>
            <xm:f>BundlingCompatabilityData!B27:B36</xm:f>
          </x14:formula1>
          <xm:sqref>E367</xm:sqref>
        </x14:dataValidation>
        <x14:dataValidation type="list" allowBlank="1" showInputMessage="1" showErrorMessage="1" xr:uid="{6C4CC982-AFF8-4AEC-8751-CE8C6A88E0D2}">
          <x14:formula1>
            <xm:f>BundlingCompatabilityData!B27:B36</xm:f>
          </x14:formula1>
          <xm:sqref>E368</xm:sqref>
        </x14:dataValidation>
        <x14:dataValidation type="list" allowBlank="1" showInputMessage="1" showErrorMessage="1" xr:uid="{74D4C7A6-8BE3-419F-952D-9F544C6F9C43}">
          <x14:formula1>
            <xm:f>BundlingCompatabilityData!B27:B36</xm:f>
          </x14:formula1>
          <xm:sqref>E369</xm:sqref>
        </x14:dataValidation>
        <x14:dataValidation type="list" allowBlank="1" showInputMessage="1" showErrorMessage="1" xr:uid="{3E0A5A4F-C70A-4F3E-954A-637FDDF2AAE1}">
          <x14:formula1>
            <xm:f>BundlingCompatabilityData!B27:B36</xm:f>
          </x14:formula1>
          <xm:sqref>E370</xm:sqref>
        </x14:dataValidation>
        <x14:dataValidation type="list" allowBlank="1" showInputMessage="1" showErrorMessage="1" xr:uid="{864D9A13-3E71-4380-9784-8F3FC020C9C1}">
          <x14:formula1>
            <xm:f>BundlingCompatabilityData!B27:B36</xm:f>
          </x14:formula1>
          <xm:sqref>E371</xm:sqref>
        </x14:dataValidation>
        <x14:dataValidation type="list" allowBlank="1" showInputMessage="1" showErrorMessage="1" xr:uid="{3E97E18F-33A4-4AF2-A9D9-A7DB426F6F59}">
          <x14:formula1>
            <xm:f>BundlingCompatabilityData!B27:B36</xm:f>
          </x14:formula1>
          <xm:sqref>E372</xm:sqref>
        </x14:dataValidation>
        <x14:dataValidation type="list" allowBlank="1" showInputMessage="1" showErrorMessage="1" xr:uid="{CF5939CC-385B-47A0-94D3-501D8D2491AD}">
          <x14:formula1>
            <xm:f>BundlingCompatabilityData!B27:B36</xm:f>
          </x14:formula1>
          <xm:sqref>E373</xm:sqref>
        </x14:dataValidation>
        <x14:dataValidation type="list" allowBlank="1" showInputMessage="1" showErrorMessage="1" xr:uid="{F5BB54CA-CECC-4A9F-BDE7-BDE564DEE739}">
          <x14:formula1>
            <xm:f>BundlingCompatabilityData!B27:B36</xm:f>
          </x14:formula1>
          <xm:sqref>E374</xm:sqref>
        </x14:dataValidation>
        <x14:dataValidation type="list" allowBlank="1" showInputMessage="1" showErrorMessage="1" xr:uid="{9C4FB55B-831A-46A0-BB26-FDCCF06F8255}">
          <x14:formula1>
            <xm:f>BundlingCompatabilityData!B27:B36</xm:f>
          </x14:formula1>
          <xm:sqref>E375</xm:sqref>
        </x14:dataValidation>
        <x14:dataValidation type="list" allowBlank="1" showInputMessage="1" showErrorMessage="1" xr:uid="{FB7518B4-37C5-4226-BF02-01E5A5F96B31}">
          <x14:formula1>
            <xm:f>BundlingCompatabilityData!B27:B36</xm:f>
          </x14:formula1>
          <xm:sqref>E376</xm:sqref>
        </x14:dataValidation>
        <x14:dataValidation type="list" allowBlank="1" showInputMessage="1" showErrorMessage="1" xr:uid="{69B5B106-876E-4995-8979-5B94E1F81659}">
          <x14:formula1>
            <xm:f>BundlingCompatabilityData!B27:B36</xm:f>
          </x14:formula1>
          <xm:sqref>E377</xm:sqref>
        </x14:dataValidation>
        <x14:dataValidation type="list" allowBlank="1" showInputMessage="1" showErrorMessage="1" xr:uid="{1223D616-5BDE-4A40-BBE3-9917E9FFFD8C}">
          <x14:formula1>
            <xm:f>BundlingCompatabilityData!B27:B36</xm:f>
          </x14:formula1>
          <xm:sqref>E378</xm:sqref>
        </x14:dataValidation>
        <x14:dataValidation type="list" allowBlank="1" showInputMessage="1" showErrorMessage="1" xr:uid="{DBA6E84B-29C6-497A-8268-A679D60FB967}">
          <x14:formula1>
            <xm:f>BundlingCompatabilityData!B27:B36</xm:f>
          </x14:formula1>
          <xm:sqref>E379</xm:sqref>
        </x14:dataValidation>
        <x14:dataValidation type="list" allowBlank="1" showInputMessage="1" showErrorMessage="1" xr:uid="{3FBDBB7A-B2B7-461A-894E-9D4C0AB65868}">
          <x14:formula1>
            <xm:f>BundlingCompatabilityData!B27:B36</xm:f>
          </x14:formula1>
          <xm:sqref>E380</xm:sqref>
        </x14:dataValidation>
        <x14:dataValidation type="list" allowBlank="1" showInputMessage="1" showErrorMessage="1" xr:uid="{217A2CD8-96C4-47AB-A767-155C3C8771DA}">
          <x14:formula1>
            <xm:f>BundlingCompatabilityData!B27:B36</xm:f>
          </x14:formula1>
          <xm:sqref>E381</xm:sqref>
        </x14:dataValidation>
        <x14:dataValidation type="list" allowBlank="1" showInputMessage="1" showErrorMessage="1" xr:uid="{7DD928A1-A25C-4FFE-9331-68F63145D5EB}">
          <x14:formula1>
            <xm:f>BundlingCompatabilityData!B27:B36</xm:f>
          </x14:formula1>
          <xm:sqref>E382</xm:sqref>
        </x14:dataValidation>
        <x14:dataValidation type="list" allowBlank="1" showInputMessage="1" showErrorMessage="1" xr:uid="{B67887D8-9BFE-4943-A43E-B60C2DE5CF68}">
          <x14:formula1>
            <xm:f>BundlingCompatabilityData!B27:B36</xm:f>
          </x14:formula1>
          <xm:sqref>E383</xm:sqref>
        </x14:dataValidation>
        <x14:dataValidation type="list" allowBlank="1" showInputMessage="1" showErrorMessage="1" xr:uid="{54F3600F-0404-4852-B8EF-6EC51AD5B09A}">
          <x14:formula1>
            <xm:f>BundlingCompatabilityData!B27:B36</xm:f>
          </x14:formula1>
          <xm:sqref>E384</xm:sqref>
        </x14:dataValidation>
        <x14:dataValidation type="list" allowBlank="1" showInputMessage="1" showErrorMessage="1" xr:uid="{EF606C09-E5A2-4940-91E2-393069479DF2}">
          <x14:formula1>
            <xm:f>BundlingCompatabilityData!B27:B36</xm:f>
          </x14:formula1>
          <xm:sqref>E385</xm:sqref>
        </x14:dataValidation>
        <x14:dataValidation type="list" allowBlank="1" showInputMessage="1" showErrorMessage="1" xr:uid="{6F95E9A8-98B1-4791-B9B4-AE633165B348}">
          <x14:formula1>
            <xm:f>BundlingCompatabilityData!B27:B36</xm:f>
          </x14:formula1>
          <xm:sqref>E386</xm:sqref>
        </x14:dataValidation>
        <x14:dataValidation type="list" allowBlank="1" showInputMessage="1" showErrorMessage="1" xr:uid="{4CE7A6CD-3004-423A-8CDF-9D1CC54FB853}">
          <x14:formula1>
            <xm:f>BundlingCompatabilityData!B27:B36</xm:f>
          </x14:formula1>
          <xm:sqref>E387</xm:sqref>
        </x14:dataValidation>
        <x14:dataValidation type="list" allowBlank="1" showInputMessage="1" showErrorMessage="1" xr:uid="{1437ABAE-76E5-4266-8C7D-D8E95645379E}">
          <x14:formula1>
            <xm:f>BundlingCompatabilityData!B27:B36</xm:f>
          </x14:formula1>
          <xm:sqref>E388</xm:sqref>
        </x14:dataValidation>
        <x14:dataValidation type="list" allowBlank="1" showInputMessage="1" showErrorMessage="1" xr:uid="{29AF6B0B-496E-4E0B-A815-BF6E42FF3184}">
          <x14:formula1>
            <xm:f>BundlingCompatabilityData!B27:B36</xm:f>
          </x14:formula1>
          <xm:sqref>E389</xm:sqref>
        </x14:dataValidation>
        <x14:dataValidation type="list" allowBlank="1" showInputMessage="1" showErrorMessage="1" xr:uid="{67670DAB-A721-4433-883F-6957AC130E8E}">
          <x14:formula1>
            <xm:f>BundlingCompatabilityData!B27:B36</xm:f>
          </x14:formula1>
          <xm:sqref>E390</xm:sqref>
        </x14:dataValidation>
        <x14:dataValidation type="list" allowBlank="1" showInputMessage="1" showErrorMessage="1" xr:uid="{BD4DE315-ADB8-4D0C-A270-1A9C9CB8FEF0}">
          <x14:formula1>
            <xm:f>BundlingCompatabilityData!B27:B36</xm:f>
          </x14:formula1>
          <xm:sqref>E391</xm:sqref>
        </x14:dataValidation>
        <x14:dataValidation type="list" allowBlank="1" showInputMessage="1" showErrorMessage="1" xr:uid="{673978D3-78CA-4904-9D72-C126CB68F18F}">
          <x14:formula1>
            <xm:f>BundlingCompatabilityData!B27:B36</xm:f>
          </x14:formula1>
          <xm:sqref>E392</xm:sqref>
        </x14:dataValidation>
        <x14:dataValidation type="list" allowBlank="1" showInputMessage="1" showErrorMessage="1" xr:uid="{3A35B2FD-FFCB-47AF-83C0-CE96D8E29062}">
          <x14:formula1>
            <xm:f>BundlingCompatabilityData!B27:B36</xm:f>
          </x14:formula1>
          <xm:sqref>E393</xm:sqref>
        </x14:dataValidation>
        <x14:dataValidation type="list" allowBlank="1" showInputMessage="1" showErrorMessage="1" xr:uid="{469CCE09-2655-44FE-BBC9-95608D832A8E}">
          <x14:formula1>
            <xm:f>BundlingCompatabilityData!B27:B36</xm:f>
          </x14:formula1>
          <xm:sqref>E394</xm:sqref>
        </x14:dataValidation>
        <x14:dataValidation type="list" allowBlank="1" showInputMessage="1" showErrorMessage="1" xr:uid="{4AB4E241-ADFA-45B1-94C2-4ECAE2DDEDFB}">
          <x14:formula1>
            <xm:f>BundlingCompatabilityData!B27:B36</xm:f>
          </x14:formula1>
          <xm:sqref>E395</xm:sqref>
        </x14:dataValidation>
        <x14:dataValidation type="list" allowBlank="1" showInputMessage="1" showErrorMessage="1" xr:uid="{2B879016-23E2-4FA9-8EF7-9389E9732E38}">
          <x14:formula1>
            <xm:f>BundlingCompatabilityData!B27:B36</xm:f>
          </x14:formula1>
          <xm:sqref>E396</xm:sqref>
        </x14:dataValidation>
        <x14:dataValidation type="list" allowBlank="1" showInputMessage="1" showErrorMessage="1" xr:uid="{67EAE66F-7165-408E-8A82-51E8C07AF737}">
          <x14:formula1>
            <xm:f>BundlingCompatabilityData!B27:B36</xm:f>
          </x14:formula1>
          <xm:sqref>E397</xm:sqref>
        </x14:dataValidation>
        <x14:dataValidation type="list" allowBlank="1" showInputMessage="1" showErrorMessage="1" xr:uid="{86715835-17DB-4808-BCDE-0A2A7CEE7A52}">
          <x14:formula1>
            <xm:f>BundlingCompatabilityData!B27:B36</xm:f>
          </x14:formula1>
          <xm:sqref>E398</xm:sqref>
        </x14:dataValidation>
        <x14:dataValidation type="list" allowBlank="1" showInputMessage="1" showErrorMessage="1" xr:uid="{AB9C8BF2-EC7F-4DCD-A257-0ADF7188968C}">
          <x14:formula1>
            <xm:f>BundlingCompatabilityData!B27:B36</xm:f>
          </x14:formula1>
          <xm:sqref>E399</xm:sqref>
        </x14:dataValidation>
        <x14:dataValidation type="list" allowBlank="1" showInputMessage="1" showErrorMessage="1" xr:uid="{928C767C-A5D0-4004-A9B2-E78C041A3BC8}">
          <x14:formula1>
            <xm:f>BundlingCompatabilityData!B27:B36</xm:f>
          </x14:formula1>
          <xm:sqref>E400</xm:sqref>
        </x14:dataValidation>
        <x14:dataValidation type="list" allowBlank="1" showInputMessage="1" showErrorMessage="1" xr:uid="{8FC73F0F-F823-4766-98B2-30201379A4D4}">
          <x14:formula1>
            <xm:f>BundlingCompatabilityData!B27:B36</xm:f>
          </x14:formula1>
          <xm:sqref>E401</xm:sqref>
        </x14:dataValidation>
        <x14:dataValidation type="list" allowBlank="1" showInputMessage="1" showErrorMessage="1" xr:uid="{856BBFA3-59F4-4907-B479-1427380CEFD9}">
          <x14:formula1>
            <xm:f>BundlingCompatabilityData!B27:B36</xm:f>
          </x14:formula1>
          <xm:sqref>E402</xm:sqref>
        </x14:dataValidation>
        <x14:dataValidation type="list" allowBlank="1" showInputMessage="1" showErrorMessage="1" xr:uid="{4B358191-3A46-453A-8EFC-76E38B686270}">
          <x14:formula1>
            <xm:f>BundlingCompatabilityData!B27:B36</xm:f>
          </x14:formula1>
          <xm:sqref>E403</xm:sqref>
        </x14:dataValidation>
        <x14:dataValidation type="list" allowBlank="1" showInputMessage="1" showErrorMessage="1" xr:uid="{364F1FDA-3BB5-4BC0-BBFA-1C2AE6B942AD}">
          <x14:formula1>
            <xm:f>BundlingCompatabilityData!B27:B36</xm:f>
          </x14:formula1>
          <xm:sqref>E404</xm:sqref>
        </x14:dataValidation>
        <x14:dataValidation type="list" allowBlank="1" showInputMessage="1" showErrorMessage="1" xr:uid="{38A62360-CD0F-4A0F-BD60-DD30617AE05D}">
          <x14:formula1>
            <xm:f>BundlingCompatabilityData!B27:B36</xm:f>
          </x14:formula1>
          <xm:sqref>E405</xm:sqref>
        </x14:dataValidation>
        <x14:dataValidation type="list" allowBlank="1" showInputMessage="1" showErrorMessage="1" xr:uid="{397629CA-9F88-4A1B-918F-89E0AC14D2D1}">
          <x14:formula1>
            <xm:f>BundlingCompatabilityData!B27:B36</xm:f>
          </x14:formula1>
          <xm:sqref>E406</xm:sqref>
        </x14:dataValidation>
        <x14:dataValidation type="list" allowBlank="1" showInputMessage="1" showErrorMessage="1" xr:uid="{9ECC4EA9-9E9C-413D-9AC3-DF9F6552AACB}">
          <x14:formula1>
            <xm:f>BundlingCompatabilityData!B27:B36</xm:f>
          </x14:formula1>
          <xm:sqref>E407</xm:sqref>
        </x14:dataValidation>
        <x14:dataValidation type="list" allowBlank="1" showInputMessage="1" showErrorMessage="1" xr:uid="{5DA3DA17-52A0-4E18-BAEA-7C9B5D5065CE}">
          <x14:formula1>
            <xm:f>BundlingCompatabilityData!B27:B36</xm:f>
          </x14:formula1>
          <xm:sqref>E408</xm:sqref>
        </x14:dataValidation>
        <x14:dataValidation type="list" allowBlank="1" showInputMessage="1" showErrorMessage="1" xr:uid="{3AB57B9B-F9B1-4AE5-97D0-2F9A6A509033}">
          <x14:formula1>
            <xm:f>BundlingCompatabilityData!B27:B36</xm:f>
          </x14:formula1>
          <xm:sqref>E409</xm:sqref>
        </x14:dataValidation>
        <x14:dataValidation type="list" allowBlank="1" showInputMessage="1" showErrorMessage="1" xr:uid="{7CB959B4-6C2C-401B-9EB1-E8B834E1554A}">
          <x14:formula1>
            <xm:f>BundlingCompatabilityData!B27:B36</xm:f>
          </x14:formula1>
          <xm:sqref>E410</xm:sqref>
        </x14:dataValidation>
        <x14:dataValidation type="list" allowBlank="1" showInputMessage="1" showErrorMessage="1" xr:uid="{59B28E0F-4A0B-4999-9BD4-434E18F73A55}">
          <x14:formula1>
            <xm:f>BundlingCompatabilityData!B27:B36</xm:f>
          </x14:formula1>
          <xm:sqref>E411</xm:sqref>
        </x14:dataValidation>
        <x14:dataValidation type="list" allowBlank="1" showInputMessage="1" showErrorMessage="1" xr:uid="{2B5B0558-F5FC-4517-8C91-384AF5E0A022}">
          <x14:formula1>
            <xm:f>BundlingCompatabilityData!B27:B36</xm:f>
          </x14:formula1>
          <xm:sqref>E412</xm:sqref>
        </x14:dataValidation>
        <x14:dataValidation type="list" allowBlank="1" showInputMessage="1" showErrorMessage="1" xr:uid="{60A6CCC7-657A-412C-970D-2B5CF8138795}">
          <x14:formula1>
            <xm:f>BundlingCompatabilityData!B27:B36</xm:f>
          </x14:formula1>
          <xm:sqref>E413</xm:sqref>
        </x14:dataValidation>
        <x14:dataValidation type="list" allowBlank="1" showInputMessage="1" showErrorMessage="1" xr:uid="{1EF9FF09-74FA-4B94-B112-53D36EE77941}">
          <x14:formula1>
            <xm:f>BundlingCompatabilityData!B27:B36</xm:f>
          </x14:formula1>
          <xm:sqref>E414</xm:sqref>
        </x14:dataValidation>
        <x14:dataValidation type="list" allowBlank="1" showInputMessage="1" showErrorMessage="1" xr:uid="{4A3F7B44-0A59-415F-89B9-437BAD827852}">
          <x14:formula1>
            <xm:f>BundlingCompatabilityData!B27:B36</xm:f>
          </x14:formula1>
          <xm:sqref>E415</xm:sqref>
        </x14:dataValidation>
        <x14:dataValidation type="list" allowBlank="1" showInputMessage="1" showErrorMessage="1" xr:uid="{13A6F7E0-68E3-473C-BCF7-C83D747526BD}">
          <x14:formula1>
            <xm:f>BundlingCompatabilityData!B27:B36</xm:f>
          </x14:formula1>
          <xm:sqref>E416</xm:sqref>
        </x14:dataValidation>
        <x14:dataValidation type="list" allowBlank="1" showInputMessage="1" showErrorMessage="1" xr:uid="{6802C322-72B1-4B17-A001-264CCE4A63D2}">
          <x14:formula1>
            <xm:f>BundlingCompatabilityData!B27:B36</xm:f>
          </x14:formula1>
          <xm:sqref>E417</xm:sqref>
        </x14:dataValidation>
        <x14:dataValidation type="list" allowBlank="1" showInputMessage="1" showErrorMessage="1" xr:uid="{F84B4A2B-3BD9-40E0-9ED2-7F59B8BD6A48}">
          <x14:formula1>
            <xm:f>BundlingCompatabilityData!B27:B36</xm:f>
          </x14:formula1>
          <xm:sqref>E418</xm:sqref>
        </x14:dataValidation>
        <x14:dataValidation type="list" allowBlank="1" showInputMessage="1" showErrorMessage="1" xr:uid="{B4970FF3-60D1-41E1-AE18-E0A309AB86E5}">
          <x14:formula1>
            <xm:f>BundlingCompatabilityData!B27:B36</xm:f>
          </x14:formula1>
          <xm:sqref>E419</xm:sqref>
        </x14:dataValidation>
        <x14:dataValidation type="list" allowBlank="1" showInputMessage="1" showErrorMessage="1" xr:uid="{608DDA6A-EB90-40E0-8998-938042149745}">
          <x14:formula1>
            <xm:f>BundlingCompatabilityData!B27:B36</xm:f>
          </x14:formula1>
          <xm:sqref>E420</xm:sqref>
        </x14:dataValidation>
        <x14:dataValidation type="list" allowBlank="1" showInputMessage="1" showErrorMessage="1" xr:uid="{E32853D3-A24B-4DCD-8AA0-83B9194BAC2A}">
          <x14:formula1>
            <xm:f>BundlingCompatabilityData!B27:B36</xm:f>
          </x14:formula1>
          <xm:sqref>E421</xm:sqref>
        </x14:dataValidation>
        <x14:dataValidation type="list" allowBlank="1" showInputMessage="1" showErrorMessage="1" xr:uid="{6CB0332E-6236-492B-96B8-1473C5539D51}">
          <x14:formula1>
            <xm:f>BundlingCompatabilityData!B27:B36</xm:f>
          </x14:formula1>
          <xm:sqref>E422</xm:sqref>
        </x14:dataValidation>
        <x14:dataValidation type="list" allowBlank="1" showInputMessage="1" showErrorMessage="1" xr:uid="{472B02E2-3588-40BB-9EA1-53A9DCB4DADF}">
          <x14:formula1>
            <xm:f>BundlingCompatabilityData!B27:B36</xm:f>
          </x14:formula1>
          <xm:sqref>E423</xm:sqref>
        </x14:dataValidation>
        <x14:dataValidation type="list" allowBlank="1" showInputMessage="1" showErrorMessage="1" xr:uid="{08F4C267-5F59-4591-A934-6C04C2844880}">
          <x14:formula1>
            <xm:f>BundlingCompatabilityData!B27:B36</xm:f>
          </x14:formula1>
          <xm:sqref>E424</xm:sqref>
        </x14:dataValidation>
        <x14:dataValidation type="list" allowBlank="1" showInputMessage="1" showErrorMessage="1" xr:uid="{5C759C90-9E24-4F49-BA57-AE19060D84C4}">
          <x14:formula1>
            <xm:f>BundlingCompatabilityData!B27:B36</xm:f>
          </x14:formula1>
          <xm:sqref>E425</xm:sqref>
        </x14:dataValidation>
        <x14:dataValidation type="list" allowBlank="1" showInputMessage="1" showErrorMessage="1" xr:uid="{B75F3D09-C013-4EB7-8E9F-9E2446BC4BC9}">
          <x14:formula1>
            <xm:f>BundlingCompatabilityData!B27:B36</xm:f>
          </x14:formula1>
          <xm:sqref>E426</xm:sqref>
        </x14:dataValidation>
        <x14:dataValidation type="list" allowBlank="1" showInputMessage="1" showErrorMessage="1" xr:uid="{296D7ED7-B9AA-4487-BDC7-E108A8F039B4}">
          <x14:formula1>
            <xm:f>BundlingCompatabilityData!B27:B36</xm:f>
          </x14:formula1>
          <xm:sqref>E427</xm:sqref>
        </x14:dataValidation>
        <x14:dataValidation type="list" allowBlank="1" showInputMessage="1" showErrorMessage="1" xr:uid="{2F4AB1C9-BA3B-45BD-B5F7-CB0AE21BB2B5}">
          <x14:formula1>
            <xm:f>BundlingCompatabilityData!B27:B36</xm:f>
          </x14:formula1>
          <xm:sqref>E428</xm:sqref>
        </x14:dataValidation>
        <x14:dataValidation type="list" allowBlank="1" showInputMessage="1" showErrorMessage="1" xr:uid="{F6A465BC-1CA6-4DC7-BD8A-090A9D1FE76E}">
          <x14:formula1>
            <xm:f>BundlingCompatabilityData!B27:B36</xm:f>
          </x14:formula1>
          <xm:sqref>E429</xm:sqref>
        </x14:dataValidation>
        <x14:dataValidation type="list" allowBlank="1" showInputMessage="1" showErrorMessage="1" xr:uid="{96A3C469-8461-4860-A165-DE53B34F2E5A}">
          <x14:formula1>
            <xm:f>BundlingCompatabilityData!B27:B36</xm:f>
          </x14:formula1>
          <xm:sqref>E430</xm:sqref>
        </x14:dataValidation>
        <x14:dataValidation type="list" allowBlank="1" showInputMessage="1" showErrorMessage="1" xr:uid="{35B0EB39-84F3-401F-8955-122971866C22}">
          <x14:formula1>
            <xm:f>BundlingCompatabilityData!B27:B36</xm:f>
          </x14:formula1>
          <xm:sqref>E431</xm:sqref>
        </x14:dataValidation>
        <x14:dataValidation type="list" allowBlank="1" showInputMessage="1" showErrorMessage="1" xr:uid="{38C1F2B8-E220-4713-9C61-DED8A5210A2E}">
          <x14:formula1>
            <xm:f>BundlingCompatabilityData!B27:B36</xm:f>
          </x14:formula1>
          <xm:sqref>E432</xm:sqref>
        </x14:dataValidation>
        <x14:dataValidation type="list" allowBlank="1" showInputMessage="1" showErrorMessage="1" xr:uid="{43F11D94-9F6D-4912-9D68-08639B866C3C}">
          <x14:formula1>
            <xm:f>BundlingCompatabilityData!B27:B36</xm:f>
          </x14:formula1>
          <xm:sqref>E433</xm:sqref>
        </x14:dataValidation>
        <x14:dataValidation type="list" allowBlank="1" showInputMessage="1" showErrorMessage="1" xr:uid="{A53CAA17-1D2B-47D0-81A9-D3F5AB8BD629}">
          <x14:formula1>
            <xm:f>BundlingCompatabilityData!B27:B36</xm:f>
          </x14:formula1>
          <xm:sqref>E434</xm:sqref>
        </x14:dataValidation>
        <x14:dataValidation type="list" allowBlank="1" showInputMessage="1" showErrorMessage="1" xr:uid="{C35200BA-6D8B-4378-96D6-8858A2BA5C59}">
          <x14:formula1>
            <xm:f>BundlingCompatabilityData!B27:B36</xm:f>
          </x14:formula1>
          <xm:sqref>E435</xm:sqref>
        </x14:dataValidation>
        <x14:dataValidation type="list" allowBlank="1" showInputMessage="1" showErrorMessage="1" xr:uid="{403B8D99-F469-4ECE-A97B-F25B51A95D12}">
          <x14:formula1>
            <xm:f>BundlingCompatabilityData!B27:B36</xm:f>
          </x14:formula1>
          <xm:sqref>E436</xm:sqref>
        </x14:dataValidation>
        <x14:dataValidation type="list" allowBlank="1" showInputMessage="1" showErrorMessage="1" xr:uid="{E730EBCE-65AB-4E18-A296-BD10CE095F14}">
          <x14:formula1>
            <xm:f>BundlingCompatabilityData!B27:B36</xm:f>
          </x14:formula1>
          <xm:sqref>E437</xm:sqref>
        </x14:dataValidation>
        <x14:dataValidation type="list" allowBlank="1" showInputMessage="1" showErrorMessage="1" xr:uid="{CB9A394B-25A8-4F47-A2E6-CC6B9341D4AD}">
          <x14:formula1>
            <xm:f>BundlingCompatabilityData!B27:B36</xm:f>
          </x14:formula1>
          <xm:sqref>E438</xm:sqref>
        </x14:dataValidation>
        <x14:dataValidation type="list" allowBlank="1" showInputMessage="1" showErrorMessage="1" xr:uid="{B2BAE1FB-E0E7-41EF-8F47-652906B7E735}">
          <x14:formula1>
            <xm:f>BundlingCompatabilityData!B27:B36</xm:f>
          </x14:formula1>
          <xm:sqref>E439</xm:sqref>
        </x14:dataValidation>
        <x14:dataValidation type="list" allowBlank="1" showInputMessage="1" showErrorMessage="1" xr:uid="{82FBC220-B878-4A12-A928-7B131A24B108}">
          <x14:formula1>
            <xm:f>BundlingCompatabilityData!B27:B36</xm:f>
          </x14:formula1>
          <xm:sqref>E440</xm:sqref>
        </x14:dataValidation>
        <x14:dataValidation type="list" allowBlank="1" showInputMessage="1" showErrorMessage="1" xr:uid="{E1B95A37-E597-4E3D-9F64-DC4485F3A06B}">
          <x14:formula1>
            <xm:f>BundlingCompatabilityData!B27:B36</xm:f>
          </x14:formula1>
          <xm:sqref>E441</xm:sqref>
        </x14:dataValidation>
        <x14:dataValidation type="list" allowBlank="1" showInputMessage="1" showErrorMessage="1" xr:uid="{A0178B18-1F7A-4447-BFDD-F1A12354F91E}">
          <x14:formula1>
            <xm:f>BundlingCompatabilityData!B27:B36</xm:f>
          </x14:formula1>
          <xm:sqref>E442</xm:sqref>
        </x14:dataValidation>
        <x14:dataValidation type="list" allowBlank="1" showInputMessage="1" showErrorMessage="1" xr:uid="{640B6DE0-B70F-49A6-80F7-277550A96836}">
          <x14:formula1>
            <xm:f>BundlingCompatabilityData!B27:B36</xm:f>
          </x14:formula1>
          <xm:sqref>E443</xm:sqref>
        </x14:dataValidation>
        <x14:dataValidation type="list" allowBlank="1" showInputMessage="1" showErrorMessage="1" xr:uid="{99944FE0-26A5-4C50-928F-03FC6E1D2053}">
          <x14:formula1>
            <xm:f>BundlingCompatabilityData!B27:B36</xm:f>
          </x14:formula1>
          <xm:sqref>E444</xm:sqref>
        </x14:dataValidation>
        <x14:dataValidation type="list" allowBlank="1" showInputMessage="1" showErrorMessage="1" xr:uid="{1F8D6BF2-8C64-4D56-A50D-E4BF36E7946D}">
          <x14:formula1>
            <xm:f>BundlingCompatabilityData!B27:B36</xm:f>
          </x14:formula1>
          <xm:sqref>E445</xm:sqref>
        </x14:dataValidation>
        <x14:dataValidation type="list" allowBlank="1" showInputMessage="1" showErrorMessage="1" xr:uid="{4D52D518-3D37-4114-9353-FAEC627F5F7E}">
          <x14:formula1>
            <xm:f>BundlingCompatabilityData!B27:B36</xm:f>
          </x14:formula1>
          <xm:sqref>E446</xm:sqref>
        </x14:dataValidation>
        <x14:dataValidation type="list" allowBlank="1" showInputMessage="1" showErrorMessage="1" xr:uid="{C6A8DF09-0983-4D9F-959D-18197E918C85}">
          <x14:formula1>
            <xm:f>BundlingCompatabilityData!B27:B36</xm:f>
          </x14:formula1>
          <xm:sqref>E447</xm:sqref>
        </x14:dataValidation>
        <x14:dataValidation type="list" allowBlank="1" showInputMessage="1" showErrorMessage="1" xr:uid="{9F779BD3-5D3B-4772-BA84-58B78CF9C35C}">
          <x14:formula1>
            <xm:f>BundlingCompatabilityData!B27:B36</xm:f>
          </x14:formula1>
          <xm:sqref>E448</xm:sqref>
        </x14:dataValidation>
        <x14:dataValidation type="list" allowBlank="1" showInputMessage="1" showErrorMessage="1" xr:uid="{278EAA92-0B03-41AD-8E64-7557A988C9E8}">
          <x14:formula1>
            <xm:f>BundlingCompatabilityData!B27:B36</xm:f>
          </x14:formula1>
          <xm:sqref>E449</xm:sqref>
        </x14:dataValidation>
        <x14:dataValidation type="list" allowBlank="1" showInputMessage="1" showErrorMessage="1" xr:uid="{F7D50CBF-A8F4-4439-920E-62167A5BA0AB}">
          <x14:formula1>
            <xm:f>BundlingCompatabilityData!B27:B36</xm:f>
          </x14:formula1>
          <xm:sqref>E450</xm:sqref>
        </x14:dataValidation>
        <x14:dataValidation type="list" allowBlank="1" showInputMessage="1" showErrorMessage="1" xr:uid="{616983D9-EB49-4DD8-A075-12514359F4BD}">
          <x14:formula1>
            <xm:f>BundlingCompatabilityData!B27:B36</xm:f>
          </x14:formula1>
          <xm:sqref>E451</xm:sqref>
        </x14:dataValidation>
        <x14:dataValidation type="list" allowBlank="1" showInputMessage="1" showErrorMessage="1" xr:uid="{A9A00BB1-2276-46B5-9FAC-A8A1AF1D92A0}">
          <x14:formula1>
            <xm:f>BundlingCompatabilityData!B27:B36</xm:f>
          </x14:formula1>
          <xm:sqref>E452</xm:sqref>
        </x14:dataValidation>
        <x14:dataValidation type="list" allowBlank="1" showInputMessage="1" showErrorMessage="1" xr:uid="{AF0538B8-6FAE-41A4-ADC2-2F9A143E3720}">
          <x14:formula1>
            <xm:f>BundlingCompatabilityData!B27:B36</xm:f>
          </x14:formula1>
          <xm:sqref>E453</xm:sqref>
        </x14:dataValidation>
        <x14:dataValidation type="list" allowBlank="1" showInputMessage="1" showErrorMessage="1" xr:uid="{C6909249-B7B5-4CA4-957E-4E770E6897F8}">
          <x14:formula1>
            <xm:f>BundlingCompatabilityData!B27:B36</xm:f>
          </x14:formula1>
          <xm:sqref>E454</xm:sqref>
        </x14:dataValidation>
        <x14:dataValidation type="list" allowBlank="1" showInputMessage="1" showErrorMessage="1" xr:uid="{FA2B44EE-3B4C-4398-9CA8-34877A7113A9}">
          <x14:formula1>
            <xm:f>BundlingCompatabilityData!B27:B36</xm:f>
          </x14:formula1>
          <xm:sqref>E455</xm:sqref>
        </x14:dataValidation>
        <x14:dataValidation type="list" allowBlank="1" showInputMessage="1" showErrorMessage="1" xr:uid="{44776F55-E29D-4DB4-858F-75591DEDBB41}">
          <x14:formula1>
            <xm:f>BundlingCompatabilityData!B27:B36</xm:f>
          </x14:formula1>
          <xm:sqref>E456</xm:sqref>
        </x14:dataValidation>
        <x14:dataValidation type="list" allowBlank="1" showInputMessage="1" showErrorMessage="1" xr:uid="{3F7641C7-C915-43D1-919E-31BF7140FE88}">
          <x14:formula1>
            <xm:f>BundlingCompatabilityData!B27:B36</xm:f>
          </x14:formula1>
          <xm:sqref>E457</xm:sqref>
        </x14:dataValidation>
        <x14:dataValidation type="list" allowBlank="1" showInputMessage="1" showErrorMessage="1" xr:uid="{C1516BA6-4975-4DCF-93F3-60E8E59F3477}">
          <x14:formula1>
            <xm:f>BundlingCompatabilityData!B27:B36</xm:f>
          </x14:formula1>
          <xm:sqref>E458</xm:sqref>
        </x14:dataValidation>
        <x14:dataValidation type="list" allowBlank="1" showInputMessage="1" showErrorMessage="1" xr:uid="{66156FAB-06B3-4315-85B7-7ED8009EBEA3}">
          <x14:formula1>
            <xm:f>BundlingCompatabilityData!B27:B36</xm:f>
          </x14:formula1>
          <xm:sqref>E459</xm:sqref>
        </x14:dataValidation>
        <x14:dataValidation type="list" allowBlank="1" showInputMessage="1" showErrorMessage="1" xr:uid="{DD454BAC-3CEB-42F8-9FC3-6315E6C53933}">
          <x14:formula1>
            <xm:f>BundlingCompatabilityData!B27:B36</xm:f>
          </x14:formula1>
          <xm:sqref>E460</xm:sqref>
        </x14:dataValidation>
        <x14:dataValidation type="list" allowBlank="1" showInputMessage="1" showErrorMessage="1" xr:uid="{1F561198-E84E-4165-96CA-20FB7108A509}">
          <x14:formula1>
            <xm:f>BundlingCompatabilityData!B27:B36</xm:f>
          </x14:formula1>
          <xm:sqref>E461</xm:sqref>
        </x14:dataValidation>
        <x14:dataValidation type="list" allowBlank="1" showInputMessage="1" showErrorMessage="1" xr:uid="{6D93E0C6-6E2D-4DF5-A15B-CE9DFAAD120A}">
          <x14:formula1>
            <xm:f>BundlingCompatabilityData!B27:B36</xm:f>
          </x14:formula1>
          <xm:sqref>E462</xm:sqref>
        </x14:dataValidation>
        <x14:dataValidation type="list" allowBlank="1" showInputMessage="1" showErrorMessage="1" xr:uid="{89C97D8A-436F-4014-9660-CFD4B221D84D}">
          <x14:formula1>
            <xm:f>BundlingCompatabilityData!B27:B36</xm:f>
          </x14:formula1>
          <xm:sqref>E463</xm:sqref>
        </x14:dataValidation>
        <x14:dataValidation type="list" allowBlank="1" showInputMessage="1" showErrorMessage="1" xr:uid="{F5C73892-77D8-4B5E-A0CE-2A7BEFFBC361}">
          <x14:formula1>
            <xm:f>BundlingCompatabilityData!B27:B36</xm:f>
          </x14:formula1>
          <xm:sqref>E464</xm:sqref>
        </x14:dataValidation>
        <x14:dataValidation type="list" allowBlank="1" showInputMessage="1" showErrorMessage="1" xr:uid="{41D0603A-1435-4436-95DB-3D168DF62451}">
          <x14:formula1>
            <xm:f>BundlingCompatabilityData!B27:B36</xm:f>
          </x14:formula1>
          <xm:sqref>E465</xm:sqref>
        </x14:dataValidation>
        <x14:dataValidation type="list" allowBlank="1" showInputMessage="1" showErrorMessage="1" xr:uid="{65C3349A-961B-450B-B009-D73EB0316404}">
          <x14:formula1>
            <xm:f>BundlingCompatabilityData!B27:B36</xm:f>
          </x14:formula1>
          <xm:sqref>E466</xm:sqref>
        </x14:dataValidation>
        <x14:dataValidation type="list" allowBlank="1" showInputMessage="1" showErrorMessage="1" xr:uid="{CA4DBE36-DDE7-43B6-933C-01854CF9DAA3}">
          <x14:formula1>
            <xm:f>BundlingCompatabilityData!B27:B36</xm:f>
          </x14:formula1>
          <xm:sqref>E467</xm:sqref>
        </x14:dataValidation>
        <x14:dataValidation type="list" allowBlank="1" showInputMessage="1" showErrorMessage="1" xr:uid="{476EEF48-817C-41A3-975F-4368362DECC0}">
          <x14:formula1>
            <xm:f>BundlingCompatabilityData!B27:B36</xm:f>
          </x14:formula1>
          <xm:sqref>E468</xm:sqref>
        </x14:dataValidation>
        <x14:dataValidation type="list" allowBlank="1" showInputMessage="1" showErrorMessage="1" xr:uid="{31DA5A93-CF7D-4F40-B9B6-83D6E6CD92DF}">
          <x14:formula1>
            <xm:f>BundlingCompatabilityData!B27:B36</xm:f>
          </x14:formula1>
          <xm:sqref>E469</xm:sqref>
        </x14:dataValidation>
        <x14:dataValidation type="list" allowBlank="1" showInputMessage="1" showErrorMessage="1" xr:uid="{C4348A31-F25C-4691-A77C-44555AE0EBB8}">
          <x14:formula1>
            <xm:f>BundlingCompatabilityData!B27:B36</xm:f>
          </x14:formula1>
          <xm:sqref>E470</xm:sqref>
        </x14:dataValidation>
        <x14:dataValidation type="list" allowBlank="1" showInputMessage="1" showErrorMessage="1" xr:uid="{A862E1EC-404D-4010-A6F0-8AFF19353B02}">
          <x14:formula1>
            <xm:f>BundlingCompatabilityData!B27:B36</xm:f>
          </x14:formula1>
          <xm:sqref>E471</xm:sqref>
        </x14:dataValidation>
        <x14:dataValidation type="list" allowBlank="1" showInputMessage="1" showErrorMessage="1" xr:uid="{DD29C695-6114-4755-8161-127E9B505D49}">
          <x14:formula1>
            <xm:f>BundlingCompatabilityData!B27:B36</xm:f>
          </x14:formula1>
          <xm:sqref>E472</xm:sqref>
        </x14:dataValidation>
        <x14:dataValidation type="list" allowBlank="1" showInputMessage="1" showErrorMessage="1" xr:uid="{BABB48AA-362A-4ABC-8C78-52A4971A58D4}">
          <x14:formula1>
            <xm:f>BundlingCompatabilityData!B27:B36</xm:f>
          </x14:formula1>
          <xm:sqref>E473</xm:sqref>
        </x14:dataValidation>
        <x14:dataValidation type="list" allowBlank="1" showInputMessage="1" showErrorMessage="1" xr:uid="{0BA1521A-647A-44DA-9E7F-598C493D37D9}">
          <x14:formula1>
            <xm:f>BundlingCompatabilityData!B27:B36</xm:f>
          </x14:formula1>
          <xm:sqref>E474</xm:sqref>
        </x14:dataValidation>
        <x14:dataValidation type="list" allowBlank="1" showInputMessage="1" showErrorMessage="1" xr:uid="{F188EB0F-BEB2-45C5-A441-F3F8C031D0C8}">
          <x14:formula1>
            <xm:f>BundlingCompatabilityData!B27:B36</xm:f>
          </x14:formula1>
          <xm:sqref>E475</xm:sqref>
        </x14:dataValidation>
        <x14:dataValidation type="list" allowBlank="1" showInputMessage="1" showErrorMessage="1" xr:uid="{E5AC641F-041A-42F0-AFCF-0B1E0DDA0251}">
          <x14:formula1>
            <xm:f>BundlingCompatabilityData!B27:B36</xm:f>
          </x14:formula1>
          <xm:sqref>E476</xm:sqref>
        </x14:dataValidation>
        <x14:dataValidation type="list" allowBlank="1" showInputMessage="1" showErrorMessage="1" xr:uid="{F0B6FC61-BF71-4397-8C4E-A2B0A75DD33F}">
          <x14:formula1>
            <xm:f>BundlingCompatabilityData!B27:B36</xm:f>
          </x14:formula1>
          <xm:sqref>E477</xm:sqref>
        </x14:dataValidation>
        <x14:dataValidation type="list" allowBlank="1" showInputMessage="1" showErrorMessage="1" xr:uid="{D41AB8B7-3867-4AF8-9FCD-97ACD7A5A33E}">
          <x14:formula1>
            <xm:f>BundlingCompatabilityData!B27:B36</xm:f>
          </x14:formula1>
          <xm:sqref>E478</xm:sqref>
        </x14:dataValidation>
        <x14:dataValidation type="list" allowBlank="1" showInputMessage="1" showErrorMessage="1" xr:uid="{B531ACC9-346C-429D-9455-B2AAE9DA8A7E}">
          <x14:formula1>
            <xm:f>BundlingCompatabilityData!B27:B36</xm:f>
          </x14:formula1>
          <xm:sqref>E479</xm:sqref>
        </x14:dataValidation>
        <x14:dataValidation type="list" allowBlank="1" showInputMessage="1" showErrorMessage="1" xr:uid="{779A03F5-550F-4540-80B5-87B42825F4D9}">
          <x14:formula1>
            <xm:f>BundlingCompatabilityData!B27:B36</xm:f>
          </x14:formula1>
          <xm:sqref>E480</xm:sqref>
        </x14:dataValidation>
        <x14:dataValidation type="list" allowBlank="1" showInputMessage="1" showErrorMessage="1" xr:uid="{D9EC2F72-C206-4EA1-8CF8-998F5623C70F}">
          <x14:formula1>
            <xm:f>BundlingCompatabilityData!B27:B36</xm:f>
          </x14:formula1>
          <xm:sqref>E481</xm:sqref>
        </x14:dataValidation>
        <x14:dataValidation type="list" allowBlank="1" showInputMessage="1" showErrorMessage="1" xr:uid="{9BB6BD28-860A-4C04-A3BC-171BCB1BB71D}">
          <x14:formula1>
            <xm:f>BundlingCompatabilityData!B27:B36</xm:f>
          </x14:formula1>
          <xm:sqref>E482</xm:sqref>
        </x14:dataValidation>
        <x14:dataValidation type="list" allowBlank="1" showInputMessage="1" showErrorMessage="1" xr:uid="{2C525359-FFFF-4F3C-BEF6-8C9A75A1AC5F}">
          <x14:formula1>
            <xm:f>BundlingCompatabilityData!B27:B36</xm:f>
          </x14:formula1>
          <xm:sqref>E483</xm:sqref>
        </x14:dataValidation>
        <x14:dataValidation type="list" allowBlank="1" showInputMessage="1" showErrorMessage="1" xr:uid="{A5D55EEB-3C15-4BA0-ACB7-5AC4312E6F4C}">
          <x14:formula1>
            <xm:f>BundlingCompatabilityData!B27:B36</xm:f>
          </x14:formula1>
          <xm:sqref>E484</xm:sqref>
        </x14:dataValidation>
        <x14:dataValidation type="list" allowBlank="1" showInputMessage="1" showErrorMessage="1" xr:uid="{C2F6A211-20CC-43A9-8D1C-8EF311A7FD19}">
          <x14:formula1>
            <xm:f>BundlingCompatabilityData!B27:B36</xm:f>
          </x14:formula1>
          <xm:sqref>E485</xm:sqref>
        </x14:dataValidation>
        <x14:dataValidation type="list" allowBlank="1" showInputMessage="1" showErrorMessage="1" xr:uid="{95E3E3B9-4441-415D-852B-45AB08DB09F6}">
          <x14:formula1>
            <xm:f>BundlingCompatabilityData!B27:B36</xm:f>
          </x14:formula1>
          <xm:sqref>E486</xm:sqref>
        </x14:dataValidation>
        <x14:dataValidation type="list" allowBlank="1" showInputMessage="1" showErrorMessage="1" xr:uid="{B3A86D34-BAC8-433B-A191-709DE6A0B03A}">
          <x14:formula1>
            <xm:f>BundlingCompatabilityData!B27:B36</xm:f>
          </x14:formula1>
          <xm:sqref>E487</xm:sqref>
        </x14:dataValidation>
        <x14:dataValidation type="list" allowBlank="1" showInputMessage="1" showErrorMessage="1" xr:uid="{F66BF42E-878A-49BF-86D0-9A7B121A408A}">
          <x14:formula1>
            <xm:f>BundlingCompatabilityData!B27:B36</xm:f>
          </x14:formula1>
          <xm:sqref>E488</xm:sqref>
        </x14:dataValidation>
        <x14:dataValidation type="list" allowBlank="1" showInputMessage="1" showErrorMessage="1" xr:uid="{8CC82307-DEB7-4164-BACA-DD04854AF70D}">
          <x14:formula1>
            <xm:f>BundlingCompatabilityData!B27:B36</xm:f>
          </x14:formula1>
          <xm:sqref>E489</xm:sqref>
        </x14:dataValidation>
        <x14:dataValidation type="list" allowBlank="1" showInputMessage="1" showErrorMessage="1" xr:uid="{551716D6-1466-452E-A4E8-878537777D52}">
          <x14:formula1>
            <xm:f>BundlingCompatabilityData!B27:B36</xm:f>
          </x14:formula1>
          <xm:sqref>E490</xm:sqref>
        </x14:dataValidation>
        <x14:dataValidation type="list" allowBlank="1" showInputMessage="1" showErrorMessage="1" xr:uid="{7ACA3D8D-6A06-4040-95A7-D5BE574C4563}">
          <x14:formula1>
            <xm:f>BundlingCompatabilityData!B27:B36</xm:f>
          </x14:formula1>
          <xm:sqref>E491</xm:sqref>
        </x14:dataValidation>
        <x14:dataValidation type="list" allowBlank="1" showInputMessage="1" showErrorMessage="1" xr:uid="{7AE110E6-0DF1-4161-AD79-87495EC3A013}">
          <x14:formula1>
            <xm:f>BundlingCompatabilityData!B27:B36</xm:f>
          </x14:formula1>
          <xm:sqref>E492</xm:sqref>
        </x14:dataValidation>
        <x14:dataValidation type="list" allowBlank="1" showInputMessage="1" showErrorMessage="1" xr:uid="{1500C5CF-366A-44D2-BCB3-F121A91D77E8}">
          <x14:formula1>
            <xm:f>BundlingCompatabilityData!B27:B36</xm:f>
          </x14:formula1>
          <xm:sqref>E493</xm:sqref>
        </x14:dataValidation>
        <x14:dataValidation type="list" allowBlank="1" showInputMessage="1" showErrorMessage="1" xr:uid="{59393C16-843A-4DE8-A477-BC0E05ED31E6}">
          <x14:formula1>
            <xm:f>BundlingCompatabilityData!B27:B36</xm:f>
          </x14:formula1>
          <xm:sqref>E494</xm:sqref>
        </x14:dataValidation>
        <x14:dataValidation type="list" allowBlank="1" showInputMessage="1" showErrorMessage="1" xr:uid="{BD002FD6-246C-4A02-B865-9FCFE3838C21}">
          <x14:formula1>
            <xm:f>BundlingCompatabilityData!B27:B36</xm:f>
          </x14:formula1>
          <xm:sqref>E495</xm:sqref>
        </x14:dataValidation>
        <x14:dataValidation type="list" allowBlank="1" showInputMessage="1" showErrorMessage="1" xr:uid="{407978E8-1B62-4605-A409-1C4443D25508}">
          <x14:formula1>
            <xm:f>BundlingCompatabilityData!B27:B36</xm:f>
          </x14:formula1>
          <xm:sqref>E496</xm:sqref>
        </x14:dataValidation>
        <x14:dataValidation type="list" allowBlank="1" showInputMessage="1" showErrorMessage="1" xr:uid="{48BF4AF6-CD6C-41BC-A670-A79D88965AEE}">
          <x14:formula1>
            <xm:f>BundlingCompatabilityData!B27:B36</xm:f>
          </x14:formula1>
          <xm:sqref>E497</xm:sqref>
        </x14:dataValidation>
        <x14:dataValidation type="list" allowBlank="1" showInputMessage="1" showErrorMessage="1" xr:uid="{4D685333-BFF9-480D-A850-EDDA66F63B12}">
          <x14:formula1>
            <xm:f>BundlingCompatabilityData!B27:B36</xm:f>
          </x14:formula1>
          <xm:sqref>E498</xm:sqref>
        </x14:dataValidation>
        <x14:dataValidation type="list" allowBlank="1" showInputMessage="1" showErrorMessage="1" xr:uid="{D9FC6D4D-8DC8-4AA1-AC68-9822D10DFD8C}">
          <x14:formula1>
            <xm:f>BundlingCompatabilityData!B27:B36</xm:f>
          </x14:formula1>
          <xm:sqref>E499</xm:sqref>
        </x14:dataValidation>
        <x14:dataValidation type="list" allowBlank="1" showInputMessage="1" showErrorMessage="1" xr:uid="{F96F2CA5-CA35-4F44-AC68-5ADBBECC3A34}">
          <x14:formula1>
            <xm:f>BundlingCompatabilityData!B27:B36</xm:f>
          </x14:formula1>
          <xm:sqref>E500</xm:sqref>
        </x14:dataValidation>
        <x14:dataValidation type="list" allowBlank="1" showInputMessage="1" showErrorMessage="1" xr:uid="{364B6D68-7069-44A4-BDBD-9AAE61579331}">
          <x14:formula1>
            <xm:f>BundlingCompatabilityData!B27:B36</xm:f>
          </x14:formula1>
          <xm:sqref>E501</xm:sqref>
        </x14:dataValidation>
        <x14:dataValidation type="list" allowBlank="1" showInputMessage="1" showErrorMessage="1" xr:uid="{4EA1E0DF-337A-489A-9A81-B5D3A095416E}">
          <x14:formula1>
            <xm:f>BundlingCompatabilityData!B27:B36</xm:f>
          </x14:formula1>
          <xm:sqref>E502</xm:sqref>
        </x14:dataValidation>
        <x14:dataValidation type="list" allowBlank="1" showInputMessage="1" showErrorMessage="1" xr:uid="{7A48F94F-FC98-4296-AFBA-9F6BE99DE75D}">
          <x14:formula1>
            <xm:f>BundlingCompatabilityData!B27:B36</xm:f>
          </x14:formula1>
          <xm:sqref>E503</xm:sqref>
        </x14:dataValidation>
        <x14:dataValidation type="list" allowBlank="1" showInputMessage="1" showErrorMessage="1" xr:uid="{B10C5F61-0703-42AA-A500-B645D87C9FFA}">
          <x14:formula1>
            <xm:f>BundlingCompatabilityData!B27:B36</xm:f>
          </x14:formula1>
          <xm:sqref>E504</xm:sqref>
        </x14:dataValidation>
        <x14:dataValidation type="list" allowBlank="1" showInputMessage="1" showErrorMessage="1" xr:uid="{65DA0D7B-DD85-46EB-9981-E61EAEA77DBE}">
          <x14:formula1>
            <xm:f>BundlingCompatabilityData!B27:B36</xm:f>
          </x14:formula1>
          <xm:sqref>E505</xm:sqref>
        </x14:dataValidation>
        <x14:dataValidation type="list" allowBlank="1" showInputMessage="1" showErrorMessage="1" xr:uid="{03C65AEC-5E5D-4ED1-8028-9AC0E4C9F323}">
          <x14:formula1>
            <xm:f>BundlingCompatabilityData!B27:B36</xm:f>
          </x14:formula1>
          <xm:sqref>E506</xm:sqref>
        </x14:dataValidation>
        <x14:dataValidation type="list" allowBlank="1" showInputMessage="1" showErrorMessage="1" xr:uid="{427E108C-BC14-42A4-BAA6-80FDF47B266E}">
          <x14:formula1>
            <xm:f>BundlingCompatabilityData!B27:B36</xm:f>
          </x14:formula1>
          <xm:sqref>E507</xm:sqref>
        </x14:dataValidation>
        <x14:dataValidation type="list" allowBlank="1" showInputMessage="1" showErrorMessage="1" xr:uid="{D47272A4-9AA3-4980-8737-E710652E1C31}">
          <x14:formula1>
            <xm:f>BundlingCompatabilityData!B27:B36</xm:f>
          </x14:formula1>
          <xm:sqref>E508</xm:sqref>
        </x14:dataValidation>
        <x14:dataValidation type="list" allowBlank="1" showInputMessage="1" showErrorMessage="1" xr:uid="{F5C917D8-CBC4-4116-9710-5BEC58F8D758}">
          <x14:formula1>
            <xm:f>BundlingCompatabilityData!B27:B36</xm:f>
          </x14:formula1>
          <xm:sqref>E509</xm:sqref>
        </x14:dataValidation>
        <x14:dataValidation type="list" allowBlank="1" showInputMessage="1" showErrorMessage="1" xr:uid="{CEAC0324-FBA1-47C1-B057-ACE873613A8E}">
          <x14:formula1>
            <xm:f>BundlingCompatabilityData!B27:B36</xm:f>
          </x14:formula1>
          <xm:sqref>E510</xm:sqref>
        </x14:dataValidation>
        <x14:dataValidation type="list" allowBlank="1" showInputMessage="1" showErrorMessage="1" xr:uid="{A035DC06-10AA-4DDF-8FED-391F818F811F}">
          <x14:formula1>
            <xm:f>BundlingCompatabilityData!B27:B36</xm:f>
          </x14:formula1>
          <xm:sqref>E511</xm:sqref>
        </x14:dataValidation>
        <x14:dataValidation type="list" allowBlank="1" showInputMessage="1" showErrorMessage="1" xr:uid="{3242B406-1FB7-4C0C-8119-6564B1CAF9EC}">
          <x14:formula1>
            <xm:f>BundlingCompatabilityData!B27:B36</xm:f>
          </x14:formula1>
          <xm:sqref>E512</xm:sqref>
        </x14:dataValidation>
        <x14:dataValidation type="list" allowBlank="1" showInputMessage="1" showErrorMessage="1" xr:uid="{7002956E-D595-48E6-BBB3-EC1AA06479B6}">
          <x14:formula1>
            <xm:f>BundlingCompatabilityData!B27:B36</xm:f>
          </x14:formula1>
          <xm:sqref>E513</xm:sqref>
        </x14:dataValidation>
        <x14:dataValidation type="list" allowBlank="1" showInputMessage="1" showErrorMessage="1" xr:uid="{2AC9D7B0-DBD3-4314-99D8-1769694C48E0}">
          <x14:formula1>
            <xm:f>BundlingCompatabilityData!B27:B36</xm:f>
          </x14:formula1>
          <xm:sqref>E514</xm:sqref>
        </x14:dataValidation>
        <x14:dataValidation type="list" allowBlank="1" showInputMessage="1" showErrorMessage="1" xr:uid="{144FD933-7004-42C4-BB4F-6E6C2532E67D}">
          <x14:formula1>
            <xm:f>BundlingCompatabilityData!B27:B36</xm:f>
          </x14:formula1>
          <xm:sqref>E515</xm:sqref>
        </x14:dataValidation>
        <x14:dataValidation type="list" allowBlank="1" showInputMessage="1" showErrorMessage="1" xr:uid="{4C3E2A33-B240-4578-9429-DBB422F3CDA1}">
          <x14:formula1>
            <xm:f>BundlingCompatabilityData!B27:B36</xm:f>
          </x14:formula1>
          <xm:sqref>E516</xm:sqref>
        </x14:dataValidation>
        <x14:dataValidation type="list" allowBlank="1" showInputMessage="1" showErrorMessage="1" xr:uid="{D018F0BE-05C2-4562-B072-A8CA47FE8F78}">
          <x14:formula1>
            <xm:f>BundlingCompatabilityData!B27:B36</xm:f>
          </x14:formula1>
          <xm:sqref>E517</xm:sqref>
        </x14:dataValidation>
        <x14:dataValidation type="list" allowBlank="1" showInputMessage="1" showErrorMessage="1" xr:uid="{F6211E5E-4106-4012-8DD7-4F66D4B76BF1}">
          <x14:formula1>
            <xm:f>BundlingCompatabilityData!B27:B36</xm:f>
          </x14:formula1>
          <xm:sqref>E518</xm:sqref>
        </x14:dataValidation>
        <x14:dataValidation type="list" allowBlank="1" showInputMessage="1" showErrorMessage="1" xr:uid="{7DB4ACE1-ECC3-42EA-9D9F-EC3C75094EFD}">
          <x14:formula1>
            <xm:f>BundlingCompatabilityData!B27:B36</xm:f>
          </x14:formula1>
          <xm:sqref>E519</xm:sqref>
        </x14:dataValidation>
        <x14:dataValidation type="list" allowBlank="1" showInputMessage="1" showErrorMessage="1" xr:uid="{52A3FC70-E322-42EB-ADF1-E1879DB8D0AE}">
          <x14:formula1>
            <xm:f>BundlingCompatabilityData!B42:B51</xm:f>
          </x14:formula1>
          <xm:sqref>F194</xm:sqref>
        </x14:dataValidation>
        <x14:dataValidation type="list" allowBlank="1" showInputMessage="1" showErrorMessage="1" xr:uid="{0D135DF7-5FBA-4071-ACA4-2A3971FAA448}">
          <x14:formula1>
            <xm:f>BundlingCompatabilityData!B42:B51</xm:f>
          </x14:formula1>
          <xm:sqref>F195</xm:sqref>
        </x14:dataValidation>
        <x14:dataValidation type="list" allowBlank="1" showInputMessage="1" showErrorMessage="1" xr:uid="{8CB6913C-488D-4D52-9697-E7B0B2B13BCA}">
          <x14:formula1>
            <xm:f>BundlingCompatabilityData!B42:B51</xm:f>
          </x14:formula1>
          <xm:sqref>F196</xm:sqref>
        </x14:dataValidation>
        <x14:dataValidation type="list" allowBlank="1" showInputMessage="1" showErrorMessage="1" xr:uid="{BDB872FD-CFA9-4F59-973F-51629B38318A}">
          <x14:formula1>
            <xm:f>BundlingCompatabilityData!B42:B51</xm:f>
          </x14:formula1>
          <xm:sqref>F197</xm:sqref>
        </x14:dataValidation>
        <x14:dataValidation type="list" allowBlank="1" showInputMessage="1" showErrorMessage="1" xr:uid="{66DE02FE-8480-4F5A-AF86-C4B9F5C24217}">
          <x14:formula1>
            <xm:f>BundlingCompatabilityData!B42:B51</xm:f>
          </x14:formula1>
          <xm:sqref>F198</xm:sqref>
        </x14:dataValidation>
        <x14:dataValidation type="list" allowBlank="1" showInputMessage="1" showErrorMessage="1" xr:uid="{F6E2CA06-B901-4991-914B-020F51FD4C1B}">
          <x14:formula1>
            <xm:f>BundlingCompatabilityData!B42:B51</xm:f>
          </x14:formula1>
          <xm:sqref>F199</xm:sqref>
        </x14:dataValidation>
        <x14:dataValidation type="list" allowBlank="1" showInputMessage="1" showErrorMessage="1" xr:uid="{B041EC32-C853-4B9A-A544-6663B7CA8AB0}">
          <x14:formula1>
            <xm:f>BundlingCompatabilityData!B42:B51</xm:f>
          </x14:formula1>
          <xm:sqref>F200</xm:sqref>
        </x14:dataValidation>
        <x14:dataValidation type="list" allowBlank="1" showInputMessage="1" showErrorMessage="1" xr:uid="{97FD68BC-DD03-4843-9F85-04268FBAAC76}">
          <x14:formula1>
            <xm:f>BundlingCompatabilityData!B42:B51</xm:f>
          </x14:formula1>
          <xm:sqref>F201</xm:sqref>
        </x14:dataValidation>
        <x14:dataValidation type="list" allowBlank="1" showInputMessage="1" showErrorMessage="1" xr:uid="{FF2DAEED-A8CC-4615-B207-3812B98555E8}">
          <x14:formula1>
            <xm:f>BundlingCompatabilityData!B42:B51</xm:f>
          </x14:formula1>
          <xm:sqref>F202</xm:sqref>
        </x14:dataValidation>
        <x14:dataValidation type="list" allowBlank="1" showInputMessage="1" showErrorMessage="1" xr:uid="{6A2CDE18-02C3-4622-A215-DFBB2768F469}">
          <x14:formula1>
            <xm:f>BundlingCompatabilityData!B42:B51</xm:f>
          </x14:formula1>
          <xm:sqref>F203</xm:sqref>
        </x14:dataValidation>
        <x14:dataValidation type="list" allowBlank="1" showInputMessage="1" showErrorMessage="1" xr:uid="{C187D6CF-7181-416E-975C-59A3AEE804E3}">
          <x14:formula1>
            <xm:f>BundlingCompatabilityData!B42:B51</xm:f>
          </x14:formula1>
          <xm:sqref>F204</xm:sqref>
        </x14:dataValidation>
        <x14:dataValidation type="list" allowBlank="1" showInputMessage="1" showErrorMessage="1" xr:uid="{EBC193C1-6FCD-45FC-A37B-D0C975242150}">
          <x14:formula1>
            <xm:f>BundlingCompatabilityData!B42:B51</xm:f>
          </x14:formula1>
          <xm:sqref>F205</xm:sqref>
        </x14:dataValidation>
        <x14:dataValidation type="list" allowBlank="1" showInputMessage="1" showErrorMessage="1" xr:uid="{3A6AB3A5-5818-4611-AE57-A24ADF06AB3A}">
          <x14:formula1>
            <xm:f>BundlingCompatabilityData!B42:B51</xm:f>
          </x14:formula1>
          <xm:sqref>F206</xm:sqref>
        </x14:dataValidation>
        <x14:dataValidation type="list" allowBlank="1" showInputMessage="1" showErrorMessage="1" xr:uid="{52E7E3A4-FC99-4EE8-9148-C91E982615E7}">
          <x14:formula1>
            <xm:f>BundlingCompatabilityData!B42:B51</xm:f>
          </x14:formula1>
          <xm:sqref>F207</xm:sqref>
        </x14:dataValidation>
        <x14:dataValidation type="list" allowBlank="1" showInputMessage="1" showErrorMessage="1" xr:uid="{53C7AAAD-552B-4FCB-AEBF-88CBDB5D9242}">
          <x14:formula1>
            <xm:f>BundlingCompatabilityData!B42:B51</xm:f>
          </x14:formula1>
          <xm:sqref>F208</xm:sqref>
        </x14:dataValidation>
        <x14:dataValidation type="list" allowBlank="1" showInputMessage="1" showErrorMessage="1" xr:uid="{9C8C2EA1-E3C6-4E1E-9465-F0BFA6F013FB}">
          <x14:formula1>
            <xm:f>BundlingCompatabilityData!B42:B51</xm:f>
          </x14:formula1>
          <xm:sqref>F209</xm:sqref>
        </x14:dataValidation>
        <x14:dataValidation type="list" allowBlank="1" showInputMessage="1" showErrorMessage="1" xr:uid="{E53E1958-5846-463F-83F3-25E5C9D78D3E}">
          <x14:formula1>
            <xm:f>BundlingCompatabilityData!B42:B51</xm:f>
          </x14:formula1>
          <xm:sqref>F210</xm:sqref>
        </x14:dataValidation>
        <x14:dataValidation type="list" allowBlank="1" showInputMessage="1" showErrorMessage="1" xr:uid="{8A6B177D-8259-4549-8C14-A081A746F2C8}">
          <x14:formula1>
            <xm:f>BundlingCompatabilityData!B42:B51</xm:f>
          </x14:formula1>
          <xm:sqref>F211</xm:sqref>
        </x14:dataValidation>
        <x14:dataValidation type="list" allowBlank="1" showInputMessage="1" showErrorMessage="1" xr:uid="{75E20281-783A-4046-8BFA-3A7399245333}">
          <x14:formula1>
            <xm:f>BundlingCompatabilityData!B42:B51</xm:f>
          </x14:formula1>
          <xm:sqref>F212</xm:sqref>
        </x14:dataValidation>
        <x14:dataValidation type="list" allowBlank="1" showInputMessage="1" showErrorMessage="1" xr:uid="{6B300813-7AB0-4048-99A0-BDC59A396D18}">
          <x14:formula1>
            <xm:f>BundlingCompatabilityData!B42:B51</xm:f>
          </x14:formula1>
          <xm:sqref>F213</xm:sqref>
        </x14:dataValidation>
        <x14:dataValidation type="list" allowBlank="1" showInputMessage="1" showErrorMessage="1" xr:uid="{08DD5805-E855-4ADC-8CB2-F438865FB9ED}">
          <x14:formula1>
            <xm:f>BundlingCompatabilityData!B42:B51</xm:f>
          </x14:formula1>
          <xm:sqref>F214</xm:sqref>
        </x14:dataValidation>
        <x14:dataValidation type="list" allowBlank="1" showInputMessage="1" showErrorMessage="1" xr:uid="{20105566-7ECE-4B0E-9B49-DFA9101B44D1}">
          <x14:formula1>
            <xm:f>BundlingCompatabilityData!B42:B51</xm:f>
          </x14:formula1>
          <xm:sqref>F215</xm:sqref>
        </x14:dataValidation>
        <x14:dataValidation type="list" allowBlank="1" showInputMessage="1" showErrorMessage="1" xr:uid="{0A43DF2E-1584-47D3-BE71-CF842AECF97E}">
          <x14:formula1>
            <xm:f>BundlingCompatabilityData!B42:B51</xm:f>
          </x14:formula1>
          <xm:sqref>F216</xm:sqref>
        </x14:dataValidation>
        <x14:dataValidation type="list" allowBlank="1" showInputMessage="1" showErrorMessage="1" xr:uid="{F94D09D9-E1D1-4E15-9897-300F7E3FA821}">
          <x14:formula1>
            <xm:f>BundlingCompatabilityData!B42:B51</xm:f>
          </x14:formula1>
          <xm:sqref>F217</xm:sqref>
        </x14:dataValidation>
        <x14:dataValidation type="list" allowBlank="1" showInputMessage="1" showErrorMessage="1" xr:uid="{12F5D1F1-E322-4AF4-AC61-484D4261FF3E}">
          <x14:formula1>
            <xm:f>BundlingCompatabilityData!B42:B51</xm:f>
          </x14:formula1>
          <xm:sqref>F218</xm:sqref>
        </x14:dataValidation>
        <x14:dataValidation type="list" allowBlank="1" showInputMessage="1" showErrorMessage="1" xr:uid="{CA20C66B-AA1D-48AB-A405-10A9B88C9E73}">
          <x14:formula1>
            <xm:f>BundlingCompatabilityData!B42:B51</xm:f>
          </x14:formula1>
          <xm:sqref>F219</xm:sqref>
        </x14:dataValidation>
        <x14:dataValidation type="list" allowBlank="1" showInputMessage="1" showErrorMessage="1" xr:uid="{CC0A1981-E614-4640-8501-3A19AEEBD2FA}">
          <x14:formula1>
            <xm:f>BundlingCompatabilityData!B42:B51</xm:f>
          </x14:formula1>
          <xm:sqref>F220</xm:sqref>
        </x14:dataValidation>
        <x14:dataValidation type="list" allowBlank="1" showInputMessage="1" showErrorMessage="1" xr:uid="{0B8F988F-1E62-475B-AAF1-BA81BB85D94C}">
          <x14:formula1>
            <xm:f>BundlingCompatabilityData!B42:B51</xm:f>
          </x14:formula1>
          <xm:sqref>F221</xm:sqref>
        </x14:dataValidation>
        <x14:dataValidation type="list" allowBlank="1" showInputMessage="1" showErrorMessage="1" xr:uid="{9866E1FD-DE83-474D-8F21-7C744AC548F5}">
          <x14:formula1>
            <xm:f>BundlingCompatabilityData!B42:B51</xm:f>
          </x14:formula1>
          <xm:sqref>F222</xm:sqref>
        </x14:dataValidation>
        <x14:dataValidation type="list" allowBlank="1" showInputMessage="1" showErrorMessage="1" xr:uid="{D622A78A-A2A8-4641-B182-A39E037AC34B}">
          <x14:formula1>
            <xm:f>BundlingCompatabilityData!B42:B51</xm:f>
          </x14:formula1>
          <xm:sqref>F223</xm:sqref>
        </x14:dataValidation>
        <x14:dataValidation type="list" allowBlank="1" showInputMessage="1" showErrorMessage="1" xr:uid="{5106A51D-9B98-43DD-BEA4-ABEB0E86F949}">
          <x14:formula1>
            <xm:f>BundlingCompatabilityData!B42:B51</xm:f>
          </x14:formula1>
          <xm:sqref>F224</xm:sqref>
        </x14:dataValidation>
        <x14:dataValidation type="list" allowBlank="1" showInputMessage="1" showErrorMessage="1" xr:uid="{D2B3AC33-21B5-45E8-B3D2-DAD0A5C9A836}">
          <x14:formula1>
            <xm:f>BundlingCompatabilityData!B42:B51</xm:f>
          </x14:formula1>
          <xm:sqref>F225</xm:sqref>
        </x14:dataValidation>
        <x14:dataValidation type="list" allowBlank="1" showInputMessage="1" showErrorMessage="1" xr:uid="{9936F8BB-46AD-4DC0-8DE4-6E25EDDA0128}">
          <x14:formula1>
            <xm:f>BundlingCompatabilityData!B42:B51</xm:f>
          </x14:formula1>
          <xm:sqref>F226</xm:sqref>
        </x14:dataValidation>
        <x14:dataValidation type="list" allowBlank="1" showInputMessage="1" showErrorMessage="1" xr:uid="{9CD8B14F-33DA-49AF-9061-F27A389D4C43}">
          <x14:formula1>
            <xm:f>BundlingCompatabilityData!B42:B51</xm:f>
          </x14:formula1>
          <xm:sqref>F227</xm:sqref>
        </x14:dataValidation>
        <x14:dataValidation type="list" allowBlank="1" showInputMessage="1" showErrorMessage="1" xr:uid="{EC9ED1CC-B112-4321-89D3-231362D3B5B7}">
          <x14:formula1>
            <xm:f>BundlingCompatabilityData!B42:B51</xm:f>
          </x14:formula1>
          <xm:sqref>F228</xm:sqref>
        </x14:dataValidation>
        <x14:dataValidation type="list" allowBlank="1" showInputMessage="1" showErrorMessage="1" xr:uid="{D0BB0814-D735-4231-84FD-C073F1D57102}">
          <x14:formula1>
            <xm:f>BundlingCompatabilityData!B42:B51</xm:f>
          </x14:formula1>
          <xm:sqref>F229</xm:sqref>
        </x14:dataValidation>
        <x14:dataValidation type="list" allowBlank="1" showInputMessage="1" showErrorMessage="1" xr:uid="{E1AC818B-B184-4DC8-9706-977DDE3D560B}">
          <x14:formula1>
            <xm:f>BundlingCompatabilityData!B42:B51</xm:f>
          </x14:formula1>
          <xm:sqref>F230</xm:sqref>
        </x14:dataValidation>
        <x14:dataValidation type="list" allowBlank="1" showInputMessage="1" showErrorMessage="1" xr:uid="{E2B9BC77-7A37-4550-A0B1-792A336E9DC9}">
          <x14:formula1>
            <xm:f>BundlingCompatabilityData!B42:B51</xm:f>
          </x14:formula1>
          <xm:sqref>F231</xm:sqref>
        </x14:dataValidation>
        <x14:dataValidation type="list" allowBlank="1" showInputMessage="1" showErrorMessage="1" xr:uid="{C9C12EB5-0559-4C8C-BBCE-4E0250C2D5C0}">
          <x14:formula1>
            <xm:f>BundlingCompatabilityData!B42:B51</xm:f>
          </x14:formula1>
          <xm:sqref>F232</xm:sqref>
        </x14:dataValidation>
        <x14:dataValidation type="list" allowBlank="1" showInputMessage="1" showErrorMessage="1" xr:uid="{66E4FB54-A675-4F81-8317-3DAD0694C497}">
          <x14:formula1>
            <xm:f>BundlingCompatabilityData!B42:B51</xm:f>
          </x14:formula1>
          <xm:sqref>F233</xm:sqref>
        </x14:dataValidation>
        <x14:dataValidation type="list" allowBlank="1" showInputMessage="1" showErrorMessage="1" xr:uid="{DF0C629D-CE65-4FEC-ACDE-A51ECE1C1058}">
          <x14:formula1>
            <xm:f>BundlingCompatabilityData!B42:B51</xm:f>
          </x14:formula1>
          <xm:sqref>F234</xm:sqref>
        </x14:dataValidation>
        <x14:dataValidation type="list" allowBlank="1" showInputMessage="1" showErrorMessage="1" xr:uid="{417B4B74-ADF1-42E1-B8D3-547C44219DC6}">
          <x14:formula1>
            <xm:f>BundlingCompatabilityData!B42:B51</xm:f>
          </x14:formula1>
          <xm:sqref>F235</xm:sqref>
        </x14:dataValidation>
        <x14:dataValidation type="list" allowBlank="1" showInputMessage="1" showErrorMessage="1" xr:uid="{6B9BF76D-E9CA-486F-837D-AB2D1B91E12D}">
          <x14:formula1>
            <xm:f>BundlingCompatabilityData!B42:B51</xm:f>
          </x14:formula1>
          <xm:sqref>F236</xm:sqref>
        </x14:dataValidation>
        <x14:dataValidation type="list" allowBlank="1" showInputMessage="1" showErrorMessage="1" xr:uid="{2319A04F-0AD5-4B13-9E5A-481D69DF75C8}">
          <x14:formula1>
            <xm:f>BundlingCompatabilityData!B42:B51</xm:f>
          </x14:formula1>
          <xm:sqref>F237</xm:sqref>
        </x14:dataValidation>
        <x14:dataValidation type="list" allowBlank="1" showInputMessage="1" showErrorMessage="1" xr:uid="{C3E6FF67-3BA2-4C21-A951-F9D61DCE81B9}">
          <x14:formula1>
            <xm:f>BundlingCompatabilityData!B42:B51</xm:f>
          </x14:formula1>
          <xm:sqref>F238</xm:sqref>
        </x14:dataValidation>
        <x14:dataValidation type="list" allowBlank="1" showInputMessage="1" showErrorMessage="1" xr:uid="{3840F1E0-B806-4470-AFE0-0DBC6E623C68}">
          <x14:formula1>
            <xm:f>BundlingCompatabilityData!B42:B51</xm:f>
          </x14:formula1>
          <xm:sqref>F239</xm:sqref>
        </x14:dataValidation>
        <x14:dataValidation type="list" allowBlank="1" showInputMessage="1" showErrorMessage="1" xr:uid="{1EB994CE-437B-41A4-8D5F-79EF4A2E0EBB}">
          <x14:formula1>
            <xm:f>BundlingCompatabilityData!B42:B51</xm:f>
          </x14:formula1>
          <xm:sqref>F240</xm:sqref>
        </x14:dataValidation>
        <x14:dataValidation type="list" allowBlank="1" showInputMessage="1" showErrorMessage="1" xr:uid="{2A0A4B68-1B18-46E2-99CC-A52B9E04A352}">
          <x14:formula1>
            <xm:f>BundlingCompatabilityData!B42:B51</xm:f>
          </x14:formula1>
          <xm:sqref>F241</xm:sqref>
        </x14:dataValidation>
        <x14:dataValidation type="list" allowBlank="1" showInputMessage="1" showErrorMessage="1" xr:uid="{E5353247-DD17-49E6-B250-B0A262131144}">
          <x14:formula1>
            <xm:f>BundlingCompatabilityData!B42:B51</xm:f>
          </x14:formula1>
          <xm:sqref>F242</xm:sqref>
        </x14:dataValidation>
        <x14:dataValidation type="list" allowBlank="1" showInputMessage="1" showErrorMessage="1" xr:uid="{7EBE3259-5449-4F91-B150-A5BE32437F21}">
          <x14:formula1>
            <xm:f>BundlingCompatabilityData!B42:B51</xm:f>
          </x14:formula1>
          <xm:sqref>F243</xm:sqref>
        </x14:dataValidation>
        <x14:dataValidation type="list" allowBlank="1" showInputMessage="1" showErrorMessage="1" xr:uid="{F77E3FE7-3881-4610-89B4-056AF663C94C}">
          <x14:formula1>
            <xm:f>BundlingCompatabilityData!B42:B51</xm:f>
          </x14:formula1>
          <xm:sqref>F244</xm:sqref>
        </x14:dataValidation>
        <x14:dataValidation type="list" allowBlank="1" showInputMessage="1" showErrorMessage="1" xr:uid="{5D26AA49-076C-48B9-94A1-2DCDD658DDB7}">
          <x14:formula1>
            <xm:f>BundlingCompatabilityData!B42:B51</xm:f>
          </x14:formula1>
          <xm:sqref>F245</xm:sqref>
        </x14:dataValidation>
        <x14:dataValidation type="list" allowBlank="1" showInputMessage="1" showErrorMessage="1" xr:uid="{EF32C89A-07FE-4061-A9A1-FE090C3A1CCB}">
          <x14:formula1>
            <xm:f>BundlingCompatabilityData!B42:B51</xm:f>
          </x14:formula1>
          <xm:sqref>F246</xm:sqref>
        </x14:dataValidation>
        <x14:dataValidation type="list" allowBlank="1" showInputMessage="1" showErrorMessage="1" xr:uid="{25E9BE59-960A-4CEB-B4DB-7F3BDF0F5180}">
          <x14:formula1>
            <xm:f>BundlingCompatabilityData!B42:B51</xm:f>
          </x14:formula1>
          <xm:sqref>F247</xm:sqref>
        </x14:dataValidation>
        <x14:dataValidation type="list" allowBlank="1" showInputMessage="1" showErrorMessage="1" xr:uid="{5BD8CDAF-E0A3-42B9-99C8-871DE4B6FA0C}">
          <x14:formula1>
            <xm:f>BundlingCompatabilityData!B42:B51</xm:f>
          </x14:formula1>
          <xm:sqref>F248</xm:sqref>
        </x14:dataValidation>
        <x14:dataValidation type="list" allowBlank="1" showInputMessage="1" showErrorMessage="1" xr:uid="{04335242-7A39-4F4E-A813-61DE7ADE1DA7}">
          <x14:formula1>
            <xm:f>BundlingCompatabilityData!B42:B51</xm:f>
          </x14:formula1>
          <xm:sqref>F249</xm:sqref>
        </x14:dataValidation>
        <x14:dataValidation type="list" allowBlank="1" showInputMessage="1" showErrorMessage="1" xr:uid="{8A6346BF-DD34-41A8-AA6D-7C2699625959}">
          <x14:formula1>
            <xm:f>BundlingCompatabilityData!B42:B51</xm:f>
          </x14:formula1>
          <xm:sqref>F250</xm:sqref>
        </x14:dataValidation>
        <x14:dataValidation type="list" allowBlank="1" showInputMessage="1" showErrorMessage="1" xr:uid="{F4E9A9E4-0B5D-4169-B19B-89FD0229BA2A}">
          <x14:formula1>
            <xm:f>BundlingCompatabilityData!B42:B51</xm:f>
          </x14:formula1>
          <xm:sqref>F251</xm:sqref>
        </x14:dataValidation>
        <x14:dataValidation type="list" allowBlank="1" showInputMessage="1" showErrorMessage="1" xr:uid="{69C0F399-4677-4C49-8E10-D4D7A9F8BF58}">
          <x14:formula1>
            <xm:f>BundlingCompatabilityData!B42:B51</xm:f>
          </x14:formula1>
          <xm:sqref>F252</xm:sqref>
        </x14:dataValidation>
        <x14:dataValidation type="list" allowBlank="1" showInputMessage="1" showErrorMessage="1" xr:uid="{B8C9C14D-AC3B-4B6C-AA79-9AA9CBB83615}">
          <x14:formula1>
            <xm:f>BundlingCompatabilityData!B42:B51</xm:f>
          </x14:formula1>
          <xm:sqref>F253</xm:sqref>
        </x14:dataValidation>
        <x14:dataValidation type="list" allowBlank="1" showInputMessage="1" showErrorMessage="1" xr:uid="{982DD44C-3355-46D5-B3A9-BF1560C568CD}">
          <x14:formula1>
            <xm:f>BundlingCompatabilityData!B42:B51</xm:f>
          </x14:formula1>
          <xm:sqref>F254</xm:sqref>
        </x14:dataValidation>
        <x14:dataValidation type="list" allowBlank="1" showInputMessage="1" showErrorMessage="1" xr:uid="{B844C4BD-D49A-423F-9962-93CDB1E3FD0D}">
          <x14:formula1>
            <xm:f>BundlingCompatabilityData!B42:B51</xm:f>
          </x14:formula1>
          <xm:sqref>F255</xm:sqref>
        </x14:dataValidation>
        <x14:dataValidation type="list" allowBlank="1" showInputMessage="1" showErrorMessage="1" xr:uid="{F959FB69-4EBD-4D34-903A-0709A1497AD5}">
          <x14:formula1>
            <xm:f>BundlingCompatabilityData!B42:B51</xm:f>
          </x14:formula1>
          <xm:sqref>F256</xm:sqref>
        </x14:dataValidation>
        <x14:dataValidation type="list" allowBlank="1" showInputMessage="1" showErrorMessage="1" xr:uid="{B105FE73-8812-4B64-B0F2-46925D0CEE38}">
          <x14:formula1>
            <xm:f>BundlingCompatabilityData!B42:B51</xm:f>
          </x14:formula1>
          <xm:sqref>F257</xm:sqref>
        </x14:dataValidation>
        <x14:dataValidation type="list" allowBlank="1" showInputMessage="1" showErrorMessage="1" xr:uid="{621FE5A2-0742-4A1E-94BD-69D1C2F99237}">
          <x14:formula1>
            <xm:f>BundlingCompatabilityData!B42:B51</xm:f>
          </x14:formula1>
          <xm:sqref>F258</xm:sqref>
        </x14:dataValidation>
        <x14:dataValidation type="list" allowBlank="1" showInputMessage="1" showErrorMessage="1" xr:uid="{7EB94EF2-DC69-4353-A44D-3020BBBE5FD2}">
          <x14:formula1>
            <xm:f>BundlingCompatabilityData!B42:B51</xm:f>
          </x14:formula1>
          <xm:sqref>F259</xm:sqref>
        </x14:dataValidation>
        <x14:dataValidation type="list" allowBlank="1" showInputMessage="1" showErrorMessage="1" xr:uid="{064B63B8-3400-4D3D-8673-BE8F6E13F970}">
          <x14:formula1>
            <xm:f>BundlingCompatabilityData!B42:B51</xm:f>
          </x14:formula1>
          <xm:sqref>F260</xm:sqref>
        </x14:dataValidation>
        <x14:dataValidation type="list" allowBlank="1" showInputMessage="1" showErrorMessage="1" xr:uid="{D4B4AE71-435B-42B2-9667-4812A1FC9486}">
          <x14:formula1>
            <xm:f>BundlingCompatabilityData!B42:B51</xm:f>
          </x14:formula1>
          <xm:sqref>F261</xm:sqref>
        </x14:dataValidation>
        <x14:dataValidation type="list" allowBlank="1" showInputMessage="1" showErrorMessage="1" xr:uid="{08F0ED30-78CE-4A2A-A813-44A58701421A}">
          <x14:formula1>
            <xm:f>BundlingCompatabilityData!B42:B51</xm:f>
          </x14:formula1>
          <xm:sqref>F262</xm:sqref>
        </x14:dataValidation>
        <x14:dataValidation type="list" allowBlank="1" showInputMessage="1" showErrorMessage="1" xr:uid="{8017435D-65FC-4911-880F-4B70A41D6ABA}">
          <x14:formula1>
            <xm:f>BundlingCompatabilityData!B42:B51</xm:f>
          </x14:formula1>
          <xm:sqref>F263</xm:sqref>
        </x14:dataValidation>
        <x14:dataValidation type="list" allowBlank="1" showInputMessage="1" showErrorMessage="1" xr:uid="{5F257C73-79DA-4AC2-92DE-A9EA59356D64}">
          <x14:formula1>
            <xm:f>BundlingCompatabilityData!B42:B51</xm:f>
          </x14:formula1>
          <xm:sqref>F264</xm:sqref>
        </x14:dataValidation>
        <x14:dataValidation type="list" allowBlank="1" showInputMessage="1" showErrorMessage="1" xr:uid="{68BAC3F9-071E-4A3F-9CA6-D9E0E3B9B460}">
          <x14:formula1>
            <xm:f>BundlingCompatabilityData!B42:B51</xm:f>
          </x14:formula1>
          <xm:sqref>F265</xm:sqref>
        </x14:dataValidation>
        <x14:dataValidation type="list" allowBlank="1" showInputMessage="1" showErrorMessage="1" xr:uid="{A6702D28-C212-4DE0-8230-728E69B6487B}">
          <x14:formula1>
            <xm:f>BundlingCompatabilityData!B42:B51</xm:f>
          </x14:formula1>
          <xm:sqref>F266</xm:sqref>
        </x14:dataValidation>
        <x14:dataValidation type="list" allowBlank="1" showInputMessage="1" showErrorMessage="1" xr:uid="{AF6EE9CD-1421-4C46-BE27-5420068327AC}">
          <x14:formula1>
            <xm:f>BundlingCompatabilityData!B42:B51</xm:f>
          </x14:formula1>
          <xm:sqref>F267</xm:sqref>
        </x14:dataValidation>
        <x14:dataValidation type="list" allowBlank="1" showInputMessage="1" showErrorMessage="1" xr:uid="{26ED8B61-B93A-40DB-B163-8D85041B712F}">
          <x14:formula1>
            <xm:f>BundlingCompatabilityData!B42:B51</xm:f>
          </x14:formula1>
          <xm:sqref>F268</xm:sqref>
        </x14:dataValidation>
        <x14:dataValidation type="list" allowBlank="1" showInputMessage="1" showErrorMessage="1" xr:uid="{5FF2A1E5-2ACD-411F-8167-DC804CA976D0}">
          <x14:formula1>
            <xm:f>BundlingCompatabilityData!B42:B51</xm:f>
          </x14:formula1>
          <xm:sqref>F269</xm:sqref>
        </x14:dataValidation>
        <x14:dataValidation type="list" allowBlank="1" showInputMessage="1" showErrorMessage="1" xr:uid="{759B265E-CF8B-45EF-A576-95E3DC2BE752}">
          <x14:formula1>
            <xm:f>BundlingCompatabilityData!B42:B51</xm:f>
          </x14:formula1>
          <xm:sqref>F270</xm:sqref>
        </x14:dataValidation>
        <x14:dataValidation type="list" allowBlank="1" showInputMessage="1" showErrorMessage="1" xr:uid="{0BB9CC09-D119-416D-902C-EED6083E73EC}">
          <x14:formula1>
            <xm:f>BundlingCompatabilityData!B42:B51</xm:f>
          </x14:formula1>
          <xm:sqref>F271</xm:sqref>
        </x14:dataValidation>
        <x14:dataValidation type="list" allowBlank="1" showInputMessage="1" showErrorMessage="1" xr:uid="{E7635BF7-D509-406A-8ED6-4BB1743FB7F9}">
          <x14:formula1>
            <xm:f>BundlingCompatabilityData!B42:B51</xm:f>
          </x14:formula1>
          <xm:sqref>F272</xm:sqref>
        </x14:dataValidation>
        <x14:dataValidation type="list" allowBlank="1" showInputMessage="1" showErrorMessage="1" xr:uid="{C1E18CA8-5B86-4928-8CE5-35AEEAE3E73E}">
          <x14:formula1>
            <xm:f>BundlingCompatabilityData!B42:B51</xm:f>
          </x14:formula1>
          <xm:sqref>F273</xm:sqref>
        </x14:dataValidation>
        <x14:dataValidation type="list" allowBlank="1" showInputMessage="1" showErrorMessage="1" xr:uid="{A3F5D4D3-1362-49EC-841D-40D793942828}">
          <x14:formula1>
            <xm:f>BundlingCompatabilityData!B42:B51</xm:f>
          </x14:formula1>
          <xm:sqref>F274</xm:sqref>
        </x14:dataValidation>
        <x14:dataValidation type="list" allowBlank="1" showInputMessage="1" showErrorMessage="1" xr:uid="{C4A68565-6672-44D9-9DBC-F22C81C15337}">
          <x14:formula1>
            <xm:f>BundlingCompatabilityData!B42:B51</xm:f>
          </x14:formula1>
          <xm:sqref>F275</xm:sqref>
        </x14:dataValidation>
        <x14:dataValidation type="list" allowBlank="1" showInputMessage="1" showErrorMessage="1" xr:uid="{1602539F-5438-41A2-BCC9-806C92BC949D}">
          <x14:formula1>
            <xm:f>BundlingCompatabilityData!B42:B51</xm:f>
          </x14:formula1>
          <xm:sqref>F276</xm:sqref>
        </x14:dataValidation>
        <x14:dataValidation type="list" allowBlank="1" showInputMessage="1" showErrorMessage="1" xr:uid="{6F5B3D1E-E046-4D20-B151-F74CA9322182}">
          <x14:formula1>
            <xm:f>BundlingCompatabilityData!B42:B51</xm:f>
          </x14:formula1>
          <xm:sqref>F277</xm:sqref>
        </x14:dataValidation>
        <x14:dataValidation type="list" allowBlank="1" showInputMessage="1" showErrorMessage="1" xr:uid="{5F8535B6-3E83-4337-B712-853FD90A6762}">
          <x14:formula1>
            <xm:f>BundlingCompatabilityData!B42:B51</xm:f>
          </x14:formula1>
          <xm:sqref>F278</xm:sqref>
        </x14:dataValidation>
        <x14:dataValidation type="list" allowBlank="1" showInputMessage="1" showErrorMessage="1" xr:uid="{740C8B2A-42C4-4039-B93D-CA0A4611E884}">
          <x14:formula1>
            <xm:f>BundlingCompatabilityData!B42:B51</xm:f>
          </x14:formula1>
          <xm:sqref>F279</xm:sqref>
        </x14:dataValidation>
        <x14:dataValidation type="list" allowBlank="1" showInputMessage="1" showErrorMessage="1" xr:uid="{D130896E-5A5F-4BE4-B879-DCB252B33CDF}">
          <x14:formula1>
            <xm:f>BundlingCompatabilityData!B42:B51</xm:f>
          </x14:formula1>
          <xm:sqref>F280</xm:sqref>
        </x14:dataValidation>
        <x14:dataValidation type="list" allowBlank="1" showInputMessage="1" showErrorMessage="1" xr:uid="{43993A10-77A0-4891-AFF5-B8595682418D}">
          <x14:formula1>
            <xm:f>BundlingCompatabilityData!B42:B51</xm:f>
          </x14:formula1>
          <xm:sqref>F281</xm:sqref>
        </x14:dataValidation>
        <x14:dataValidation type="list" allowBlank="1" showInputMessage="1" showErrorMessage="1" xr:uid="{C9C5DF73-47EB-4EC0-8C91-F0D8B0A587DF}">
          <x14:formula1>
            <xm:f>BundlingCompatabilityData!B42:B51</xm:f>
          </x14:formula1>
          <xm:sqref>F282</xm:sqref>
        </x14:dataValidation>
        <x14:dataValidation type="list" allowBlank="1" showInputMessage="1" showErrorMessage="1" xr:uid="{9D1F182C-7261-4262-A9D3-7ACE7A952278}">
          <x14:formula1>
            <xm:f>BundlingCompatabilityData!B42:B51</xm:f>
          </x14:formula1>
          <xm:sqref>F283</xm:sqref>
        </x14:dataValidation>
        <x14:dataValidation type="list" allowBlank="1" showInputMessage="1" showErrorMessage="1" xr:uid="{56DC7681-1189-4EFE-9255-0715B59938BD}">
          <x14:formula1>
            <xm:f>BundlingCompatabilityData!B42:B51</xm:f>
          </x14:formula1>
          <xm:sqref>F284</xm:sqref>
        </x14:dataValidation>
        <x14:dataValidation type="list" allowBlank="1" showInputMessage="1" showErrorMessage="1" xr:uid="{4D5499A7-570D-41B1-A6EB-EE5F6E36CF05}">
          <x14:formula1>
            <xm:f>BundlingCompatabilityData!B42:B51</xm:f>
          </x14:formula1>
          <xm:sqref>F285</xm:sqref>
        </x14:dataValidation>
        <x14:dataValidation type="list" allowBlank="1" showInputMessage="1" showErrorMessage="1" xr:uid="{2F0A112B-D50F-40EE-B788-6685482DB2F0}">
          <x14:formula1>
            <xm:f>BundlingCompatabilityData!B42:B51</xm:f>
          </x14:formula1>
          <xm:sqref>F286</xm:sqref>
        </x14:dataValidation>
        <x14:dataValidation type="list" allowBlank="1" showInputMessage="1" showErrorMessage="1" xr:uid="{BE84E71E-1E8F-4108-8981-CFAA47DF2DD9}">
          <x14:formula1>
            <xm:f>BundlingCompatabilityData!B42:B51</xm:f>
          </x14:formula1>
          <xm:sqref>F287</xm:sqref>
        </x14:dataValidation>
        <x14:dataValidation type="list" allowBlank="1" showInputMessage="1" showErrorMessage="1" xr:uid="{B067A9E9-044E-4B34-A253-2E8BEA6C95B3}">
          <x14:formula1>
            <xm:f>BundlingCompatabilityData!B42:B51</xm:f>
          </x14:formula1>
          <xm:sqref>F288</xm:sqref>
        </x14:dataValidation>
        <x14:dataValidation type="list" allowBlank="1" showInputMessage="1" showErrorMessage="1" xr:uid="{1B65C4AB-180D-475A-BC73-0A0E85B8DA8A}">
          <x14:formula1>
            <xm:f>BundlingCompatabilityData!B42:B51</xm:f>
          </x14:formula1>
          <xm:sqref>F289</xm:sqref>
        </x14:dataValidation>
        <x14:dataValidation type="list" allowBlank="1" showInputMessage="1" showErrorMessage="1" xr:uid="{ED2F70F2-5D56-4BF2-B3D6-AD1CBE0922F1}">
          <x14:formula1>
            <xm:f>BundlingCompatabilityData!B42:B51</xm:f>
          </x14:formula1>
          <xm:sqref>F290</xm:sqref>
        </x14:dataValidation>
        <x14:dataValidation type="list" allowBlank="1" showInputMessage="1" showErrorMessage="1" xr:uid="{E7638F7C-7E92-41D9-8BFE-00B2EB80AF7B}">
          <x14:formula1>
            <xm:f>BundlingCompatabilityData!B42:B51</xm:f>
          </x14:formula1>
          <xm:sqref>F291</xm:sqref>
        </x14:dataValidation>
        <x14:dataValidation type="list" allowBlank="1" showInputMessage="1" showErrorMessage="1" xr:uid="{E9B0128A-1271-4FB1-A0E6-85E0FEDED94A}">
          <x14:formula1>
            <xm:f>BundlingCompatabilityData!B42:B51</xm:f>
          </x14:formula1>
          <xm:sqref>F292</xm:sqref>
        </x14:dataValidation>
        <x14:dataValidation type="list" allowBlank="1" showInputMessage="1" showErrorMessage="1" xr:uid="{2E9C6A09-AC68-4521-94D8-131C8A008B2D}">
          <x14:formula1>
            <xm:f>BundlingCompatabilityData!B42:B51</xm:f>
          </x14:formula1>
          <xm:sqref>F293</xm:sqref>
        </x14:dataValidation>
        <x14:dataValidation type="list" allowBlank="1" showInputMessage="1" showErrorMessage="1" xr:uid="{CADC32EF-BE05-45DA-8D63-02BD3F1D1F6F}">
          <x14:formula1>
            <xm:f>BundlingCompatabilityData!B42:B51</xm:f>
          </x14:formula1>
          <xm:sqref>F294</xm:sqref>
        </x14:dataValidation>
        <x14:dataValidation type="list" allowBlank="1" showInputMessage="1" showErrorMessage="1" xr:uid="{7CC8FDD0-D8A5-401B-9B38-200A7668726F}">
          <x14:formula1>
            <xm:f>BundlingCompatabilityData!B42:B51</xm:f>
          </x14:formula1>
          <xm:sqref>F295</xm:sqref>
        </x14:dataValidation>
        <x14:dataValidation type="list" allowBlank="1" showInputMessage="1" showErrorMessage="1" xr:uid="{6D380CC8-9009-445E-BA8B-5818E97D78AC}">
          <x14:formula1>
            <xm:f>BundlingCompatabilityData!B42:B51</xm:f>
          </x14:formula1>
          <xm:sqref>F296</xm:sqref>
        </x14:dataValidation>
        <x14:dataValidation type="list" allowBlank="1" showInputMessage="1" showErrorMessage="1" xr:uid="{09AC2227-4E86-4A8E-9D44-5D539EF73D86}">
          <x14:formula1>
            <xm:f>BundlingCompatabilityData!B42:B51</xm:f>
          </x14:formula1>
          <xm:sqref>F297</xm:sqref>
        </x14:dataValidation>
        <x14:dataValidation type="list" allowBlank="1" showInputMessage="1" showErrorMessage="1" xr:uid="{12875017-F8D0-4BE9-8DA6-D265CA3D01D2}">
          <x14:formula1>
            <xm:f>BundlingCompatabilityData!B42:B51</xm:f>
          </x14:formula1>
          <xm:sqref>F298</xm:sqref>
        </x14:dataValidation>
        <x14:dataValidation type="list" allowBlank="1" showInputMessage="1" showErrorMessage="1" xr:uid="{48448BE1-281A-482D-8AE0-D71E0B4CBE67}">
          <x14:formula1>
            <xm:f>BundlingCompatabilityData!B42:B51</xm:f>
          </x14:formula1>
          <xm:sqref>F299</xm:sqref>
        </x14:dataValidation>
        <x14:dataValidation type="list" allowBlank="1" showInputMessage="1" showErrorMessage="1" xr:uid="{8FD070DE-A904-4519-80DD-5FFA8F9809B5}">
          <x14:formula1>
            <xm:f>BundlingCompatabilityData!B42:B51</xm:f>
          </x14:formula1>
          <xm:sqref>F300</xm:sqref>
        </x14:dataValidation>
        <x14:dataValidation type="list" allowBlank="1" showInputMessage="1" showErrorMessage="1" xr:uid="{155FFE4B-A30C-4903-AB84-EA9700C808A0}">
          <x14:formula1>
            <xm:f>BundlingCompatabilityData!B42:B51</xm:f>
          </x14:formula1>
          <xm:sqref>F301</xm:sqref>
        </x14:dataValidation>
        <x14:dataValidation type="list" allowBlank="1" showInputMessage="1" showErrorMessage="1" xr:uid="{ED7F90DC-9DD6-42B9-9434-A6B32EF8736D}">
          <x14:formula1>
            <xm:f>BundlingCompatabilityData!B42:B51</xm:f>
          </x14:formula1>
          <xm:sqref>F302</xm:sqref>
        </x14:dataValidation>
        <x14:dataValidation type="list" allowBlank="1" showInputMessage="1" showErrorMessage="1" xr:uid="{3DA68C72-1E72-48D1-9BA6-DD24CE77562B}">
          <x14:formula1>
            <xm:f>BundlingCompatabilityData!B42:B51</xm:f>
          </x14:formula1>
          <xm:sqref>F303</xm:sqref>
        </x14:dataValidation>
        <x14:dataValidation type="list" allowBlank="1" showInputMessage="1" showErrorMessage="1" xr:uid="{E3B3656B-94DF-437B-A327-4461C8322D57}">
          <x14:formula1>
            <xm:f>BundlingCompatabilityData!B42:B51</xm:f>
          </x14:formula1>
          <xm:sqref>F304</xm:sqref>
        </x14:dataValidation>
        <x14:dataValidation type="list" allowBlank="1" showInputMessage="1" showErrorMessage="1" xr:uid="{199A1D4E-65DD-4D34-8D06-482C8287381D}">
          <x14:formula1>
            <xm:f>BundlingCompatabilityData!B42:B51</xm:f>
          </x14:formula1>
          <xm:sqref>F305</xm:sqref>
        </x14:dataValidation>
        <x14:dataValidation type="list" allowBlank="1" showInputMessage="1" showErrorMessage="1" xr:uid="{920BED13-62DE-4104-B0B5-91E8A32433FF}">
          <x14:formula1>
            <xm:f>BundlingCompatabilityData!B42:B51</xm:f>
          </x14:formula1>
          <xm:sqref>F306</xm:sqref>
        </x14:dataValidation>
        <x14:dataValidation type="list" allowBlank="1" showInputMessage="1" showErrorMessage="1" xr:uid="{4194DC3F-D82F-4B02-8647-3F1037725CD6}">
          <x14:formula1>
            <xm:f>BundlingCompatabilityData!B42:B51</xm:f>
          </x14:formula1>
          <xm:sqref>F307</xm:sqref>
        </x14:dataValidation>
        <x14:dataValidation type="list" allowBlank="1" showInputMessage="1" showErrorMessage="1" xr:uid="{78733B41-EA72-456D-BDDC-6A560B2A0670}">
          <x14:formula1>
            <xm:f>BundlingCompatabilityData!B42:B51</xm:f>
          </x14:formula1>
          <xm:sqref>F308</xm:sqref>
        </x14:dataValidation>
        <x14:dataValidation type="list" allowBlank="1" showInputMessage="1" showErrorMessage="1" xr:uid="{72865553-FBB7-4CEC-B66E-CBF956B6C754}">
          <x14:formula1>
            <xm:f>BundlingCompatabilityData!B42:B51</xm:f>
          </x14:formula1>
          <xm:sqref>F309</xm:sqref>
        </x14:dataValidation>
        <x14:dataValidation type="list" allowBlank="1" showInputMessage="1" showErrorMessage="1" xr:uid="{61B277C9-87EA-49C4-9D6D-4C6A713554ED}">
          <x14:formula1>
            <xm:f>BundlingCompatabilityData!B42:B51</xm:f>
          </x14:formula1>
          <xm:sqref>F310</xm:sqref>
        </x14:dataValidation>
        <x14:dataValidation type="list" allowBlank="1" showInputMessage="1" showErrorMessage="1" xr:uid="{965C80D0-CA81-42DD-963B-84FE197EA286}">
          <x14:formula1>
            <xm:f>BundlingCompatabilityData!B42:B51</xm:f>
          </x14:formula1>
          <xm:sqref>F311</xm:sqref>
        </x14:dataValidation>
        <x14:dataValidation type="list" allowBlank="1" showInputMessage="1" showErrorMessage="1" xr:uid="{F48833C0-8812-4C72-9E07-94A68D5038D6}">
          <x14:formula1>
            <xm:f>BundlingCompatabilityData!B42:B51</xm:f>
          </x14:formula1>
          <xm:sqref>F312</xm:sqref>
        </x14:dataValidation>
        <x14:dataValidation type="list" allowBlank="1" showInputMessage="1" showErrorMessage="1" xr:uid="{F6B18E7C-2A35-4113-80F3-4E737A749D4C}">
          <x14:formula1>
            <xm:f>BundlingCompatabilityData!B42:B51</xm:f>
          </x14:formula1>
          <xm:sqref>F313</xm:sqref>
        </x14:dataValidation>
        <x14:dataValidation type="list" allowBlank="1" showInputMessage="1" showErrorMessage="1" xr:uid="{4073521D-29A9-4DE6-85C5-A688EB969947}">
          <x14:formula1>
            <xm:f>BundlingCompatabilityData!B42:B51</xm:f>
          </x14:formula1>
          <xm:sqref>F314</xm:sqref>
        </x14:dataValidation>
        <x14:dataValidation type="list" allowBlank="1" showInputMessage="1" showErrorMessage="1" xr:uid="{2006E77A-3A67-4A62-9C17-825CE18643DC}">
          <x14:formula1>
            <xm:f>BundlingCompatabilityData!B42:B51</xm:f>
          </x14:formula1>
          <xm:sqref>F315</xm:sqref>
        </x14:dataValidation>
        <x14:dataValidation type="list" allowBlank="1" showInputMessage="1" showErrorMessage="1" xr:uid="{C87A2383-CE81-4A40-AC04-4DBDECF123BD}">
          <x14:formula1>
            <xm:f>BundlingCompatabilityData!B42:B51</xm:f>
          </x14:formula1>
          <xm:sqref>F316</xm:sqref>
        </x14:dataValidation>
        <x14:dataValidation type="list" allowBlank="1" showInputMessage="1" showErrorMessage="1" xr:uid="{3ED8BFC5-4720-4993-BB34-7814A00216E4}">
          <x14:formula1>
            <xm:f>BundlingCompatabilityData!B42:B51</xm:f>
          </x14:formula1>
          <xm:sqref>F317</xm:sqref>
        </x14:dataValidation>
        <x14:dataValidation type="list" allowBlank="1" showInputMessage="1" showErrorMessage="1" xr:uid="{F16B31D8-9CBD-4717-9F29-AE96FC3DE7D7}">
          <x14:formula1>
            <xm:f>BundlingCompatabilityData!B42:B51</xm:f>
          </x14:formula1>
          <xm:sqref>F318</xm:sqref>
        </x14:dataValidation>
        <x14:dataValidation type="list" allowBlank="1" showInputMessage="1" showErrorMessage="1" xr:uid="{284D0C68-6693-49BC-9B84-537993D90D0F}">
          <x14:formula1>
            <xm:f>BundlingCompatabilityData!B42:B51</xm:f>
          </x14:formula1>
          <xm:sqref>F319</xm:sqref>
        </x14:dataValidation>
        <x14:dataValidation type="list" allowBlank="1" showInputMessage="1" showErrorMessage="1" xr:uid="{D741CE13-ECA3-4AF1-9D3E-9A7018427325}">
          <x14:formula1>
            <xm:f>BundlingCompatabilityData!B42:B51</xm:f>
          </x14:formula1>
          <xm:sqref>F320</xm:sqref>
        </x14:dataValidation>
        <x14:dataValidation type="list" allowBlank="1" showInputMessage="1" showErrorMessage="1" xr:uid="{8D9E6BA1-A07A-4BBB-AFEB-EF51114421F4}">
          <x14:formula1>
            <xm:f>BundlingCompatabilityData!B42:B51</xm:f>
          </x14:formula1>
          <xm:sqref>F321</xm:sqref>
        </x14:dataValidation>
        <x14:dataValidation type="list" allowBlank="1" showInputMessage="1" showErrorMessage="1" xr:uid="{CA41744F-E341-4A7F-8ED7-764477380D8A}">
          <x14:formula1>
            <xm:f>BundlingCompatabilityData!B42:B51</xm:f>
          </x14:formula1>
          <xm:sqref>F322</xm:sqref>
        </x14:dataValidation>
        <x14:dataValidation type="list" allowBlank="1" showInputMessage="1" showErrorMessage="1" xr:uid="{AF4CB478-D4AE-4068-A111-EDF76BE2562B}">
          <x14:formula1>
            <xm:f>BundlingCompatabilityData!B42:B51</xm:f>
          </x14:formula1>
          <xm:sqref>F323</xm:sqref>
        </x14:dataValidation>
        <x14:dataValidation type="list" allowBlank="1" showInputMessage="1" showErrorMessage="1" xr:uid="{C517CD08-873F-4E82-A125-691810AFDB4E}">
          <x14:formula1>
            <xm:f>BundlingCompatabilityData!B42:B51</xm:f>
          </x14:formula1>
          <xm:sqref>F324</xm:sqref>
        </x14:dataValidation>
        <x14:dataValidation type="list" allowBlank="1" showInputMessage="1" showErrorMessage="1" xr:uid="{18023BDB-349D-402D-A896-59D0227A27E8}">
          <x14:formula1>
            <xm:f>BundlingCompatabilityData!B42:B51</xm:f>
          </x14:formula1>
          <xm:sqref>F325</xm:sqref>
        </x14:dataValidation>
        <x14:dataValidation type="list" allowBlank="1" showInputMessage="1" showErrorMessage="1" xr:uid="{7E40A7C4-3316-466A-9E42-4EFDB71EA5D3}">
          <x14:formula1>
            <xm:f>BundlingCompatabilityData!B42:B51</xm:f>
          </x14:formula1>
          <xm:sqref>F326</xm:sqref>
        </x14:dataValidation>
        <x14:dataValidation type="list" allowBlank="1" showInputMessage="1" showErrorMessage="1" xr:uid="{7F0FAC5D-1660-4D9D-8DB3-C4D831DE8CF0}">
          <x14:formula1>
            <xm:f>BundlingCompatabilityData!B42:B51</xm:f>
          </x14:formula1>
          <xm:sqref>F327</xm:sqref>
        </x14:dataValidation>
        <x14:dataValidation type="list" allowBlank="1" showInputMessage="1" showErrorMessage="1" xr:uid="{8DFA0B29-1DBE-4E5A-A7BE-B875E62E8A96}">
          <x14:formula1>
            <xm:f>BundlingCompatabilityData!B42:B51</xm:f>
          </x14:formula1>
          <xm:sqref>F328</xm:sqref>
        </x14:dataValidation>
        <x14:dataValidation type="list" allowBlank="1" showInputMessage="1" showErrorMessage="1" xr:uid="{81B512BF-F75A-49CE-B7B2-DBE12B6A8016}">
          <x14:formula1>
            <xm:f>BundlingCompatabilityData!B42:B51</xm:f>
          </x14:formula1>
          <xm:sqref>F329</xm:sqref>
        </x14:dataValidation>
        <x14:dataValidation type="list" allowBlank="1" showInputMessage="1" showErrorMessage="1" xr:uid="{8841A49C-550C-4BBD-A941-989E7B88B790}">
          <x14:formula1>
            <xm:f>BundlingCompatabilityData!B42:B51</xm:f>
          </x14:formula1>
          <xm:sqref>F330</xm:sqref>
        </x14:dataValidation>
        <x14:dataValidation type="list" allowBlank="1" showInputMessage="1" showErrorMessage="1" xr:uid="{906FBA2E-D1DC-46CE-B752-DD24ECB499FB}">
          <x14:formula1>
            <xm:f>BundlingCompatabilityData!B42:B51</xm:f>
          </x14:formula1>
          <xm:sqref>F331</xm:sqref>
        </x14:dataValidation>
        <x14:dataValidation type="list" allowBlank="1" showInputMessage="1" showErrorMessage="1" xr:uid="{FB2CF5E6-5AC4-4C17-9617-A9FC91F66D53}">
          <x14:formula1>
            <xm:f>BundlingCompatabilityData!B42:B51</xm:f>
          </x14:formula1>
          <xm:sqref>F332</xm:sqref>
        </x14:dataValidation>
        <x14:dataValidation type="list" allowBlank="1" showInputMessage="1" showErrorMessage="1" xr:uid="{C4CE56D6-F68D-4EE6-A96D-374F6C1B5386}">
          <x14:formula1>
            <xm:f>BundlingCompatabilityData!B42:B51</xm:f>
          </x14:formula1>
          <xm:sqref>F333</xm:sqref>
        </x14:dataValidation>
        <x14:dataValidation type="list" allowBlank="1" showInputMessage="1" showErrorMessage="1" xr:uid="{7F223DBE-4049-4A1B-82AD-418A1FA9957B}">
          <x14:formula1>
            <xm:f>BundlingCompatabilityData!B42:B51</xm:f>
          </x14:formula1>
          <xm:sqref>F334</xm:sqref>
        </x14:dataValidation>
        <x14:dataValidation type="list" allowBlank="1" showInputMessage="1" showErrorMessage="1" xr:uid="{8E9A7C44-D2BE-4F49-BBF4-058814D71968}">
          <x14:formula1>
            <xm:f>BundlingCompatabilityData!B42:B51</xm:f>
          </x14:formula1>
          <xm:sqref>F335</xm:sqref>
        </x14:dataValidation>
        <x14:dataValidation type="list" allowBlank="1" showInputMessage="1" showErrorMessage="1" xr:uid="{93274800-D04F-47E2-8C1D-CF950FC40092}">
          <x14:formula1>
            <xm:f>BundlingCompatabilityData!B42:B51</xm:f>
          </x14:formula1>
          <xm:sqref>F336</xm:sqref>
        </x14:dataValidation>
        <x14:dataValidation type="list" allowBlank="1" showInputMessage="1" showErrorMessage="1" xr:uid="{7540A313-4EFE-41B3-AE65-27D075662AB3}">
          <x14:formula1>
            <xm:f>BundlingCompatabilityData!B42:B51</xm:f>
          </x14:formula1>
          <xm:sqref>F337</xm:sqref>
        </x14:dataValidation>
        <x14:dataValidation type="list" allowBlank="1" showInputMessage="1" showErrorMessage="1" xr:uid="{3B7903DE-C2E7-401A-A45F-46CCF5E85FE2}">
          <x14:formula1>
            <xm:f>BundlingCompatabilityData!B42:B51</xm:f>
          </x14:formula1>
          <xm:sqref>F338</xm:sqref>
        </x14:dataValidation>
        <x14:dataValidation type="list" allowBlank="1" showInputMessage="1" showErrorMessage="1" xr:uid="{DA7587BB-16A4-4E34-B546-C05709390FBE}">
          <x14:formula1>
            <xm:f>BundlingCompatabilityData!B42:B51</xm:f>
          </x14:formula1>
          <xm:sqref>F339</xm:sqref>
        </x14:dataValidation>
        <x14:dataValidation type="list" allowBlank="1" showInputMessage="1" showErrorMessage="1" xr:uid="{21527C1D-DADF-43D8-9581-30F57232F2CB}">
          <x14:formula1>
            <xm:f>BundlingCompatabilityData!B42:B51</xm:f>
          </x14:formula1>
          <xm:sqref>F340</xm:sqref>
        </x14:dataValidation>
        <x14:dataValidation type="list" allowBlank="1" showInputMessage="1" showErrorMessage="1" xr:uid="{A36C4828-1B70-4A20-9E64-39324579C4E4}">
          <x14:formula1>
            <xm:f>BundlingCompatabilityData!B42:B51</xm:f>
          </x14:formula1>
          <xm:sqref>F341</xm:sqref>
        </x14:dataValidation>
        <x14:dataValidation type="list" allowBlank="1" showInputMessage="1" showErrorMessage="1" xr:uid="{2494F3B4-5771-456B-84F4-5BA4A1DD0C60}">
          <x14:formula1>
            <xm:f>BundlingCompatabilityData!B42:B51</xm:f>
          </x14:formula1>
          <xm:sqref>F342</xm:sqref>
        </x14:dataValidation>
        <x14:dataValidation type="list" allowBlank="1" showInputMessage="1" showErrorMessage="1" xr:uid="{5900CF15-1AB1-47EA-866B-BF9034834322}">
          <x14:formula1>
            <xm:f>BundlingCompatabilityData!B42:B51</xm:f>
          </x14:formula1>
          <xm:sqref>F343</xm:sqref>
        </x14:dataValidation>
        <x14:dataValidation type="list" allowBlank="1" showInputMessage="1" showErrorMessage="1" xr:uid="{57D5DF12-5DD1-4608-9260-BC42ED594629}">
          <x14:formula1>
            <xm:f>BundlingCompatabilityData!B42:B51</xm:f>
          </x14:formula1>
          <xm:sqref>F344</xm:sqref>
        </x14:dataValidation>
        <x14:dataValidation type="list" allowBlank="1" showInputMessage="1" showErrorMessage="1" xr:uid="{73636425-C22C-4320-B0C1-02D8CD30E165}">
          <x14:formula1>
            <xm:f>BundlingCompatabilityData!B42:B51</xm:f>
          </x14:formula1>
          <xm:sqref>F345</xm:sqref>
        </x14:dataValidation>
        <x14:dataValidation type="list" allowBlank="1" showInputMessage="1" showErrorMessage="1" xr:uid="{F7B6CA88-BBC4-4A1A-A8EF-FC37B46BBB19}">
          <x14:formula1>
            <xm:f>BundlingCompatabilityData!B42:B51</xm:f>
          </x14:formula1>
          <xm:sqref>F346</xm:sqref>
        </x14:dataValidation>
        <x14:dataValidation type="list" allowBlank="1" showInputMessage="1" showErrorMessage="1" xr:uid="{B816D170-5DF7-4899-B856-574279A3020A}">
          <x14:formula1>
            <xm:f>BundlingCompatabilityData!B42:B51</xm:f>
          </x14:formula1>
          <xm:sqref>F347</xm:sqref>
        </x14:dataValidation>
        <x14:dataValidation type="list" allowBlank="1" showInputMessage="1" showErrorMessage="1" xr:uid="{7F48DE4A-2EFB-48FF-8268-E21FFF6950FA}">
          <x14:formula1>
            <xm:f>BundlingCompatabilityData!B42:B51</xm:f>
          </x14:formula1>
          <xm:sqref>F348</xm:sqref>
        </x14:dataValidation>
        <x14:dataValidation type="list" allowBlank="1" showInputMessage="1" showErrorMessage="1" xr:uid="{9C1BD4EA-EB28-4EAE-A02A-123AE149489A}">
          <x14:formula1>
            <xm:f>BundlingCompatabilityData!B42:B51</xm:f>
          </x14:formula1>
          <xm:sqref>F349</xm:sqref>
        </x14:dataValidation>
        <x14:dataValidation type="list" allowBlank="1" showInputMessage="1" showErrorMessage="1" xr:uid="{40D7A1EB-E4A1-472B-9952-09F95F5489C6}">
          <x14:formula1>
            <xm:f>BundlingCompatabilityData!B42:B51</xm:f>
          </x14:formula1>
          <xm:sqref>F350</xm:sqref>
        </x14:dataValidation>
        <x14:dataValidation type="list" allowBlank="1" showInputMessage="1" showErrorMessage="1" xr:uid="{6ABFFD32-8C51-4772-8C30-E6C2E3E3CDC6}">
          <x14:formula1>
            <xm:f>BundlingCompatabilityData!B42:B51</xm:f>
          </x14:formula1>
          <xm:sqref>F351</xm:sqref>
        </x14:dataValidation>
        <x14:dataValidation type="list" allowBlank="1" showInputMessage="1" showErrorMessage="1" xr:uid="{2F12D43A-3BAA-41C6-B4E6-8352A2ECFD5B}">
          <x14:formula1>
            <xm:f>BundlingCompatabilityData!B42:B51</xm:f>
          </x14:formula1>
          <xm:sqref>F352</xm:sqref>
        </x14:dataValidation>
        <x14:dataValidation type="list" allowBlank="1" showInputMessage="1" showErrorMessage="1" xr:uid="{7DAAFEEA-14F8-42E4-A8F3-5CD11221917A}">
          <x14:formula1>
            <xm:f>BundlingCompatabilityData!B42:B51</xm:f>
          </x14:formula1>
          <xm:sqref>F353</xm:sqref>
        </x14:dataValidation>
        <x14:dataValidation type="list" allowBlank="1" showInputMessage="1" showErrorMessage="1" xr:uid="{919B48F5-552E-4295-8394-A49A112000BB}">
          <x14:formula1>
            <xm:f>BundlingCompatabilityData!B42:B51</xm:f>
          </x14:formula1>
          <xm:sqref>F354</xm:sqref>
        </x14:dataValidation>
        <x14:dataValidation type="list" allowBlank="1" showInputMessage="1" showErrorMessage="1" xr:uid="{9F22156D-026E-40EC-942B-71B741A28C44}">
          <x14:formula1>
            <xm:f>BundlingCompatabilityData!B42:B51</xm:f>
          </x14:formula1>
          <xm:sqref>F355</xm:sqref>
        </x14:dataValidation>
        <x14:dataValidation type="list" allowBlank="1" showInputMessage="1" showErrorMessage="1" xr:uid="{3E06ED59-9FFF-4381-A879-0F7C569DDF58}">
          <x14:formula1>
            <xm:f>BundlingCompatabilityData!B42:B51</xm:f>
          </x14:formula1>
          <xm:sqref>F356</xm:sqref>
        </x14:dataValidation>
        <x14:dataValidation type="list" allowBlank="1" showInputMessage="1" showErrorMessage="1" xr:uid="{216C706D-8026-44BD-8CE4-C4DFCF22EB55}">
          <x14:formula1>
            <xm:f>BundlingCompatabilityData!B42:B51</xm:f>
          </x14:formula1>
          <xm:sqref>F357</xm:sqref>
        </x14:dataValidation>
        <x14:dataValidation type="list" allowBlank="1" showInputMessage="1" showErrorMessage="1" xr:uid="{5BB92653-D740-45BA-8213-7033E7BB7DDF}">
          <x14:formula1>
            <xm:f>BundlingCompatabilityData!B42:B51</xm:f>
          </x14:formula1>
          <xm:sqref>F358</xm:sqref>
        </x14:dataValidation>
        <x14:dataValidation type="list" allowBlank="1" showInputMessage="1" showErrorMessage="1" xr:uid="{93CDF189-357D-4A4E-B349-1551C2A64FB0}">
          <x14:formula1>
            <xm:f>BundlingCompatabilityData!B42:B51</xm:f>
          </x14:formula1>
          <xm:sqref>F359</xm:sqref>
        </x14:dataValidation>
        <x14:dataValidation type="list" allowBlank="1" showInputMessage="1" showErrorMessage="1" xr:uid="{7105DEC4-88D8-4C23-8E10-E721BDF14EA5}">
          <x14:formula1>
            <xm:f>BundlingCompatabilityData!B42:B51</xm:f>
          </x14:formula1>
          <xm:sqref>F360</xm:sqref>
        </x14:dataValidation>
        <x14:dataValidation type="list" allowBlank="1" showInputMessage="1" showErrorMessage="1" xr:uid="{182D0AC8-4336-4B20-BE1D-BC12DE993B61}">
          <x14:formula1>
            <xm:f>BundlingCompatabilityData!B42:B51</xm:f>
          </x14:formula1>
          <xm:sqref>F361</xm:sqref>
        </x14:dataValidation>
        <x14:dataValidation type="list" allowBlank="1" showInputMessage="1" showErrorMessage="1" xr:uid="{CE004DFE-A448-495F-A8A8-017AF965D567}">
          <x14:formula1>
            <xm:f>BundlingCompatabilityData!B42:B51</xm:f>
          </x14:formula1>
          <xm:sqref>F362</xm:sqref>
        </x14:dataValidation>
        <x14:dataValidation type="list" allowBlank="1" showInputMessage="1" showErrorMessage="1" xr:uid="{AE818833-9111-4935-A3F4-5FBFADCCB82C}">
          <x14:formula1>
            <xm:f>BundlingCompatabilityData!B42:B51</xm:f>
          </x14:formula1>
          <xm:sqref>F363</xm:sqref>
        </x14:dataValidation>
        <x14:dataValidation type="list" allowBlank="1" showInputMessage="1" showErrorMessage="1" xr:uid="{0526FFA3-53DA-4060-9780-A737E98E88DA}">
          <x14:formula1>
            <xm:f>BundlingCompatabilityData!B42:B51</xm:f>
          </x14:formula1>
          <xm:sqref>F364</xm:sqref>
        </x14:dataValidation>
        <x14:dataValidation type="list" allowBlank="1" showInputMessage="1" showErrorMessage="1" xr:uid="{FF340A30-D57D-4EEF-AC2C-54FCCAEFCC7B}">
          <x14:formula1>
            <xm:f>BundlingCompatabilityData!B42:B51</xm:f>
          </x14:formula1>
          <xm:sqref>F365</xm:sqref>
        </x14:dataValidation>
        <x14:dataValidation type="list" allowBlank="1" showInputMessage="1" showErrorMessage="1" xr:uid="{B1BD56DB-AAE4-4D12-A7F6-B373EF69BD49}">
          <x14:formula1>
            <xm:f>BundlingCompatabilityData!B42:B51</xm:f>
          </x14:formula1>
          <xm:sqref>F366</xm:sqref>
        </x14:dataValidation>
        <x14:dataValidation type="list" allowBlank="1" showInputMessage="1" showErrorMessage="1" xr:uid="{D98157C5-D43E-4724-8B5D-BBD048AB576B}">
          <x14:formula1>
            <xm:f>BundlingCompatabilityData!B42:B51</xm:f>
          </x14:formula1>
          <xm:sqref>F367</xm:sqref>
        </x14:dataValidation>
        <x14:dataValidation type="list" allowBlank="1" showInputMessage="1" showErrorMessage="1" xr:uid="{F539F18D-B25B-4414-9C10-B0313FCB5FAE}">
          <x14:formula1>
            <xm:f>BundlingCompatabilityData!B42:B51</xm:f>
          </x14:formula1>
          <xm:sqref>F368</xm:sqref>
        </x14:dataValidation>
        <x14:dataValidation type="list" allowBlank="1" showInputMessage="1" showErrorMessage="1" xr:uid="{F2D7D910-7475-499F-82AA-69B555B52467}">
          <x14:formula1>
            <xm:f>BundlingCompatabilityData!B42:B51</xm:f>
          </x14:formula1>
          <xm:sqref>F369</xm:sqref>
        </x14:dataValidation>
        <x14:dataValidation type="list" allowBlank="1" showInputMessage="1" showErrorMessage="1" xr:uid="{4A500694-6624-4573-8BB9-1CBDF523E4E5}">
          <x14:formula1>
            <xm:f>BundlingCompatabilityData!B42:B51</xm:f>
          </x14:formula1>
          <xm:sqref>F370</xm:sqref>
        </x14:dataValidation>
        <x14:dataValidation type="list" allowBlank="1" showInputMessage="1" showErrorMessage="1" xr:uid="{591632B5-962E-4D6D-ADC5-7F2E85D9E2DC}">
          <x14:formula1>
            <xm:f>BundlingCompatabilityData!B42:B51</xm:f>
          </x14:formula1>
          <xm:sqref>F371</xm:sqref>
        </x14:dataValidation>
        <x14:dataValidation type="list" allowBlank="1" showInputMessage="1" showErrorMessage="1" xr:uid="{4F66267D-D1B0-40C3-AF3F-D0E3779FA450}">
          <x14:formula1>
            <xm:f>BundlingCompatabilityData!B42:B51</xm:f>
          </x14:formula1>
          <xm:sqref>F372</xm:sqref>
        </x14:dataValidation>
        <x14:dataValidation type="list" allowBlank="1" showInputMessage="1" showErrorMessage="1" xr:uid="{89276C88-6385-489D-A037-793A59615E87}">
          <x14:formula1>
            <xm:f>BundlingCompatabilityData!B42:B51</xm:f>
          </x14:formula1>
          <xm:sqref>F373</xm:sqref>
        </x14:dataValidation>
        <x14:dataValidation type="list" allowBlank="1" showInputMessage="1" showErrorMessage="1" xr:uid="{9D2CF821-E7B1-4934-B8E9-CF0435A8F2B2}">
          <x14:formula1>
            <xm:f>BundlingCompatabilityData!B42:B51</xm:f>
          </x14:formula1>
          <xm:sqref>F374</xm:sqref>
        </x14:dataValidation>
        <x14:dataValidation type="list" allowBlank="1" showInputMessage="1" showErrorMessage="1" xr:uid="{E3332A10-25F2-425E-884D-ABA776CDA891}">
          <x14:formula1>
            <xm:f>BundlingCompatabilityData!B42:B51</xm:f>
          </x14:formula1>
          <xm:sqref>F375</xm:sqref>
        </x14:dataValidation>
        <x14:dataValidation type="list" allowBlank="1" showInputMessage="1" showErrorMessage="1" xr:uid="{13E3C415-4605-4BA7-BA5F-6120BADCECD7}">
          <x14:formula1>
            <xm:f>BundlingCompatabilityData!B42:B51</xm:f>
          </x14:formula1>
          <xm:sqref>F376</xm:sqref>
        </x14:dataValidation>
        <x14:dataValidation type="list" allowBlank="1" showInputMessage="1" showErrorMessage="1" xr:uid="{C02286E8-F009-4E1B-9E74-5E5E891122C2}">
          <x14:formula1>
            <xm:f>BundlingCompatabilityData!B42:B51</xm:f>
          </x14:formula1>
          <xm:sqref>F377</xm:sqref>
        </x14:dataValidation>
        <x14:dataValidation type="list" allowBlank="1" showInputMessage="1" showErrorMessage="1" xr:uid="{1027A201-F542-4137-AAE5-9415C6BD516B}">
          <x14:formula1>
            <xm:f>BundlingCompatabilityData!B42:B51</xm:f>
          </x14:formula1>
          <xm:sqref>F378</xm:sqref>
        </x14:dataValidation>
        <x14:dataValidation type="list" allowBlank="1" showInputMessage="1" showErrorMessage="1" xr:uid="{A20ED34C-AA63-449B-ABF2-C4A1EC1D0DE2}">
          <x14:formula1>
            <xm:f>BundlingCompatabilityData!B42:B51</xm:f>
          </x14:formula1>
          <xm:sqref>F379</xm:sqref>
        </x14:dataValidation>
        <x14:dataValidation type="list" allowBlank="1" showInputMessage="1" showErrorMessage="1" xr:uid="{8125387D-2417-4098-A724-AF11C8495F80}">
          <x14:formula1>
            <xm:f>BundlingCompatabilityData!B42:B51</xm:f>
          </x14:formula1>
          <xm:sqref>F380</xm:sqref>
        </x14:dataValidation>
        <x14:dataValidation type="list" allowBlank="1" showInputMessage="1" showErrorMessage="1" xr:uid="{C194BEA2-F1F8-4019-9403-61C3144C115D}">
          <x14:formula1>
            <xm:f>BundlingCompatabilityData!B42:B51</xm:f>
          </x14:formula1>
          <xm:sqref>F381</xm:sqref>
        </x14:dataValidation>
        <x14:dataValidation type="list" allowBlank="1" showInputMessage="1" showErrorMessage="1" xr:uid="{20A94AD1-A4C7-4171-963F-9F623FF94336}">
          <x14:formula1>
            <xm:f>BundlingCompatabilityData!B42:B51</xm:f>
          </x14:formula1>
          <xm:sqref>F382</xm:sqref>
        </x14:dataValidation>
        <x14:dataValidation type="list" allowBlank="1" showInputMessage="1" showErrorMessage="1" xr:uid="{92A8C447-C83F-4D79-8EA8-A2C2E690F84A}">
          <x14:formula1>
            <xm:f>BundlingCompatabilityData!B42:B51</xm:f>
          </x14:formula1>
          <xm:sqref>F383</xm:sqref>
        </x14:dataValidation>
        <x14:dataValidation type="list" allowBlank="1" showInputMessage="1" showErrorMessage="1" xr:uid="{F532A713-B972-484B-9DA1-64BC6FFA07A5}">
          <x14:formula1>
            <xm:f>BundlingCompatabilityData!B42:B51</xm:f>
          </x14:formula1>
          <xm:sqref>F384</xm:sqref>
        </x14:dataValidation>
        <x14:dataValidation type="list" allowBlank="1" showInputMessage="1" showErrorMessage="1" xr:uid="{CC46CB3A-E5EB-4945-B25A-27601A292786}">
          <x14:formula1>
            <xm:f>BundlingCompatabilityData!B42:B51</xm:f>
          </x14:formula1>
          <xm:sqref>F385</xm:sqref>
        </x14:dataValidation>
        <x14:dataValidation type="list" allowBlank="1" showInputMessage="1" showErrorMessage="1" xr:uid="{D8B82539-2FCB-498C-8134-3A0FBA418586}">
          <x14:formula1>
            <xm:f>BundlingCompatabilityData!B42:B51</xm:f>
          </x14:formula1>
          <xm:sqref>F386</xm:sqref>
        </x14:dataValidation>
        <x14:dataValidation type="list" allowBlank="1" showInputMessage="1" showErrorMessage="1" xr:uid="{5003D369-40CE-455E-A215-5893386562B7}">
          <x14:formula1>
            <xm:f>BundlingCompatabilityData!B42:B51</xm:f>
          </x14:formula1>
          <xm:sqref>F387</xm:sqref>
        </x14:dataValidation>
        <x14:dataValidation type="list" allowBlank="1" showInputMessage="1" showErrorMessage="1" xr:uid="{3FD56ED0-277C-4C51-AEEC-C719BBA4DF86}">
          <x14:formula1>
            <xm:f>BundlingCompatabilityData!B42:B51</xm:f>
          </x14:formula1>
          <xm:sqref>F388</xm:sqref>
        </x14:dataValidation>
        <x14:dataValidation type="list" allowBlank="1" showInputMessage="1" showErrorMessage="1" xr:uid="{9784F192-15C4-4125-972C-8E01CC9AF828}">
          <x14:formula1>
            <xm:f>BundlingCompatabilityData!B42:B51</xm:f>
          </x14:formula1>
          <xm:sqref>F389</xm:sqref>
        </x14:dataValidation>
        <x14:dataValidation type="list" allowBlank="1" showInputMessage="1" showErrorMessage="1" xr:uid="{E83B1B76-BF01-4A40-9F37-F2A345996899}">
          <x14:formula1>
            <xm:f>BundlingCompatabilityData!B42:B51</xm:f>
          </x14:formula1>
          <xm:sqref>F390</xm:sqref>
        </x14:dataValidation>
        <x14:dataValidation type="list" allowBlank="1" showInputMessage="1" showErrorMessage="1" xr:uid="{879A9D71-F0D6-444D-AE88-F59C38C46606}">
          <x14:formula1>
            <xm:f>BundlingCompatabilityData!B42:B51</xm:f>
          </x14:formula1>
          <xm:sqref>F391</xm:sqref>
        </x14:dataValidation>
        <x14:dataValidation type="list" allowBlank="1" showInputMessage="1" showErrorMessage="1" xr:uid="{F4041C3C-C9EC-48EB-9774-C8661229849B}">
          <x14:formula1>
            <xm:f>BundlingCompatabilityData!B42:B51</xm:f>
          </x14:formula1>
          <xm:sqref>F392</xm:sqref>
        </x14:dataValidation>
        <x14:dataValidation type="list" allowBlank="1" showInputMessage="1" showErrorMessage="1" xr:uid="{553F3F9A-9670-4854-B36C-4BED6E85E9C4}">
          <x14:formula1>
            <xm:f>BundlingCompatabilityData!B42:B51</xm:f>
          </x14:formula1>
          <xm:sqref>F393</xm:sqref>
        </x14:dataValidation>
        <x14:dataValidation type="list" allowBlank="1" showInputMessage="1" showErrorMessage="1" xr:uid="{6DBE8E94-76AF-40C9-BAD3-A24C9E4EBCF9}">
          <x14:formula1>
            <xm:f>BundlingCompatabilityData!B42:B51</xm:f>
          </x14:formula1>
          <xm:sqref>F394</xm:sqref>
        </x14:dataValidation>
        <x14:dataValidation type="list" allowBlank="1" showInputMessage="1" showErrorMessage="1" xr:uid="{7C79D374-FD55-495C-A07F-237CB640543F}">
          <x14:formula1>
            <xm:f>BundlingCompatabilityData!B42:B51</xm:f>
          </x14:formula1>
          <xm:sqref>F395</xm:sqref>
        </x14:dataValidation>
        <x14:dataValidation type="list" allowBlank="1" showInputMessage="1" showErrorMessage="1" xr:uid="{F56B6A8C-F1C6-40DD-B2E5-F072E7A5DE24}">
          <x14:formula1>
            <xm:f>BundlingCompatabilityData!B42:B51</xm:f>
          </x14:formula1>
          <xm:sqref>F396</xm:sqref>
        </x14:dataValidation>
        <x14:dataValidation type="list" allowBlank="1" showInputMessage="1" showErrorMessage="1" xr:uid="{1CCBCFA5-7A37-4154-B622-E0B40FED870D}">
          <x14:formula1>
            <xm:f>BundlingCompatabilityData!B42:B51</xm:f>
          </x14:formula1>
          <xm:sqref>F397</xm:sqref>
        </x14:dataValidation>
        <x14:dataValidation type="list" allowBlank="1" showInputMessage="1" showErrorMessage="1" xr:uid="{4B1B8517-11B6-4F28-92F6-368659BD312C}">
          <x14:formula1>
            <xm:f>BundlingCompatabilityData!B42:B51</xm:f>
          </x14:formula1>
          <xm:sqref>F398</xm:sqref>
        </x14:dataValidation>
        <x14:dataValidation type="list" allowBlank="1" showInputMessage="1" showErrorMessage="1" xr:uid="{A6CFDB30-2FB3-4BD0-8565-1806D77FDAC9}">
          <x14:formula1>
            <xm:f>BundlingCompatabilityData!B42:B51</xm:f>
          </x14:formula1>
          <xm:sqref>F399</xm:sqref>
        </x14:dataValidation>
        <x14:dataValidation type="list" allowBlank="1" showInputMessage="1" showErrorMessage="1" xr:uid="{1D819AB7-B065-4471-B2AC-AF660E083887}">
          <x14:formula1>
            <xm:f>BundlingCompatabilityData!B42:B51</xm:f>
          </x14:formula1>
          <xm:sqref>F400</xm:sqref>
        </x14:dataValidation>
        <x14:dataValidation type="list" allowBlank="1" showInputMessage="1" showErrorMessage="1" xr:uid="{2508F5AB-660A-4E49-963B-8330183C94EE}">
          <x14:formula1>
            <xm:f>BundlingCompatabilityData!B42:B51</xm:f>
          </x14:formula1>
          <xm:sqref>F401</xm:sqref>
        </x14:dataValidation>
        <x14:dataValidation type="list" allowBlank="1" showInputMessage="1" showErrorMessage="1" xr:uid="{B8A16A27-A6AA-4691-8FF5-ABEFA4657FC2}">
          <x14:formula1>
            <xm:f>BundlingCompatabilityData!B42:B51</xm:f>
          </x14:formula1>
          <xm:sqref>F402</xm:sqref>
        </x14:dataValidation>
        <x14:dataValidation type="list" allowBlank="1" showInputMessage="1" showErrorMessage="1" xr:uid="{DF7217DB-70B7-4698-8136-4C06AC37B78E}">
          <x14:formula1>
            <xm:f>BundlingCompatabilityData!B42:B51</xm:f>
          </x14:formula1>
          <xm:sqref>F403</xm:sqref>
        </x14:dataValidation>
        <x14:dataValidation type="list" allowBlank="1" showInputMessage="1" showErrorMessage="1" xr:uid="{7DBB1E2D-ED9A-43BD-A642-4F94F116B298}">
          <x14:formula1>
            <xm:f>BundlingCompatabilityData!B42:B51</xm:f>
          </x14:formula1>
          <xm:sqref>F404</xm:sqref>
        </x14:dataValidation>
        <x14:dataValidation type="list" allowBlank="1" showInputMessage="1" showErrorMessage="1" xr:uid="{4308C95D-4ABD-43F4-8C94-5437F2EC777C}">
          <x14:formula1>
            <xm:f>BundlingCompatabilityData!B42:B51</xm:f>
          </x14:formula1>
          <xm:sqref>F405</xm:sqref>
        </x14:dataValidation>
        <x14:dataValidation type="list" allowBlank="1" showInputMessage="1" showErrorMessage="1" xr:uid="{12C7FB48-6BB5-400B-827B-ACF75C116CEA}">
          <x14:formula1>
            <xm:f>BundlingCompatabilityData!B42:B51</xm:f>
          </x14:formula1>
          <xm:sqref>F406</xm:sqref>
        </x14:dataValidation>
        <x14:dataValidation type="list" allowBlank="1" showInputMessage="1" showErrorMessage="1" xr:uid="{0B173CDB-359A-4966-AF7A-72CC0BDF1259}">
          <x14:formula1>
            <xm:f>BundlingCompatabilityData!B42:B51</xm:f>
          </x14:formula1>
          <xm:sqref>F407</xm:sqref>
        </x14:dataValidation>
        <x14:dataValidation type="list" allowBlank="1" showInputMessage="1" showErrorMessage="1" xr:uid="{FB0DD4C4-E017-4755-8F3A-76118B7FCD82}">
          <x14:formula1>
            <xm:f>BundlingCompatabilityData!B42:B51</xm:f>
          </x14:formula1>
          <xm:sqref>F408</xm:sqref>
        </x14:dataValidation>
        <x14:dataValidation type="list" allowBlank="1" showInputMessage="1" showErrorMessage="1" xr:uid="{7F772C69-C4FA-453F-A155-EC08814E01AE}">
          <x14:formula1>
            <xm:f>BundlingCompatabilityData!B42:B51</xm:f>
          </x14:formula1>
          <xm:sqref>F409</xm:sqref>
        </x14:dataValidation>
        <x14:dataValidation type="list" allowBlank="1" showInputMessage="1" showErrorMessage="1" xr:uid="{4F0767CA-98F6-4E5B-9758-2F2F394E5C8A}">
          <x14:formula1>
            <xm:f>BundlingCompatabilityData!B42:B51</xm:f>
          </x14:formula1>
          <xm:sqref>F410</xm:sqref>
        </x14:dataValidation>
        <x14:dataValidation type="list" allowBlank="1" showInputMessage="1" showErrorMessage="1" xr:uid="{F974ABFD-57F8-4B3B-9631-5CDFD3EDD71B}">
          <x14:formula1>
            <xm:f>BundlingCompatabilityData!B42:B51</xm:f>
          </x14:formula1>
          <xm:sqref>F411</xm:sqref>
        </x14:dataValidation>
        <x14:dataValidation type="list" allowBlank="1" showInputMessage="1" showErrorMessage="1" xr:uid="{949B5B39-8F13-4176-9A4D-B23B35C7E9F7}">
          <x14:formula1>
            <xm:f>BundlingCompatabilityData!B42:B51</xm:f>
          </x14:formula1>
          <xm:sqref>F412</xm:sqref>
        </x14:dataValidation>
        <x14:dataValidation type="list" allowBlank="1" showInputMessage="1" showErrorMessage="1" xr:uid="{E2126705-D8F6-4034-8ABF-38B1A6726839}">
          <x14:formula1>
            <xm:f>BundlingCompatabilityData!B42:B51</xm:f>
          </x14:formula1>
          <xm:sqref>F413</xm:sqref>
        </x14:dataValidation>
        <x14:dataValidation type="list" allowBlank="1" showInputMessage="1" showErrorMessage="1" xr:uid="{21151F52-05D2-459C-B8B2-23B652B8BA03}">
          <x14:formula1>
            <xm:f>BundlingCompatabilityData!B42:B51</xm:f>
          </x14:formula1>
          <xm:sqref>F414</xm:sqref>
        </x14:dataValidation>
        <x14:dataValidation type="list" allowBlank="1" showInputMessage="1" showErrorMessage="1" xr:uid="{BCD1132B-E800-4438-BCC6-165F35DDB4A2}">
          <x14:formula1>
            <xm:f>BundlingCompatabilityData!B42:B51</xm:f>
          </x14:formula1>
          <xm:sqref>F415</xm:sqref>
        </x14:dataValidation>
        <x14:dataValidation type="list" allowBlank="1" showInputMessage="1" showErrorMessage="1" xr:uid="{434B0017-F5A0-4819-AD39-6FAE0126B051}">
          <x14:formula1>
            <xm:f>BundlingCompatabilityData!B42:B51</xm:f>
          </x14:formula1>
          <xm:sqref>F416</xm:sqref>
        </x14:dataValidation>
        <x14:dataValidation type="list" allowBlank="1" showInputMessage="1" showErrorMessage="1" xr:uid="{2FE31C66-B9A4-4FFF-8879-9026A6C6E7F9}">
          <x14:formula1>
            <xm:f>BundlingCompatabilityData!B42:B51</xm:f>
          </x14:formula1>
          <xm:sqref>F417</xm:sqref>
        </x14:dataValidation>
        <x14:dataValidation type="list" allowBlank="1" showInputMessage="1" showErrorMessage="1" xr:uid="{B5716531-ADD7-4FFD-8FFF-37660BB8D5A1}">
          <x14:formula1>
            <xm:f>BundlingCompatabilityData!B42:B51</xm:f>
          </x14:formula1>
          <xm:sqref>F418</xm:sqref>
        </x14:dataValidation>
        <x14:dataValidation type="list" allowBlank="1" showInputMessage="1" showErrorMessage="1" xr:uid="{A97B8DA0-948B-446E-A80B-B7E449BBCB6B}">
          <x14:formula1>
            <xm:f>BundlingCompatabilityData!B42:B51</xm:f>
          </x14:formula1>
          <xm:sqref>F419</xm:sqref>
        </x14:dataValidation>
        <x14:dataValidation type="list" allowBlank="1" showInputMessage="1" showErrorMessage="1" xr:uid="{418A7DA6-AFEE-4242-8D92-AEAD298E94A2}">
          <x14:formula1>
            <xm:f>BundlingCompatabilityData!B42:B51</xm:f>
          </x14:formula1>
          <xm:sqref>F420</xm:sqref>
        </x14:dataValidation>
        <x14:dataValidation type="list" allowBlank="1" showInputMessage="1" showErrorMessage="1" xr:uid="{E38707BD-D728-4258-9D58-AD59B919DE98}">
          <x14:formula1>
            <xm:f>BundlingCompatabilityData!B42:B51</xm:f>
          </x14:formula1>
          <xm:sqref>F421</xm:sqref>
        </x14:dataValidation>
        <x14:dataValidation type="list" allowBlank="1" showInputMessage="1" showErrorMessage="1" xr:uid="{41F5C4BB-4F78-43FE-941A-330086B7AE01}">
          <x14:formula1>
            <xm:f>BundlingCompatabilityData!B42:B51</xm:f>
          </x14:formula1>
          <xm:sqref>F422</xm:sqref>
        </x14:dataValidation>
        <x14:dataValidation type="list" allowBlank="1" showInputMessage="1" showErrorMessage="1" xr:uid="{90751EF6-63A4-45F1-AD06-834F65F8F4C8}">
          <x14:formula1>
            <xm:f>BundlingCompatabilityData!B42:B51</xm:f>
          </x14:formula1>
          <xm:sqref>F423</xm:sqref>
        </x14:dataValidation>
        <x14:dataValidation type="list" allowBlank="1" showInputMessage="1" showErrorMessage="1" xr:uid="{F8FAE4CE-EF7A-4BC0-93A7-48DD1A5F94ED}">
          <x14:formula1>
            <xm:f>BundlingCompatabilityData!B42:B51</xm:f>
          </x14:formula1>
          <xm:sqref>F424</xm:sqref>
        </x14:dataValidation>
        <x14:dataValidation type="list" allowBlank="1" showInputMessage="1" showErrorMessage="1" xr:uid="{87C44F23-F099-4761-AFB1-2AB79CC20A87}">
          <x14:formula1>
            <xm:f>BundlingCompatabilityData!B42:B51</xm:f>
          </x14:formula1>
          <xm:sqref>F425</xm:sqref>
        </x14:dataValidation>
        <x14:dataValidation type="list" allowBlank="1" showInputMessage="1" showErrorMessage="1" xr:uid="{9CED9A87-1E03-4722-9372-3F0F746FF584}">
          <x14:formula1>
            <xm:f>BundlingCompatabilityData!B42:B51</xm:f>
          </x14:formula1>
          <xm:sqref>F426</xm:sqref>
        </x14:dataValidation>
        <x14:dataValidation type="list" allowBlank="1" showInputMessage="1" showErrorMessage="1" xr:uid="{6C945083-96F6-4693-819E-9C0945338D12}">
          <x14:formula1>
            <xm:f>BundlingCompatabilityData!B42:B51</xm:f>
          </x14:formula1>
          <xm:sqref>F427</xm:sqref>
        </x14:dataValidation>
        <x14:dataValidation type="list" allowBlank="1" showInputMessage="1" showErrorMessage="1" xr:uid="{4C2C3D02-70C4-44AE-9255-65B5B29FB364}">
          <x14:formula1>
            <xm:f>BundlingCompatabilityData!B42:B51</xm:f>
          </x14:formula1>
          <xm:sqref>F428</xm:sqref>
        </x14:dataValidation>
        <x14:dataValidation type="list" allowBlank="1" showInputMessage="1" showErrorMessage="1" xr:uid="{816AE9CB-2707-4F34-A1BC-344D9E606C93}">
          <x14:formula1>
            <xm:f>BundlingCompatabilityData!B42:B51</xm:f>
          </x14:formula1>
          <xm:sqref>F429</xm:sqref>
        </x14:dataValidation>
        <x14:dataValidation type="list" allowBlank="1" showInputMessage="1" showErrorMessage="1" xr:uid="{1FAB6128-DFD8-4C3A-A970-BA912B588F99}">
          <x14:formula1>
            <xm:f>BundlingCompatabilityData!B42:B51</xm:f>
          </x14:formula1>
          <xm:sqref>F430</xm:sqref>
        </x14:dataValidation>
        <x14:dataValidation type="list" allowBlank="1" showInputMessage="1" showErrorMessage="1" xr:uid="{583F7DBE-0F2D-4658-927B-FE6021B48504}">
          <x14:formula1>
            <xm:f>BundlingCompatabilityData!B42:B51</xm:f>
          </x14:formula1>
          <xm:sqref>F431</xm:sqref>
        </x14:dataValidation>
        <x14:dataValidation type="list" allowBlank="1" showInputMessage="1" showErrorMessage="1" xr:uid="{71F2C873-188E-45C6-A664-7D1B74A01091}">
          <x14:formula1>
            <xm:f>BundlingCompatabilityData!B42:B51</xm:f>
          </x14:formula1>
          <xm:sqref>F432</xm:sqref>
        </x14:dataValidation>
        <x14:dataValidation type="list" allowBlank="1" showInputMessage="1" showErrorMessage="1" xr:uid="{9C3A578A-ED77-4C5E-951B-F538995516F8}">
          <x14:formula1>
            <xm:f>BundlingCompatabilityData!B42:B51</xm:f>
          </x14:formula1>
          <xm:sqref>F433</xm:sqref>
        </x14:dataValidation>
        <x14:dataValidation type="list" allowBlank="1" showInputMessage="1" showErrorMessage="1" xr:uid="{AA285C1F-2B55-48A8-9643-B1989CA1ACD3}">
          <x14:formula1>
            <xm:f>BundlingCompatabilityData!B42:B51</xm:f>
          </x14:formula1>
          <xm:sqref>F434</xm:sqref>
        </x14:dataValidation>
        <x14:dataValidation type="list" allowBlank="1" showInputMessage="1" showErrorMessage="1" xr:uid="{46B15E0F-4CE0-4855-BD13-1779C5A12CB8}">
          <x14:formula1>
            <xm:f>BundlingCompatabilityData!B42:B51</xm:f>
          </x14:formula1>
          <xm:sqref>F435</xm:sqref>
        </x14:dataValidation>
        <x14:dataValidation type="list" allowBlank="1" showInputMessage="1" showErrorMessage="1" xr:uid="{2B1563F5-446F-4E7B-AC7F-A7C8C7A0ED1F}">
          <x14:formula1>
            <xm:f>BundlingCompatabilityData!B42:B51</xm:f>
          </x14:formula1>
          <xm:sqref>F436</xm:sqref>
        </x14:dataValidation>
        <x14:dataValidation type="list" allowBlank="1" showInputMessage="1" showErrorMessage="1" xr:uid="{272B6ACD-ADC0-4780-B82D-F54739F81A51}">
          <x14:formula1>
            <xm:f>BundlingCompatabilityData!B42:B51</xm:f>
          </x14:formula1>
          <xm:sqref>F437</xm:sqref>
        </x14:dataValidation>
        <x14:dataValidation type="list" allowBlank="1" showInputMessage="1" showErrorMessage="1" xr:uid="{3A05A54F-8F11-45B5-945F-44BFB3B8FE0F}">
          <x14:formula1>
            <xm:f>BundlingCompatabilityData!B42:B51</xm:f>
          </x14:formula1>
          <xm:sqref>F438</xm:sqref>
        </x14:dataValidation>
        <x14:dataValidation type="list" allowBlank="1" showInputMessage="1" showErrorMessage="1" xr:uid="{87E21B26-24AF-424D-AA2C-8F7C37ABA7A7}">
          <x14:formula1>
            <xm:f>BundlingCompatabilityData!B42:B51</xm:f>
          </x14:formula1>
          <xm:sqref>F439</xm:sqref>
        </x14:dataValidation>
        <x14:dataValidation type="list" allowBlank="1" showInputMessage="1" showErrorMessage="1" xr:uid="{E2B46E9C-ED85-4E37-8DE7-F5F912EBC334}">
          <x14:formula1>
            <xm:f>BundlingCompatabilityData!B42:B51</xm:f>
          </x14:formula1>
          <xm:sqref>F440</xm:sqref>
        </x14:dataValidation>
        <x14:dataValidation type="list" allowBlank="1" showInputMessage="1" showErrorMessage="1" xr:uid="{CBA35BF2-23AA-4B82-A066-DAC6F45C5F69}">
          <x14:formula1>
            <xm:f>BundlingCompatabilityData!B42:B51</xm:f>
          </x14:formula1>
          <xm:sqref>F441</xm:sqref>
        </x14:dataValidation>
        <x14:dataValidation type="list" allowBlank="1" showInputMessage="1" showErrorMessage="1" xr:uid="{CE017ADC-082C-4F4E-9B67-D5C38F772B6D}">
          <x14:formula1>
            <xm:f>BundlingCompatabilityData!B42:B51</xm:f>
          </x14:formula1>
          <xm:sqref>F442</xm:sqref>
        </x14:dataValidation>
        <x14:dataValidation type="list" allowBlank="1" showInputMessage="1" showErrorMessage="1" xr:uid="{0241D2C2-CFCD-4A9D-87AD-4762D6DC463A}">
          <x14:formula1>
            <xm:f>BundlingCompatabilityData!B42:B51</xm:f>
          </x14:formula1>
          <xm:sqref>F443</xm:sqref>
        </x14:dataValidation>
        <x14:dataValidation type="list" allowBlank="1" showInputMessage="1" showErrorMessage="1" xr:uid="{747FD7DF-49EC-4828-92DC-72975BB52F20}">
          <x14:formula1>
            <xm:f>BundlingCompatabilityData!B42:B51</xm:f>
          </x14:formula1>
          <xm:sqref>F444</xm:sqref>
        </x14:dataValidation>
        <x14:dataValidation type="list" allowBlank="1" showInputMessage="1" showErrorMessage="1" xr:uid="{F943CB66-A3E9-4FA0-B39B-3F3A4D924E9F}">
          <x14:formula1>
            <xm:f>BundlingCompatabilityData!B42:B51</xm:f>
          </x14:formula1>
          <xm:sqref>F445</xm:sqref>
        </x14:dataValidation>
        <x14:dataValidation type="list" allowBlank="1" showInputMessage="1" showErrorMessage="1" xr:uid="{2C202211-6289-48EF-BE42-116FD8681505}">
          <x14:formula1>
            <xm:f>BundlingCompatabilityData!B42:B51</xm:f>
          </x14:formula1>
          <xm:sqref>F446</xm:sqref>
        </x14:dataValidation>
        <x14:dataValidation type="list" allowBlank="1" showInputMessage="1" showErrorMessage="1" xr:uid="{6ECA431C-0AE1-4A77-BC06-FB9AE14E4BA0}">
          <x14:formula1>
            <xm:f>BundlingCompatabilityData!B42:B51</xm:f>
          </x14:formula1>
          <xm:sqref>F447</xm:sqref>
        </x14:dataValidation>
        <x14:dataValidation type="list" allowBlank="1" showInputMessage="1" showErrorMessage="1" xr:uid="{3474D6BA-3DF7-4A7B-9130-4A95511D7E07}">
          <x14:formula1>
            <xm:f>BundlingCompatabilityData!B42:B51</xm:f>
          </x14:formula1>
          <xm:sqref>F448</xm:sqref>
        </x14:dataValidation>
        <x14:dataValidation type="list" allowBlank="1" showInputMessage="1" showErrorMessage="1" xr:uid="{EB859C04-ECE6-4F2B-9FB8-94EE8A8CC5F0}">
          <x14:formula1>
            <xm:f>BundlingCompatabilityData!B42:B51</xm:f>
          </x14:formula1>
          <xm:sqref>F449</xm:sqref>
        </x14:dataValidation>
        <x14:dataValidation type="list" allowBlank="1" showInputMessage="1" showErrorMessage="1" xr:uid="{9DCCA785-24EE-4297-B4E6-751F0D6B5251}">
          <x14:formula1>
            <xm:f>BundlingCompatabilityData!B42:B51</xm:f>
          </x14:formula1>
          <xm:sqref>F450</xm:sqref>
        </x14:dataValidation>
        <x14:dataValidation type="list" allowBlank="1" showInputMessage="1" showErrorMessage="1" xr:uid="{A95B42D6-F74E-4385-8F17-B7E88DD814B1}">
          <x14:formula1>
            <xm:f>BundlingCompatabilityData!B42:B51</xm:f>
          </x14:formula1>
          <xm:sqref>F451</xm:sqref>
        </x14:dataValidation>
        <x14:dataValidation type="list" allowBlank="1" showInputMessage="1" showErrorMessage="1" xr:uid="{D8DC695B-DE45-4725-8AB3-2B65972ABB9B}">
          <x14:formula1>
            <xm:f>BundlingCompatabilityData!B42:B51</xm:f>
          </x14:formula1>
          <xm:sqref>F452</xm:sqref>
        </x14:dataValidation>
        <x14:dataValidation type="list" allowBlank="1" showInputMessage="1" showErrorMessage="1" xr:uid="{71090E34-B1BA-4AA6-A753-535B3DC73D91}">
          <x14:formula1>
            <xm:f>BundlingCompatabilityData!B42:B51</xm:f>
          </x14:formula1>
          <xm:sqref>F453</xm:sqref>
        </x14:dataValidation>
        <x14:dataValidation type="list" allowBlank="1" showInputMessage="1" showErrorMessage="1" xr:uid="{C413F26E-D1BA-4EE1-9610-C0F3E55C1E93}">
          <x14:formula1>
            <xm:f>BundlingCompatabilityData!B42:B51</xm:f>
          </x14:formula1>
          <xm:sqref>F454</xm:sqref>
        </x14:dataValidation>
        <x14:dataValidation type="list" allowBlank="1" showInputMessage="1" showErrorMessage="1" xr:uid="{B5460214-722C-4DF5-A229-B2A0CDFA7D9E}">
          <x14:formula1>
            <xm:f>BundlingCompatabilityData!B42:B51</xm:f>
          </x14:formula1>
          <xm:sqref>F455</xm:sqref>
        </x14:dataValidation>
        <x14:dataValidation type="list" allowBlank="1" showInputMessage="1" showErrorMessage="1" xr:uid="{3E937FA9-B5BD-4BA2-90A8-171CA743A6A7}">
          <x14:formula1>
            <xm:f>BundlingCompatabilityData!B42:B51</xm:f>
          </x14:formula1>
          <xm:sqref>F456</xm:sqref>
        </x14:dataValidation>
        <x14:dataValidation type="list" allowBlank="1" showInputMessage="1" showErrorMessage="1" xr:uid="{F1A16AF7-62D2-426C-8004-6EF98FF5390E}">
          <x14:formula1>
            <xm:f>BundlingCompatabilityData!B42:B51</xm:f>
          </x14:formula1>
          <xm:sqref>F457</xm:sqref>
        </x14:dataValidation>
        <x14:dataValidation type="list" allowBlank="1" showInputMessage="1" showErrorMessage="1" xr:uid="{D261BF87-2307-4456-B02D-44D12FF7AA74}">
          <x14:formula1>
            <xm:f>BundlingCompatabilityData!B42:B51</xm:f>
          </x14:formula1>
          <xm:sqref>F458</xm:sqref>
        </x14:dataValidation>
        <x14:dataValidation type="list" allowBlank="1" showInputMessage="1" showErrorMessage="1" xr:uid="{8FB04A9C-5CB5-409C-94B2-6E2B096565CA}">
          <x14:formula1>
            <xm:f>BundlingCompatabilityData!B42:B51</xm:f>
          </x14:formula1>
          <xm:sqref>F459</xm:sqref>
        </x14:dataValidation>
        <x14:dataValidation type="list" allowBlank="1" showInputMessage="1" showErrorMessage="1" xr:uid="{397F9F06-C191-4524-BBE4-7F798CA5BDF7}">
          <x14:formula1>
            <xm:f>BundlingCompatabilityData!B42:B51</xm:f>
          </x14:formula1>
          <xm:sqref>F460</xm:sqref>
        </x14:dataValidation>
        <x14:dataValidation type="list" allowBlank="1" showInputMessage="1" showErrorMessage="1" xr:uid="{5F38F1FD-DDE0-4C52-9AA7-605C66027AAC}">
          <x14:formula1>
            <xm:f>BundlingCompatabilityData!B42:B51</xm:f>
          </x14:formula1>
          <xm:sqref>F461</xm:sqref>
        </x14:dataValidation>
        <x14:dataValidation type="list" allowBlank="1" showInputMessage="1" showErrorMessage="1" xr:uid="{315C6695-6F10-4169-B421-8813E505404A}">
          <x14:formula1>
            <xm:f>BundlingCompatabilityData!B42:B51</xm:f>
          </x14:formula1>
          <xm:sqref>F462</xm:sqref>
        </x14:dataValidation>
        <x14:dataValidation type="list" allowBlank="1" showInputMessage="1" showErrorMessage="1" xr:uid="{33CB3BCF-F99A-4DCF-BEC1-28FFF6F3C934}">
          <x14:formula1>
            <xm:f>BundlingCompatabilityData!B42:B51</xm:f>
          </x14:formula1>
          <xm:sqref>F463</xm:sqref>
        </x14:dataValidation>
        <x14:dataValidation type="list" allowBlank="1" showInputMessage="1" showErrorMessage="1" xr:uid="{8DAB43C2-FA7A-4706-8578-78AA476327D1}">
          <x14:formula1>
            <xm:f>BundlingCompatabilityData!B42:B51</xm:f>
          </x14:formula1>
          <xm:sqref>F464</xm:sqref>
        </x14:dataValidation>
        <x14:dataValidation type="list" allowBlank="1" showInputMessage="1" showErrorMessage="1" xr:uid="{80330024-4722-4A44-AF65-BAEF6D3AB27E}">
          <x14:formula1>
            <xm:f>BundlingCompatabilityData!B42:B51</xm:f>
          </x14:formula1>
          <xm:sqref>F465</xm:sqref>
        </x14:dataValidation>
        <x14:dataValidation type="list" allowBlank="1" showInputMessage="1" showErrorMessage="1" xr:uid="{25EBAA83-8279-488C-9170-5758E64BB0F5}">
          <x14:formula1>
            <xm:f>BundlingCompatabilityData!B42:B51</xm:f>
          </x14:formula1>
          <xm:sqref>F466</xm:sqref>
        </x14:dataValidation>
        <x14:dataValidation type="list" allowBlank="1" showInputMessage="1" showErrorMessage="1" xr:uid="{C4AF0C3D-9024-4F3F-BD13-14BC9D9ABE03}">
          <x14:formula1>
            <xm:f>BundlingCompatabilityData!B42:B51</xm:f>
          </x14:formula1>
          <xm:sqref>F467</xm:sqref>
        </x14:dataValidation>
        <x14:dataValidation type="list" allowBlank="1" showInputMessage="1" showErrorMessage="1" xr:uid="{42056E55-6F0B-408E-B1E9-BEE789FB7144}">
          <x14:formula1>
            <xm:f>BundlingCompatabilityData!B42:B51</xm:f>
          </x14:formula1>
          <xm:sqref>F468</xm:sqref>
        </x14:dataValidation>
        <x14:dataValidation type="list" allowBlank="1" showInputMessage="1" showErrorMessage="1" xr:uid="{8BD63631-33A0-49A1-9606-6027F5394272}">
          <x14:formula1>
            <xm:f>BundlingCompatabilityData!B42:B51</xm:f>
          </x14:formula1>
          <xm:sqref>F469</xm:sqref>
        </x14:dataValidation>
        <x14:dataValidation type="list" allowBlank="1" showInputMessage="1" showErrorMessage="1" xr:uid="{E77BBEAE-0387-4E88-89C5-AFAC6976686F}">
          <x14:formula1>
            <xm:f>BundlingCompatabilityData!B42:B51</xm:f>
          </x14:formula1>
          <xm:sqref>F470</xm:sqref>
        </x14:dataValidation>
        <x14:dataValidation type="list" allowBlank="1" showInputMessage="1" showErrorMessage="1" xr:uid="{22EB92C1-C5DB-40A4-9A7A-598137CF3B6C}">
          <x14:formula1>
            <xm:f>BundlingCompatabilityData!B42:B51</xm:f>
          </x14:formula1>
          <xm:sqref>F471</xm:sqref>
        </x14:dataValidation>
        <x14:dataValidation type="list" allowBlank="1" showInputMessage="1" showErrorMessage="1" xr:uid="{02E02F47-9323-4F10-AFC4-E8DCC374AC4E}">
          <x14:formula1>
            <xm:f>BundlingCompatabilityData!B42:B51</xm:f>
          </x14:formula1>
          <xm:sqref>F472</xm:sqref>
        </x14:dataValidation>
        <x14:dataValidation type="list" allowBlank="1" showInputMessage="1" showErrorMessage="1" xr:uid="{2EA4FD5B-27DD-4C00-A691-D11E52401E61}">
          <x14:formula1>
            <xm:f>BundlingCompatabilityData!B42:B51</xm:f>
          </x14:formula1>
          <xm:sqref>F473</xm:sqref>
        </x14:dataValidation>
        <x14:dataValidation type="list" allowBlank="1" showInputMessage="1" showErrorMessage="1" xr:uid="{B6A785BE-F23D-4B9D-AF55-A97B8858648A}">
          <x14:formula1>
            <xm:f>BundlingCompatabilityData!B42:B51</xm:f>
          </x14:formula1>
          <xm:sqref>F474</xm:sqref>
        </x14:dataValidation>
        <x14:dataValidation type="list" allowBlank="1" showInputMessage="1" showErrorMessage="1" xr:uid="{DEA86F6C-CF53-4F48-B7A3-E51F671E7DC7}">
          <x14:formula1>
            <xm:f>BundlingCompatabilityData!B42:B51</xm:f>
          </x14:formula1>
          <xm:sqref>F475</xm:sqref>
        </x14:dataValidation>
        <x14:dataValidation type="list" allowBlank="1" showInputMessage="1" showErrorMessage="1" xr:uid="{AAF18278-CAB9-4C43-9735-862144B1DF34}">
          <x14:formula1>
            <xm:f>BundlingCompatabilityData!B42:B51</xm:f>
          </x14:formula1>
          <xm:sqref>F476</xm:sqref>
        </x14:dataValidation>
        <x14:dataValidation type="list" allowBlank="1" showInputMessage="1" showErrorMessage="1" xr:uid="{6F4B0582-6B5A-4577-8BC7-92FAC092E64F}">
          <x14:formula1>
            <xm:f>BundlingCompatabilityData!B42:B51</xm:f>
          </x14:formula1>
          <xm:sqref>F477</xm:sqref>
        </x14:dataValidation>
        <x14:dataValidation type="list" allowBlank="1" showInputMessage="1" showErrorMessage="1" xr:uid="{D752B4EB-56AF-4126-9382-D5651441A45B}">
          <x14:formula1>
            <xm:f>BundlingCompatabilityData!B42:B51</xm:f>
          </x14:formula1>
          <xm:sqref>F478</xm:sqref>
        </x14:dataValidation>
        <x14:dataValidation type="list" allowBlank="1" showInputMessage="1" showErrorMessage="1" xr:uid="{38D8A73B-641F-499D-9999-530228B16FC1}">
          <x14:formula1>
            <xm:f>BundlingCompatabilityData!B42:B51</xm:f>
          </x14:formula1>
          <xm:sqref>F479</xm:sqref>
        </x14:dataValidation>
        <x14:dataValidation type="list" allowBlank="1" showInputMessage="1" showErrorMessage="1" xr:uid="{C7F2B680-8592-4A03-A19D-7AA20980DC21}">
          <x14:formula1>
            <xm:f>BundlingCompatabilityData!B42:B51</xm:f>
          </x14:formula1>
          <xm:sqref>F480</xm:sqref>
        </x14:dataValidation>
        <x14:dataValidation type="list" allowBlank="1" showInputMessage="1" showErrorMessage="1" xr:uid="{1A0F5C9A-D91A-4AC2-ADD5-46758E24DAB8}">
          <x14:formula1>
            <xm:f>BundlingCompatabilityData!B42:B51</xm:f>
          </x14:formula1>
          <xm:sqref>F481</xm:sqref>
        </x14:dataValidation>
        <x14:dataValidation type="list" allowBlank="1" showInputMessage="1" showErrorMessage="1" xr:uid="{5F9FF6F7-FD78-4568-8E62-27F8AB4035DB}">
          <x14:formula1>
            <xm:f>BundlingCompatabilityData!B42:B51</xm:f>
          </x14:formula1>
          <xm:sqref>F482</xm:sqref>
        </x14:dataValidation>
        <x14:dataValidation type="list" allowBlank="1" showInputMessage="1" showErrorMessage="1" xr:uid="{2AD11B56-613E-4575-8727-E6C9079228B4}">
          <x14:formula1>
            <xm:f>BundlingCompatabilityData!B42:B51</xm:f>
          </x14:formula1>
          <xm:sqref>F483</xm:sqref>
        </x14:dataValidation>
        <x14:dataValidation type="list" allowBlank="1" showInputMessage="1" showErrorMessage="1" xr:uid="{F420367A-5D77-48A3-B182-0D66B28F99C9}">
          <x14:formula1>
            <xm:f>BundlingCompatabilityData!B42:B51</xm:f>
          </x14:formula1>
          <xm:sqref>F484</xm:sqref>
        </x14:dataValidation>
        <x14:dataValidation type="list" allowBlank="1" showInputMessage="1" showErrorMessage="1" xr:uid="{A68A48D2-3D04-4176-B493-98724DF8F471}">
          <x14:formula1>
            <xm:f>BundlingCompatabilityData!B42:B51</xm:f>
          </x14:formula1>
          <xm:sqref>F485</xm:sqref>
        </x14:dataValidation>
        <x14:dataValidation type="list" allowBlank="1" showInputMessage="1" showErrorMessage="1" xr:uid="{54DEA16F-A3ED-464A-A9E7-5ABCC1EF9F51}">
          <x14:formula1>
            <xm:f>BundlingCompatabilityData!B42:B51</xm:f>
          </x14:formula1>
          <xm:sqref>F486</xm:sqref>
        </x14:dataValidation>
        <x14:dataValidation type="list" allowBlank="1" showInputMessage="1" showErrorMessage="1" xr:uid="{3F5852D3-0042-4B95-8831-C62DC1647BCA}">
          <x14:formula1>
            <xm:f>BundlingCompatabilityData!B42:B51</xm:f>
          </x14:formula1>
          <xm:sqref>F487</xm:sqref>
        </x14:dataValidation>
        <x14:dataValidation type="list" allowBlank="1" showInputMessage="1" showErrorMessage="1" xr:uid="{E75F8D68-9D89-40A7-BEFB-4B82F3850499}">
          <x14:formula1>
            <xm:f>BundlingCompatabilityData!B42:B51</xm:f>
          </x14:formula1>
          <xm:sqref>F488</xm:sqref>
        </x14:dataValidation>
        <x14:dataValidation type="list" allowBlank="1" showInputMessage="1" showErrorMessage="1" xr:uid="{4BEB12F8-EB13-4F5B-8B24-EB4627A479AA}">
          <x14:formula1>
            <xm:f>BundlingCompatabilityData!B42:B51</xm:f>
          </x14:formula1>
          <xm:sqref>F489</xm:sqref>
        </x14:dataValidation>
        <x14:dataValidation type="list" allowBlank="1" showInputMessage="1" showErrorMessage="1" xr:uid="{4A18EBAA-864F-4AB9-A02F-D0B6576F6FDA}">
          <x14:formula1>
            <xm:f>BundlingCompatabilityData!B42:B51</xm:f>
          </x14:formula1>
          <xm:sqref>F490</xm:sqref>
        </x14:dataValidation>
        <x14:dataValidation type="list" allowBlank="1" showInputMessage="1" showErrorMessage="1" xr:uid="{92CC321D-9F48-4B27-9915-31CA73D7385E}">
          <x14:formula1>
            <xm:f>BundlingCompatabilityData!B42:B51</xm:f>
          </x14:formula1>
          <xm:sqref>F491</xm:sqref>
        </x14:dataValidation>
        <x14:dataValidation type="list" allowBlank="1" showInputMessage="1" showErrorMessage="1" xr:uid="{CE5A5029-B336-4357-8941-29182A843967}">
          <x14:formula1>
            <xm:f>BundlingCompatabilityData!B42:B51</xm:f>
          </x14:formula1>
          <xm:sqref>F492</xm:sqref>
        </x14:dataValidation>
        <x14:dataValidation type="list" allowBlank="1" showInputMessage="1" showErrorMessage="1" xr:uid="{B5526CD5-C393-4D10-9B70-E51AF0DE1ECA}">
          <x14:formula1>
            <xm:f>BundlingCompatabilityData!B42:B51</xm:f>
          </x14:formula1>
          <xm:sqref>F493</xm:sqref>
        </x14:dataValidation>
        <x14:dataValidation type="list" allowBlank="1" showInputMessage="1" showErrorMessage="1" xr:uid="{FAB37216-966C-42F8-858D-9BF6889C2054}">
          <x14:formula1>
            <xm:f>BundlingCompatabilityData!B42:B51</xm:f>
          </x14:formula1>
          <xm:sqref>F494</xm:sqref>
        </x14:dataValidation>
        <x14:dataValidation type="list" allowBlank="1" showInputMessage="1" showErrorMessage="1" xr:uid="{DD18A89D-B989-4714-9A22-B4FD292A0C77}">
          <x14:formula1>
            <xm:f>BundlingCompatabilityData!B42:B51</xm:f>
          </x14:formula1>
          <xm:sqref>F495</xm:sqref>
        </x14:dataValidation>
        <x14:dataValidation type="list" allowBlank="1" showInputMessage="1" showErrorMessage="1" xr:uid="{7D72901D-B19D-41A2-9F34-454F81CCEDD0}">
          <x14:formula1>
            <xm:f>BundlingCompatabilityData!B42:B51</xm:f>
          </x14:formula1>
          <xm:sqref>F496</xm:sqref>
        </x14:dataValidation>
        <x14:dataValidation type="list" allowBlank="1" showInputMessage="1" showErrorMessage="1" xr:uid="{F706F72E-3DE5-4CD4-A326-F123E7FD82B2}">
          <x14:formula1>
            <xm:f>BundlingCompatabilityData!B42:B51</xm:f>
          </x14:formula1>
          <xm:sqref>F497</xm:sqref>
        </x14:dataValidation>
        <x14:dataValidation type="list" allowBlank="1" showInputMessage="1" showErrorMessage="1" xr:uid="{D7A5E34E-81E0-42F8-9071-6D9F2F50BCE3}">
          <x14:formula1>
            <xm:f>BundlingCompatabilityData!B42:B51</xm:f>
          </x14:formula1>
          <xm:sqref>F498</xm:sqref>
        </x14:dataValidation>
        <x14:dataValidation type="list" allowBlank="1" showInputMessage="1" showErrorMessage="1" xr:uid="{9AAD2753-E44B-4F69-89E0-C677F6DAA51A}">
          <x14:formula1>
            <xm:f>BundlingCompatabilityData!B42:B51</xm:f>
          </x14:formula1>
          <xm:sqref>F499</xm:sqref>
        </x14:dataValidation>
        <x14:dataValidation type="list" allowBlank="1" showInputMessage="1" showErrorMessage="1" xr:uid="{AC640708-4715-47AA-85E5-B0B165137EED}">
          <x14:formula1>
            <xm:f>BundlingCompatabilityData!B42:B51</xm:f>
          </x14:formula1>
          <xm:sqref>F500</xm:sqref>
        </x14:dataValidation>
        <x14:dataValidation type="list" allowBlank="1" showInputMessage="1" showErrorMessage="1" xr:uid="{CF7242FC-2699-46F7-81C4-A7E95F610478}">
          <x14:formula1>
            <xm:f>BundlingCompatabilityData!B42:B51</xm:f>
          </x14:formula1>
          <xm:sqref>F501</xm:sqref>
        </x14:dataValidation>
        <x14:dataValidation type="list" allowBlank="1" showInputMessage="1" showErrorMessage="1" xr:uid="{BB3F021B-588F-46E1-884E-B35957D618C7}">
          <x14:formula1>
            <xm:f>BundlingCompatabilityData!B42:B51</xm:f>
          </x14:formula1>
          <xm:sqref>F502</xm:sqref>
        </x14:dataValidation>
        <x14:dataValidation type="list" allowBlank="1" showInputMessage="1" showErrorMessage="1" xr:uid="{28AF2BD2-092F-4081-B09E-DFF5E7962A2A}">
          <x14:formula1>
            <xm:f>BundlingCompatabilityData!B42:B51</xm:f>
          </x14:formula1>
          <xm:sqref>F503</xm:sqref>
        </x14:dataValidation>
        <x14:dataValidation type="list" allowBlank="1" showInputMessage="1" showErrorMessage="1" xr:uid="{40A96868-3648-46CB-AC34-AAC14796E7F0}">
          <x14:formula1>
            <xm:f>BundlingCompatabilityData!B42:B51</xm:f>
          </x14:formula1>
          <xm:sqref>F504</xm:sqref>
        </x14:dataValidation>
        <x14:dataValidation type="list" allowBlank="1" showInputMessage="1" showErrorMessage="1" xr:uid="{95CDE724-46AA-4590-9D5C-DA59307D2A96}">
          <x14:formula1>
            <xm:f>BundlingCompatabilityData!B42:B51</xm:f>
          </x14:formula1>
          <xm:sqref>F505</xm:sqref>
        </x14:dataValidation>
        <x14:dataValidation type="list" allowBlank="1" showInputMessage="1" showErrorMessage="1" xr:uid="{D5D1C17E-86CE-4CB9-9C66-5694BD29702A}">
          <x14:formula1>
            <xm:f>BundlingCompatabilityData!B42:B51</xm:f>
          </x14:formula1>
          <xm:sqref>F506</xm:sqref>
        </x14:dataValidation>
        <x14:dataValidation type="list" allowBlank="1" showInputMessage="1" showErrorMessage="1" xr:uid="{8DEECF7E-4562-48A4-8E9E-734A48C9A3B6}">
          <x14:formula1>
            <xm:f>BundlingCompatabilityData!B42:B51</xm:f>
          </x14:formula1>
          <xm:sqref>F507</xm:sqref>
        </x14:dataValidation>
        <x14:dataValidation type="list" allowBlank="1" showInputMessage="1" showErrorMessage="1" xr:uid="{1E4B135E-431A-40AC-A46B-42D4288D389F}">
          <x14:formula1>
            <xm:f>BundlingCompatabilityData!B42:B51</xm:f>
          </x14:formula1>
          <xm:sqref>F508</xm:sqref>
        </x14:dataValidation>
        <x14:dataValidation type="list" allowBlank="1" showInputMessage="1" showErrorMessage="1" xr:uid="{882B5D2C-B9B7-4650-9C1A-D4726A07ABC4}">
          <x14:formula1>
            <xm:f>BundlingCompatabilityData!B42:B51</xm:f>
          </x14:formula1>
          <xm:sqref>F509</xm:sqref>
        </x14:dataValidation>
        <x14:dataValidation type="list" allowBlank="1" showInputMessage="1" showErrorMessage="1" xr:uid="{66FFA8B3-1D7F-4C83-8707-08F6C13A4DE9}">
          <x14:formula1>
            <xm:f>BundlingCompatabilityData!B42:B51</xm:f>
          </x14:formula1>
          <xm:sqref>F510</xm:sqref>
        </x14:dataValidation>
        <x14:dataValidation type="list" allowBlank="1" showInputMessage="1" showErrorMessage="1" xr:uid="{DA45CC12-D0CC-43C1-826B-1366D2F227EF}">
          <x14:formula1>
            <xm:f>BundlingCompatabilityData!B42:B51</xm:f>
          </x14:formula1>
          <xm:sqref>F511</xm:sqref>
        </x14:dataValidation>
        <x14:dataValidation type="list" allowBlank="1" showInputMessage="1" showErrorMessage="1" xr:uid="{18C206CC-D914-4D6F-A118-B2E0C7FA669B}">
          <x14:formula1>
            <xm:f>BundlingCompatabilityData!B42:B51</xm:f>
          </x14:formula1>
          <xm:sqref>F512</xm:sqref>
        </x14:dataValidation>
        <x14:dataValidation type="list" allowBlank="1" showInputMessage="1" showErrorMessage="1" xr:uid="{5C5E35B5-34BC-4421-A17C-8D49C294D51E}">
          <x14:formula1>
            <xm:f>BundlingCompatabilityData!B42:B51</xm:f>
          </x14:formula1>
          <xm:sqref>F513</xm:sqref>
        </x14:dataValidation>
        <x14:dataValidation type="list" allowBlank="1" showInputMessage="1" showErrorMessage="1" xr:uid="{635805A7-6C0A-4B71-92B3-C64B255298A0}">
          <x14:formula1>
            <xm:f>BundlingCompatabilityData!B42:B51</xm:f>
          </x14:formula1>
          <xm:sqref>F514</xm:sqref>
        </x14:dataValidation>
        <x14:dataValidation type="list" allowBlank="1" showInputMessage="1" showErrorMessage="1" xr:uid="{8DE04AED-570D-4221-A950-D0A0068CD216}">
          <x14:formula1>
            <xm:f>BundlingCompatabilityData!B42:B51</xm:f>
          </x14:formula1>
          <xm:sqref>F515</xm:sqref>
        </x14:dataValidation>
        <x14:dataValidation type="list" allowBlank="1" showInputMessage="1" showErrorMessage="1" xr:uid="{A6FF895E-31D1-4E6D-8F3C-A7386B45D07D}">
          <x14:formula1>
            <xm:f>BundlingCompatabilityData!B42:B51</xm:f>
          </x14:formula1>
          <xm:sqref>F516</xm:sqref>
        </x14:dataValidation>
        <x14:dataValidation type="list" allowBlank="1" showInputMessage="1" showErrorMessage="1" xr:uid="{45696799-6A81-4C06-9C93-8BCE798DF075}">
          <x14:formula1>
            <xm:f>BundlingCompatabilityData!B42:B51</xm:f>
          </x14:formula1>
          <xm:sqref>F517</xm:sqref>
        </x14:dataValidation>
        <x14:dataValidation type="list" allowBlank="1" showInputMessage="1" showErrorMessage="1" xr:uid="{6AEF8AF7-C9E0-4703-A115-61B9EA3D4F34}">
          <x14:formula1>
            <xm:f>BundlingCompatabilityData!B42:B51</xm:f>
          </x14:formula1>
          <xm:sqref>F518</xm:sqref>
        </x14:dataValidation>
        <x14:dataValidation type="list" allowBlank="1" showInputMessage="1" showErrorMessage="1" xr:uid="{C830530B-8499-4667-B026-D08D0E03228A}">
          <x14:formula1>
            <xm:f>BundlingCompatabilityData!B42:B51</xm:f>
          </x14:formula1>
          <xm:sqref>F519</xm:sqref>
        </x14:dataValidation>
        <x14:dataValidation type="list" allowBlank="1" showInputMessage="1" showErrorMessage="1" xr:uid="{3B863D15-402D-4E85-8DCB-844CE79429F4}">
          <x14:formula1>
            <xm:f>BundlingCompatabilityData!B58:B67</xm:f>
          </x14:formula1>
          <xm:sqref>G194</xm:sqref>
        </x14:dataValidation>
        <x14:dataValidation type="list" allowBlank="1" showInputMessage="1" showErrorMessage="1" xr:uid="{846D9AEF-93C6-4EFC-9A06-49EE5E791D91}">
          <x14:formula1>
            <xm:f>BundlingCompatabilityData!B58:B67</xm:f>
          </x14:formula1>
          <xm:sqref>G195</xm:sqref>
        </x14:dataValidation>
        <x14:dataValidation type="list" allowBlank="1" showInputMessage="1" showErrorMessage="1" xr:uid="{959C567A-63F6-4CDC-A394-2C54C02E3A38}">
          <x14:formula1>
            <xm:f>BundlingCompatabilityData!B58:B67</xm:f>
          </x14:formula1>
          <xm:sqref>G196</xm:sqref>
        </x14:dataValidation>
        <x14:dataValidation type="list" allowBlank="1" showInputMessage="1" showErrorMessage="1" xr:uid="{8F9BE0A4-27E7-4DD7-B986-D184141F7AD5}">
          <x14:formula1>
            <xm:f>BundlingCompatabilityData!B58:B67</xm:f>
          </x14:formula1>
          <xm:sqref>G197</xm:sqref>
        </x14:dataValidation>
        <x14:dataValidation type="list" allowBlank="1" showInputMessage="1" showErrorMessage="1" xr:uid="{5825CF0A-B5AF-4E14-9EAA-4689A0E966CE}">
          <x14:formula1>
            <xm:f>BundlingCompatabilityData!B58:B67</xm:f>
          </x14:formula1>
          <xm:sqref>G198</xm:sqref>
        </x14:dataValidation>
        <x14:dataValidation type="list" allowBlank="1" showInputMessage="1" showErrorMessage="1" xr:uid="{DBC87595-1573-45BA-BFD3-73B48F6C7A44}">
          <x14:formula1>
            <xm:f>BundlingCompatabilityData!B58:B67</xm:f>
          </x14:formula1>
          <xm:sqref>G199</xm:sqref>
        </x14:dataValidation>
        <x14:dataValidation type="list" allowBlank="1" showInputMessage="1" showErrorMessage="1" xr:uid="{41E39297-4465-4746-9BF2-64716B02EBC8}">
          <x14:formula1>
            <xm:f>BundlingCompatabilityData!B58:B67</xm:f>
          </x14:formula1>
          <xm:sqref>G200</xm:sqref>
        </x14:dataValidation>
        <x14:dataValidation type="list" allowBlank="1" showInputMessage="1" showErrorMessage="1" xr:uid="{ED43CBCA-293B-4EA0-9159-EE50AE88F129}">
          <x14:formula1>
            <xm:f>BundlingCompatabilityData!B58:B67</xm:f>
          </x14:formula1>
          <xm:sqref>G201</xm:sqref>
        </x14:dataValidation>
        <x14:dataValidation type="list" allowBlank="1" showInputMessage="1" showErrorMessage="1" xr:uid="{87ACC23D-95AC-4158-92BD-AC3D315E311E}">
          <x14:formula1>
            <xm:f>BundlingCompatabilityData!B58:B67</xm:f>
          </x14:formula1>
          <xm:sqref>G202</xm:sqref>
        </x14:dataValidation>
        <x14:dataValidation type="list" allowBlank="1" showInputMessage="1" showErrorMessage="1" xr:uid="{D7BB47AD-163E-4A88-BABD-041448CEACC8}">
          <x14:formula1>
            <xm:f>BundlingCompatabilityData!B58:B67</xm:f>
          </x14:formula1>
          <xm:sqref>G203</xm:sqref>
        </x14:dataValidation>
        <x14:dataValidation type="list" allowBlank="1" showInputMessage="1" showErrorMessage="1" xr:uid="{52F50B8C-F2B6-4DB0-99E1-DA70D305D3AC}">
          <x14:formula1>
            <xm:f>BundlingCompatabilityData!B58:B67</xm:f>
          </x14:formula1>
          <xm:sqref>G204</xm:sqref>
        </x14:dataValidation>
        <x14:dataValidation type="list" allowBlank="1" showInputMessage="1" showErrorMessage="1" xr:uid="{96A8F9E1-3544-42D9-910F-0F9A13367E6C}">
          <x14:formula1>
            <xm:f>BundlingCompatabilityData!B58:B67</xm:f>
          </x14:formula1>
          <xm:sqref>G205</xm:sqref>
        </x14:dataValidation>
        <x14:dataValidation type="list" allowBlank="1" showInputMessage="1" showErrorMessage="1" xr:uid="{F5B65C16-9FC4-4296-916E-6C7181B7FF67}">
          <x14:formula1>
            <xm:f>BundlingCompatabilityData!B58:B67</xm:f>
          </x14:formula1>
          <xm:sqref>G206</xm:sqref>
        </x14:dataValidation>
        <x14:dataValidation type="list" allowBlank="1" showInputMessage="1" showErrorMessage="1" xr:uid="{4F71FC32-2264-480D-AF61-819048BBEE18}">
          <x14:formula1>
            <xm:f>BundlingCompatabilityData!B58:B67</xm:f>
          </x14:formula1>
          <xm:sqref>G207</xm:sqref>
        </x14:dataValidation>
        <x14:dataValidation type="list" allowBlank="1" showInputMessage="1" showErrorMessage="1" xr:uid="{CBEB52A1-2D08-47AF-BD30-D20C2ACA8A5A}">
          <x14:formula1>
            <xm:f>BundlingCompatabilityData!B58:B67</xm:f>
          </x14:formula1>
          <xm:sqref>G208</xm:sqref>
        </x14:dataValidation>
        <x14:dataValidation type="list" allowBlank="1" showInputMessage="1" showErrorMessage="1" xr:uid="{23D75F37-4E4B-4CDE-B7A7-14C82A8BA37B}">
          <x14:formula1>
            <xm:f>BundlingCompatabilityData!B58:B67</xm:f>
          </x14:formula1>
          <xm:sqref>G209</xm:sqref>
        </x14:dataValidation>
        <x14:dataValidation type="list" allowBlank="1" showInputMessage="1" showErrorMessage="1" xr:uid="{F990FBC4-BD82-47AE-9B2C-446770D48F43}">
          <x14:formula1>
            <xm:f>BundlingCompatabilityData!B58:B67</xm:f>
          </x14:formula1>
          <xm:sqref>G210</xm:sqref>
        </x14:dataValidation>
        <x14:dataValidation type="list" allowBlank="1" showInputMessage="1" showErrorMessage="1" xr:uid="{A47A69C9-62CB-439A-804D-7BF5F5BCCC8B}">
          <x14:formula1>
            <xm:f>BundlingCompatabilityData!B58:B67</xm:f>
          </x14:formula1>
          <xm:sqref>G211</xm:sqref>
        </x14:dataValidation>
        <x14:dataValidation type="list" allowBlank="1" showInputMessage="1" showErrorMessage="1" xr:uid="{4B3772D7-29C3-4AAC-8A1D-1DCC17D7BB88}">
          <x14:formula1>
            <xm:f>BundlingCompatabilityData!B58:B67</xm:f>
          </x14:formula1>
          <xm:sqref>G212</xm:sqref>
        </x14:dataValidation>
        <x14:dataValidation type="list" allowBlank="1" showInputMessage="1" showErrorMessage="1" xr:uid="{9F9FD1B6-A618-4D73-AF7A-4E6272B64554}">
          <x14:formula1>
            <xm:f>BundlingCompatabilityData!B58:B67</xm:f>
          </x14:formula1>
          <xm:sqref>G213</xm:sqref>
        </x14:dataValidation>
        <x14:dataValidation type="list" allowBlank="1" showInputMessage="1" showErrorMessage="1" xr:uid="{BC13E1CA-9090-4D8A-902A-5E7DC9320BE0}">
          <x14:formula1>
            <xm:f>BundlingCompatabilityData!B58:B67</xm:f>
          </x14:formula1>
          <xm:sqref>G214</xm:sqref>
        </x14:dataValidation>
        <x14:dataValidation type="list" allowBlank="1" showInputMessage="1" showErrorMessage="1" xr:uid="{15C74825-D0EC-4749-982B-021F02ACBC13}">
          <x14:formula1>
            <xm:f>BundlingCompatabilityData!B58:B67</xm:f>
          </x14:formula1>
          <xm:sqref>G215</xm:sqref>
        </x14:dataValidation>
        <x14:dataValidation type="list" allowBlank="1" showInputMessage="1" showErrorMessage="1" xr:uid="{4ADBCD75-BC84-4E6E-AF47-8C3A56BC3569}">
          <x14:formula1>
            <xm:f>BundlingCompatabilityData!B58:B67</xm:f>
          </x14:formula1>
          <xm:sqref>G216</xm:sqref>
        </x14:dataValidation>
        <x14:dataValidation type="list" allowBlank="1" showInputMessage="1" showErrorMessage="1" xr:uid="{F6651988-1E10-4C38-BC6A-ABE5E480C527}">
          <x14:formula1>
            <xm:f>BundlingCompatabilityData!B58:B67</xm:f>
          </x14:formula1>
          <xm:sqref>G217</xm:sqref>
        </x14:dataValidation>
        <x14:dataValidation type="list" allowBlank="1" showInputMessage="1" showErrorMessage="1" xr:uid="{72629708-5243-4DF3-ACCB-5ACD37921B22}">
          <x14:formula1>
            <xm:f>BundlingCompatabilityData!B58:B67</xm:f>
          </x14:formula1>
          <xm:sqref>G218</xm:sqref>
        </x14:dataValidation>
        <x14:dataValidation type="list" allowBlank="1" showInputMessage="1" showErrorMessage="1" xr:uid="{9023AD99-F009-465D-8B8E-FAA79C38F2EE}">
          <x14:formula1>
            <xm:f>BundlingCompatabilityData!B58:B67</xm:f>
          </x14:formula1>
          <xm:sqref>G219</xm:sqref>
        </x14:dataValidation>
        <x14:dataValidation type="list" allowBlank="1" showInputMessage="1" showErrorMessage="1" xr:uid="{FB95A1D8-0FA4-48B6-8931-158860B181F8}">
          <x14:formula1>
            <xm:f>BundlingCompatabilityData!B58:B67</xm:f>
          </x14:formula1>
          <xm:sqref>G220</xm:sqref>
        </x14:dataValidation>
        <x14:dataValidation type="list" allowBlank="1" showInputMessage="1" showErrorMessage="1" xr:uid="{EBB8C8B7-47F4-49EF-A8E2-80FD4F77645B}">
          <x14:formula1>
            <xm:f>BundlingCompatabilityData!B58:B67</xm:f>
          </x14:formula1>
          <xm:sqref>G221</xm:sqref>
        </x14:dataValidation>
        <x14:dataValidation type="list" allowBlank="1" showInputMessage="1" showErrorMessage="1" xr:uid="{0DC807CE-E205-4EBB-85E9-CD52676002FD}">
          <x14:formula1>
            <xm:f>BundlingCompatabilityData!B58:B67</xm:f>
          </x14:formula1>
          <xm:sqref>G222</xm:sqref>
        </x14:dataValidation>
        <x14:dataValidation type="list" allowBlank="1" showInputMessage="1" showErrorMessage="1" xr:uid="{1D80975D-6BBA-4055-B7FF-2C285C642EAA}">
          <x14:formula1>
            <xm:f>BundlingCompatabilityData!B58:B67</xm:f>
          </x14:formula1>
          <xm:sqref>G223</xm:sqref>
        </x14:dataValidation>
        <x14:dataValidation type="list" allowBlank="1" showInputMessage="1" showErrorMessage="1" xr:uid="{0FD400AB-44F5-4448-A1A2-65905449E7BE}">
          <x14:formula1>
            <xm:f>BundlingCompatabilityData!B58:B67</xm:f>
          </x14:formula1>
          <xm:sqref>G224</xm:sqref>
        </x14:dataValidation>
        <x14:dataValidation type="list" allowBlank="1" showInputMessage="1" showErrorMessage="1" xr:uid="{C97323A1-8675-4149-87EF-FCDD8BA98E9A}">
          <x14:formula1>
            <xm:f>BundlingCompatabilityData!B58:B67</xm:f>
          </x14:formula1>
          <xm:sqref>G225</xm:sqref>
        </x14:dataValidation>
        <x14:dataValidation type="list" allowBlank="1" showInputMessage="1" showErrorMessage="1" xr:uid="{A75EA996-0659-475C-9C5D-5313518EC8CB}">
          <x14:formula1>
            <xm:f>BundlingCompatabilityData!B58:B67</xm:f>
          </x14:formula1>
          <xm:sqref>G226</xm:sqref>
        </x14:dataValidation>
        <x14:dataValidation type="list" allowBlank="1" showInputMessage="1" showErrorMessage="1" xr:uid="{AE614ABD-85BC-4C27-BBE2-E666D84C7A7B}">
          <x14:formula1>
            <xm:f>BundlingCompatabilityData!B58:B67</xm:f>
          </x14:formula1>
          <xm:sqref>G227</xm:sqref>
        </x14:dataValidation>
        <x14:dataValidation type="list" allowBlank="1" showInputMessage="1" showErrorMessage="1" xr:uid="{A18F732C-C8B2-47E8-94A6-A586EBE2C83C}">
          <x14:formula1>
            <xm:f>BundlingCompatabilityData!B58:B67</xm:f>
          </x14:formula1>
          <xm:sqref>G228</xm:sqref>
        </x14:dataValidation>
        <x14:dataValidation type="list" allowBlank="1" showInputMessage="1" showErrorMessage="1" xr:uid="{E483726F-495D-4D2F-A24F-C701B929C289}">
          <x14:formula1>
            <xm:f>BundlingCompatabilityData!B58:B67</xm:f>
          </x14:formula1>
          <xm:sqref>G229</xm:sqref>
        </x14:dataValidation>
        <x14:dataValidation type="list" allowBlank="1" showInputMessage="1" showErrorMessage="1" xr:uid="{6844BDD5-F376-4354-A572-CBE14D85877A}">
          <x14:formula1>
            <xm:f>BundlingCompatabilityData!B58:B67</xm:f>
          </x14:formula1>
          <xm:sqref>G230</xm:sqref>
        </x14:dataValidation>
        <x14:dataValidation type="list" allowBlank="1" showInputMessage="1" showErrorMessage="1" xr:uid="{1D481169-C076-4368-B395-54DAF2DBDFD8}">
          <x14:formula1>
            <xm:f>BundlingCompatabilityData!B58:B67</xm:f>
          </x14:formula1>
          <xm:sqref>G231</xm:sqref>
        </x14:dataValidation>
        <x14:dataValidation type="list" allowBlank="1" showInputMessage="1" showErrorMessage="1" xr:uid="{72B628E1-88C3-4A35-B63D-5ED5980B451A}">
          <x14:formula1>
            <xm:f>BundlingCompatabilityData!B58:B67</xm:f>
          </x14:formula1>
          <xm:sqref>G232</xm:sqref>
        </x14:dataValidation>
        <x14:dataValidation type="list" allowBlank="1" showInputMessage="1" showErrorMessage="1" xr:uid="{E2A6230D-9A40-4D6E-8149-A56F7AE27419}">
          <x14:formula1>
            <xm:f>BundlingCompatabilityData!B58:B67</xm:f>
          </x14:formula1>
          <xm:sqref>G233</xm:sqref>
        </x14:dataValidation>
        <x14:dataValidation type="list" allowBlank="1" showInputMessage="1" showErrorMessage="1" xr:uid="{25C7A06D-DE2B-4D67-BD0B-AABC208A0671}">
          <x14:formula1>
            <xm:f>BundlingCompatabilityData!B58:B67</xm:f>
          </x14:formula1>
          <xm:sqref>G234</xm:sqref>
        </x14:dataValidation>
        <x14:dataValidation type="list" allowBlank="1" showInputMessage="1" showErrorMessage="1" xr:uid="{0DFE0760-4B65-4F39-A219-7C046AAADBDB}">
          <x14:formula1>
            <xm:f>BundlingCompatabilityData!B58:B67</xm:f>
          </x14:formula1>
          <xm:sqref>G235</xm:sqref>
        </x14:dataValidation>
        <x14:dataValidation type="list" allowBlank="1" showInputMessage="1" showErrorMessage="1" xr:uid="{4DD5CD0A-C51D-414D-93E3-8480B6FA05E9}">
          <x14:formula1>
            <xm:f>BundlingCompatabilityData!B58:B67</xm:f>
          </x14:formula1>
          <xm:sqref>G236</xm:sqref>
        </x14:dataValidation>
        <x14:dataValidation type="list" allowBlank="1" showInputMessage="1" showErrorMessage="1" xr:uid="{C8B21361-3CB4-4819-8240-16522438A3CF}">
          <x14:formula1>
            <xm:f>BundlingCompatabilityData!B58:B67</xm:f>
          </x14:formula1>
          <xm:sqref>G237</xm:sqref>
        </x14:dataValidation>
        <x14:dataValidation type="list" allowBlank="1" showInputMessage="1" showErrorMessage="1" xr:uid="{6B1B466B-3D08-49E7-8472-608E867F92BE}">
          <x14:formula1>
            <xm:f>BundlingCompatabilityData!B58:B67</xm:f>
          </x14:formula1>
          <xm:sqref>G238</xm:sqref>
        </x14:dataValidation>
        <x14:dataValidation type="list" allowBlank="1" showInputMessage="1" showErrorMessage="1" xr:uid="{63E4DA02-40FE-4B73-AF6F-E94AAAE2C133}">
          <x14:formula1>
            <xm:f>BundlingCompatabilityData!B58:B67</xm:f>
          </x14:formula1>
          <xm:sqref>G239</xm:sqref>
        </x14:dataValidation>
        <x14:dataValidation type="list" allowBlank="1" showInputMessage="1" showErrorMessage="1" xr:uid="{77B89075-1175-468D-8FF5-2D4763E51323}">
          <x14:formula1>
            <xm:f>BundlingCompatabilityData!B58:B67</xm:f>
          </x14:formula1>
          <xm:sqref>G240</xm:sqref>
        </x14:dataValidation>
        <x14:dataValidation type="list" allowBlank="1" showInputMessage="1" showErrorMessage="1" xr:uid="{FA35E823-BF08-4A22-890D-29B262DBB3BC}">
          <x14:formula1>
            <xm:f>BundlingCompatabilityData!B58:B67</xm:f>
          </x14:formula1>
          <xm:sqref>G241</xm:sqref>
        </x14:dataValidation>
        <x14:dataValidation type="list" allowBlank="1" showInputMessage="1" showErrorMessage="1" xr:uid="{91A3D705-D604-4077-BB35-99ED4318BB24}">
          <x14:formula1>
            <xm:f>BundlingCompatabilityData!B58:B67</xm:f>
          </x14:formula1>
          <xm:sqref>G242</xm:sqref>
        </x14:dataValidation>
        <x14:dataValidation type="list" allowBlank="1" showInputMessage="1" showErrorMessage="1" xr:uid="{A468BC11-2D3E-48BD-B030-43BC797788AC}">
          <x14:formula1>
            <xm:f>BundlingCompatabilityData!B58:B67</xm:f>
          </x14:formula1>
          <xm:sqref>G243</xm:sqref>
        </x14:dataValidation>
        <x14:dataValidation type="list" allowBlank="1" showInputMessage="1" showErrorMessage="1" xr:uid="{26F61D64-3225-4C96-9280-C6EFFDA97764}">
          <x14:formula1>
            <xm:f>BundlingCompatabilityData!B58:B67</xm:f>
          </x14:formula1>
          <xm:sqref>G244</xm:sqref>
        </x14:dataValidation>
        <x14:dataValidation type="list" allowBlank="1" showInputMessage="1" showErrorMessage="1" xr:uid="{77E8197A-B0CC-44EC-8950-1AA19B75D035}">
          <x14:formula1>
            <xm:f>BundlingCompatabilityData!B58:B67</xm:f>
          </x14:formula1>
          <xm:sqref>G245</xm:sqref>
        </x14:dataValidation>
        <x14:dataValidation type="list" allowBlank="1" showInputMessage="1" showErrorMessage="1" xr:uid="{A9F6BEF1-13E1-4BA5-9D34-99E7E65C9793}">
          <x14:formula1>
            <xm:f>BundlingCompatabilityData!B58:B67</xm:f>
          </x14:formula1>
          <xm:sqref>G246</xm:sqref>
        </x14:dataValidation>
        <x14:dataValidation type="list" allowBlank="1" showInputMessage="1" showErrorMessage="1" xr:uid="{24AC7A26-9496-49AC-A234-AE489BF506C4}">
          <x14:formula1>
            <xm:f>BundlingCompatabilityData!B58:B67</xm:f>
          </x14:formula1>
          <xm:sqref>G247</xm:sqref>
        </x14:dataValidation>
        <x14:dataValidation type="list" allowBlank="1" showInputMessage="1" showErrorMessage="1" xr:uid="{22936A13-88F6-4418-86E8-750AAF0D1DDA}">
          <x14:formula1>
            <xm:f>BundlingCompatabilityData!B58:B67</xm:f>
          </x14:formula1>
          <xm:sqref>G248</xm:sqref>
        </x14:dataValidation>
        <x14:dataValidation type="list" allowBlank="1" showInputMessage="1" showErrorMessage="1" xr:uid="{E4BDC8D2-59BE-4FA8-8D70-663C56437091}">
          <x14:formula1>
            <xm:f>BundlingCompatabilityData!B58:B67</xm:f>
          </x14:formula1>
          <xm:sqref>G249</xm:sqref>
        </x14:dataValidation>
        <x14:dataValidation type="list" allowBlank="1" showInputMessage="1" showErrorMessage="1" xr:uid="{DEFED231-9350-4AD9-B8F1-E5E7623705DC}">
          <x14:formula1>
            <xm:f>BundlingCompatabilityData!B58:B67</xm:f>
          </x14:formula1>
          <xm:sqref>G250</xm:sqref>
        </x14:dataValidation>
        <x14:dataValidation type="list" allowBlank="1" showInputMessage="1" showErrorMessage="1" xr:uid="{BC924763-9F8C-4223-BB7E-640927E6C3AA}">
          <x14:formula1>
            <xm:f>BundlingCompatabilityData!B58:B67</xm:f>
          </x14:formula1>
          <xm:sqref>G251</xm:sqref>
        </x14:dataValidation>
        <x14:dataValidation type="list" allowBlank="1" showInputMessage="1" showErrorMessage="1" xr:uid="{87EBEAEF-7E29-4AA7-BFAC-874EB7C8B007}">
          <x14:formula1>
            <xm:f>BundlingCompatabilityData!B58:B67</xm:f>
          </x14:formula1>
          <xm:sqref>G252</xm:sqref>
        </x14:dataValidation>
        <x14:dataValidation type="list" allowBlank="1" showInputMessage="1" showErrorMessage="1" xr:uid="{50518DA0-8D7D-4BE3-9ACD-0792A344C777}">
          <x14:formula1>
            <xm:f>BundlingCompatabilityData!B58:B67</xm:f>
          </x14:formula1>
          <xm:sqref>G253</xm:sqref>
        </x14:dataValidation>
        <x14:dataValidation type="list" allowBlank="1" showInputMessage="1" showErrorMessage="1" xr:uid="{546346BB-8117-4F3D-9F66-9B1E3AFC2885}">
          <x14:formula1>
            <xm:f>BundlingCompatabilityData!B58:B67</xm:f>
          </x14:formula1>
          <xm:sqref>G254</xm:sqref>
        </x14:dataValidation>
        <x14:dataValidation type="list" allowBlank="1" showInputMessage="1" showErrorMessage="1" xr:uid="{E08D9329-A1D7-467F-8298-590BAAF5E118}">
          <x14:formula1>
            <xm:f>BundlingCompatabilityData!B58:B67</xm:f>
          </x14:formula1>
          <xm:sqref>G255</xm:sqref>
        </x14:dataValidation>
        <x14:dataValidation type="list" allowBlank="1" showInputMessage="1" showErrorMessage="1" xr:uid="{A1D9C7E2-C898-44C1-8AC3-4DC58DCAD21A}">
          <x14:formula1>
            <xm:f>BundlingCompatabilityData!B58:B67</xm:f>
          </x14:formula1>
          <xm:sqref>G256</xm:sqref>
        </x14:dataValidation>
        <x14:dataValidation type="list" allowBlank="1" showInputMessage="1" showErrorMessage="1" xr:uid="{74480B66-9950-42F5-AC08-D9A515BE65A9}">
          <x14:formula1>
            <xm:f>BundlingCompatabilityData!B58:B67</xm:f>
          </x14:formula1>
          <xm:sqref>G257</xm:sqref>
        </x14:dataValidation>
        <x14:dataValidation type="list" allowBlank="1" showInputMessage="1" showErrorMessage="1" xr:uid="{FE09C096-193F-4058-8BA1-A537139C7CED}">
          <x14:formula1>
            <xm:f>BundlingCompatabilityData!B58:B67</xm:f>
          </x14:formula1>
          <xm:sqref>G258</xm:sqref>
        </x14:dataValidation>
        <x14:dataValidation type="list" allowBlank="1" showInputMessage="1" showErrorMessage="1" xr:uid="{B19CFD6F-8933-4503-8245-BD0DA8AA1B32}">
          <x14:formula1>
            <xm:f>BundlingCompatabilityData!B58:B67</xm:f>
          </x14:formula1>
          <xm:sqref>G259</xm:sqref>
        </x14:dataValidation>
        <x14:dataValidation type="list" allowBlank="1" showInputMessage="1" showErrorMessage="1" xr:uid="{7B34E342-BEF5-4060-95AC-E31547F2C213}">
          <x14:formula1>
            <xm:f>BundlingCompatabilityData!B58:B67</xm:f>
          </x14:formula1>
          <xm:sqref>G260</xm:sqref>
        </x14:dataValidation>
        <x14:dataValidation type="list" allowBlank="1" showInputMessage="1" showErrorMessage="1" xr:uid="{CD8DB6AA-4D33-4496-87C6-5146EA62D695}">
          <x14:formula1>
            <xm:f>BundlingCompatabilityData!B58:B67</xm:f>
          </x14:formula1>
          <xm:sqref>G261</xm:sqref>
        </x14:dataValidation>
        <x14:dataValidation type="list" allowBlank="1" showInputMessage="1" showErrorMessage="1" xr:uid="{F2A8D397-7807-4C81-B2C2-82846B90535C}">
          <x14:formula1>
            <xm:f>BundlingCompatabilityData!B58:B67</xm:f>
          </x14:formula1>
          <xm:sqref>G262</xm:sqref>
        </x14:dataValidation>
        <x14:dataValidation type="list" allowBlank="1" showInputMessage="1" showErrorMessage="1" xr:uid="{8843E275-4DAB-496F-8624-9C4AF1D73C01}">
          <x14:formula1>
            <xm:f>BundlingCompatabilityData!B58:B67</xm:f>
          </x14:formula1>
          <xm:sqref>G263</xm:sqref>
        </x14:dataValidation>
        <x14:dataValidation type="list" allowBlank="1" showInputMessage="1" showErrorMessage="1" xr:uid="{E75762DA-7A2F-4C3F-BE05-02AE34E91E67}">
          <x14:formula1>
            <xm:f>BundlingCompatabilityData!B58:B67</xm:f>
          </x14:formula1>
          <xm:sqref>G264</xm:sqref>
        </x14:dataValidation>
        <x14:dataValidation type="list" allowBlank="1" showInputMessage="1" showErrorMessage="1" xr:uid="{DC5D1561-89A1-4F8D-BD91-9A943AE20C4C}">
          <x14:formula1>
            <xm:f>BundlingCompatabilityData!B58:B67</xm:f>
          </x14:formula1>
          <xm:sqref>G265</xm:sqref>
        </x14:dataValidation>
        <x14:dataValidation type="list" allowBlank="1" showInputMessage="1" showErrorMessage="1" xr:uid="{1842A6CE-3587-4353-BA8A-297D6CC7CC2E}">
          <x14:formula1>
            <xm:f>BundlingCompatabilityData!B58:B67</xm:f>
          </x14:formula1>
          <xm:sqref>G266</xm:sqref>
        </x14:dataValidation>
        <x14:dataValidation type="list" allowBlank="1" showInputMessage="1" showErrorMessage="1" xr:uid="{6D8E7DBF-D844-40DD-AF95-D5CA25820B06}">
          <x14:formula1>
            <xm:f>BundlingCompatabilityData!B58:B67</xm:f>
          </x14:formula1>
          <xm:sqref>G267</xm:sqref>
        </x14:dataValidation>
        <x14:dataValidation type="list" allowBlank="1" showInputMessage="1" showErrorMessage="1" xr:uid="{41A0A950-8BAC-4325-8108-E95B187B53BB}">
          <x14:formula1>
            <xm:f>BundlingCompatabilityData!B58:B67</xm:f>
          </x14:formula1>
          <xm:sqref>G268</xm:sqref>
        </x14:dataValidation>
        <x14:dataValidation type="list" allowBlank="1" showInputMessage="1" showErrorMessage="1" xr:uid="{9B14F40E-F649-4932-9926-83C68446CA98}">
          <x14:formula1>
            <xm:f>BundlingCompatabilityData!B58:B67</xm:f>
          </x14:formula1>
          <xm:sqref>G269</xm:sqref>
        </x14:dataValidation>
        <x14:dataValidation type="list" allowBlank="1" showInputMessage="1" showErrorMessage="1" xr:uid="{1F480320-6D57-42FD-A0C4-25EAC3706F9A}">
          <x14:formula1>
            <xm:f>BundlingCompatabilityData!B58:B67</xm:f>
          </x14:formula1>
          <xm:sqref>G270</xm:sqref>
        </x14:dataValidation>
        <x14:dataValidation type="list" allowBlank="1" showInputMessage="1" showErrorMessage="1" xr:uid="{30B64375-C370-4D85-B8E6-0AE9D23E9916}">
          <x14:formula1>
            <xm:f>BundlingCompatabilityData!B58:B67</xm:f>
          </x14:formula1>
          <xm:sqref>G271</xm:sqref>
        </x14:dataValidation>
        <x14:dataValidation type="list" allowBlank="1" showInputMessage="1" showErrorMessage="1" xr:uid="{B8964B4C-8AF5-4729-8731-1918702C3321}">
          <x14:formula1>
            <xm:f>BundlingCompatabilityData!B58:B67</xm:f>
          </x14:formula1>
          <xm:sqref>G272</xm:sqref>
        </x14:dataValidation>
        <x14:dataValidation type="list" allowBlank="1" showInputMessage="1" showErrorMessage="1" xr:uid="{CED1C559-9757-4152-9FE1-7384547733B3}">
          <x14:formula1>
            <xm:f>BundlingCompatabilityData!B58:B67</xm:f>
          </x14:formula1>
          <xm:sqref>G273</xm:sqref>
        </x14:dataValidation>
        <x14:dataValidation type="list" allowBlank="1" showInputMessage="1" showErrorMessage="1" xr:uid="{C003F2C6-19A4-408B-9927-8F64FB2D268B}">
          <x14:formula1>
            <xm:f>BundlingCompatabilityData!B58:B67</xm:f>
          </x14:formula1>
          <xm:sqref>G274</xm:sqref>
        </x14:dataValidation>
        <x14:dataValidation type="list" allowBlank="1" showInputMessage="1" showErrorMessage="1" xr:uid="{0B7C0509-5FD5-4927-84E3-7625CCF5D251}">
          <x14:formula1>
            <xm:f>BundlingCompatabilityData!B58:B67</xm:f>
          </x14:formula1>
          <xm:sqref>G275</xm:sqref>
        </x14:dataValidation>
        <x14:dataValidation type="list" allowBlank="1" showInputMessage="1" showErrorMessage="1" xr:uid="{4D189F5E-C2E3-4908-8C90-C2907B9B9DD8}">
          <x14:formula1>
            <xm:f>BundlingCompatabilityData!B58:B67</xm:f>
          </x14:formula1>
          <xm:sqref>G276</xm:sqref>
        </x14:dataValidation>
        <x14:dataValidation type="list" allowBlank="1" showInputMessage="1" showErrorMessage="1" xr:uid="{E234BAF4-D919-41B5-A7DF-E81389E4BEA9}">
          <x14:formula1>
            <xm:f>BundlingCompatabilityData!B58:B67</xm:f>
          </x14:formula1>
          <xm:sqref>G277</xm:sqref>
        </x14:dataValidation>
        <x14:dataValidation type="list" allowBlank="1" showInputMessage="1" showErrorMessage="1" xr:uid="{B938A0BC-653B-40AC-AF11-C0A39B914BF8}">
          <x14:formula1>
            <xm:f>BundlingCompatabilityData!B58:B67</xm:f>
          </x14:formula1>
          <xm:sqref>G278</xm:sqref>
        </x14:dataValidation>
        <x14:dataValidation type="list" allowBlank="1" showInputMessage="1" showErrorMessage="1" xr:uid="{C06C385E-9870-45B6-A661-20CE5C87EB43}">
          <x14:formula1>
            <xm:f>BundlingCompatabilityData!B58:B67</xm:f>
          </x14:formula1>
          <xm:sqref>G279</xm:sqref>
        </x14:dataValidation>
        <x14:dataValidation type="list" allowBlank="1" showInputMessage="1" showErrorMessage="1" xr:uid="{2D86799E-E63B-471F-83B8-098F68235881}">
          <x14:formula1>
            <xm:f>BundlingCompatabilityData!B58:B67</xm:f>
          </x14:formula1>
          <xm:sqref>G280</xm:sqref>
        </x14:dataValidation>
        <x14:dataValidation type="list" allowBlank="1" showInputMessage="1" showErrorMessage="1" xr:uid="{7E374D66-5B9B-47F0-8C65-EA362ADA4F37}">
          <x14:formula1>
            <xm:f>BundlingCompatabilityData!B58:B67</xm:f>
          </x14:formula1>
          <xm:sqref>G281</xm:sqref>
        </x14:dataValidation>
        <x14:dataValidation type="list" allowBlank="1" showInputMessage="1" showErrorMessage="1" xr:uid="{0A23388E-CBC6-4D8F-A0E6-E28E16E1FE78}">
          <x14:formula1>
            <xm:f>BundlingCompatabilityData!B58:B67</xm:f>
          </x14:formula1>
          <xm:sqref>G282</xm:sqref>
        </x14:dataValidation>
        <x14:dataValidation type="list" allowBlank="1" showInputMessage="1" showErrorMessage="1" xr:uid="{53C31541-B7F2-43A8-BF14-874275BFBA65}">
          <x14:formula1>
            <xm:f>BundlingCompatabilityData!B58:B67</xm:f>
          </x14:formula1>
          <xm:sqref>G283</xm:sqref>
        </x14:dataValidation>
        <x14:dataValidation type="list" allowBlank="1" showInputMessage="1" showErrorMessage="1" xr:uid="{083542F9-6550-4DB6-8962-81F3CD4C8B97}">
          <x14:formula1>
            <xm:f>BundlingCompatabilityData!B58:B67</xm:f>
          </x14:formula1>
          <xm:sqref>G284</xm:sqref>
        </x14:dataValidation>
        <x14:dataValidation type="list" allowBlank="1" showInputMessage="1" showErrorMessage="1" xr:uid="{82D4FCB6-7DA4-4346-A252-587367F81BD6}">
          <x14:formula1>
            <xm:f>BundlingCompatabilityData!B58:B67</xm:f>
          </x14:formula1>
          <xm:sqref>G285</xm:sqref>
        </x14:dataValidation>
        <x14:dataValidation type="list" allowBlank="1" showInputMessage="1" showErrorMessage="1" xr:uid="{D51E1A02-2C10-4DC9-BFE2-55E088C011BE}">
          <x14:formula1>
            <xm:f>BundlingCompatabilityData!B58:B67</xm:f>
          </x14:formula1>
          <xm:sqref>G286</xm:sqref>
        </x14:dataValidation>
        <x14:dataValidation type="list" allowBlank="1" showInputMessage="1" showErrorMessage="1" xr:uid="{3EEFF2ED-C8DA-4243-AB7F-03FB67D60E1D}">
          <x14:formula1>
            <xm:f>BundlingCompatabilityData!B58:B67</xm:f>
          </x14:formula1>
          <xm:sqref>G287</xm:sqref>
        </x14:dataValidation>
        <x14:dataValidation type="list" allowBlank="1" showInputMessage="1" showErrorMessage="1" xr:uid="{FE85BE4F-2D6F-43CB-996B-C911B6D45754}">
          <x14:formula1>
            <xm:f>BundlingCompatabilityData!B58:B67</xm:f>
          </x14:formula1>
          <xm:sqref>G288</xm:sqref>
        </x14:dataValidation>
        <x14:dataValidation type="list" allowBlank="1" showInputMessage="1" showErrorMessage="1" xr:uid="{FDD2B754-1A25-48FA-91B0-F58AC56A57B6}">
          <x14:formula1>
            <xm:f>BundlingCompatabilityData!B58:B67</xm:f>
          </x14:formula1>
          <xm:sqref>G289</xm:sqref>
        </x14:dataValidation>
        <x14:dataValidation type="list" allowBlank="1" showInputMessage="1" showErrorMessage="1" xr:uid="{F207E150-681F-468E-91D0-1CC456B997A6}">
          <x14:formula1>
            <xm:f>BundlingCompatabilityData!B58:B67</xm:f>
          </x14:formula1>
          <xm:sqref>G290</xm:sqref>
        </x14:dataValidation>
        <x14:dataValidation type="list" allowBlank="1" showInputMessage="1" showErrorMessage="1" xr:uid="{18FEBFCD-5C5D-4498-9CE0-DCA7B961D958}">
          <x14:formula1>
            <xm:f>BundlingCompatabilityData!B58:B67</xm:f>
          </x14:formula1>
          <xm:sqref>G291</xm:sqref>
        </x14:dataValidation>
        <x14:dataValidation type="list" allowBlank="1" showInputMessage="1" showErrorMessage="1" xr:uid="{AFE0F07D-7E53-4420-840D-CD911B8F11A2}">
          <x14:formula1>
            <xm:f>BundlingCompatabilityData!B58:B67</xm:f>
          </x14:formula1>
          <xm:sqref>G292</xm:sqref>
        </x14:dataValidation>
        <x14:dataValidation type="list" allowBlank="1" showInputMessage="1" showErrorMessage="1" xr:uid="{F92B859A-7285-4B7D-96D2-31511208DA00}">
          <x14:formula1>
            <xm:f>BundlingCompatabilityData!B58:B67</xm:f>
          </x14:formula1>
          <xm:sqref>G293</xm:sqref>
        </x14:dataValidation>
        <x14:dataValidation type="list" allowBlank="1" showInputMessage="1" showErrorMessage="1" xr:uid="{EF057756-6880-47E0-A773-235E50B1A022}">
          <x14:formula1>
            <xm:f>BundlingCompatabilityData!B58:B67</xm:f>
          </x14:formula1>
          <xm:sqref>G294</xm:sqref>
        </x14:dataValidation>
        <x14:dataValidation type="list" allowBlank="1" showInputMessage="1" showErrorMessage="1" xr:uid="{A44634A6-AFE8-4EE3-BD86-C6FF0BC8E756}">
          <x14:formula1>
            <xm:f>BundlingCompatabilityData!B58:B67</xm:f>
          </x14:formula1>
          <xm:sqref>G295</xm:sqref>
        </x14:dataValidation>
        <x14:dataValidation type="list" allowBlank="1" showInputMessage="1" showErrorMessage="1" xr:uid="{2AE2B267-AC8D-46D6-A52D-2CF72E46F5D3}">
          <x14:formula1>
            <xm:f>BundlingCompatabilityData!B58:B67</xm:f>
          </x14:formula1>
          <xm:sqref>G296</xm:sqref>
        </x14:dataValidation>
        <x14:dataValidation type="list" allowBlank="1" showInputMessage="1" showErrorMessage="1" xr:uid="{7777D76B-4B8C-454F-A22B-003E5295F618}">
          <x14:formula1>
            <xm:f>BundlingCompatabilityData!B58:B67</xm:f>
          </x14:formula1>
          <xm:sqref>G297</xm:sqref>
        </x14:dataValidation>
        <x14:dataValidation type="list" allowBlank="1" showInputMessage="1" showErrorMessage="1" xr:uid="{22A970DE-B0EF-4A8F-B771-DC305E7F7C56}">
          <x14:formula1>
            <xm:f>BundlingCompatabilityData!B58:B67</xm:f>
          </x14:formula1>
          <xm:sqref>G298</xm:sqref>
        </x14:dataValidation>
        <x14:dataValidation type="list" allowBlank="1" showInputMessage="1" showErrorMessage="1" xr:uid="{435A70C1-BA57-4CCE-9710-A4CC9C50FB01}">
          <x14:formula1>
            <xm:f>BundlingCompatabilityData!B58:B67</xm:f>
          </x14:formula1>
          <xm:sqref>G299</xm:sqref>
        </x14:dataValidation>
        <x14:dataValidation type="list" allowBlank="1" showInputMessage="1" showErrorMessage="1" xr:uid="{C4FCE527-62DE-48B5-BDDC-80232ACA7092}">
          <x14:formula1>
            <xm:f>BundlingCompatabilityData!B58:B67</xm:f>
          </x14:formula1>
          <xm:sqref>G300</xm:sqref>
        </x14:dataValidation>
        <x14:dataValidation type="list" allowBlank="1" showInputMessage="1" showErrorMessage="1" xr:uid="{26E83DA5-B2F9-426A-B37E-AEB1F3DE8FFE}">
          <x14:formula1>
            <xm:f>BundlingCompatabilityData!B58:B67</xm:f>
          </x14:formula1>
          <xm:sqref>G301</xm:sqref>
        </x14:dataValidation>
        <x14:dataValidation type="list" allowBlank="1" showInputMessage="1" showErrorMessage="1" xr:uid="{9B049450-0DF1-412A-B0F1-FE8533C5E508}">
          <x14:formula1>
            <xm:f>BundlingCompatabilityData!B58:B67</xm:f>
          </x14:formula1>
          <xm:sqref>G302</xm:sqref>
        </x14:dataValidation>
        <x14:dataValidation type="list" allowBlank="1" showInputMessage="1" showErrorMessage="1" xr:uid="{8EE5966C-93C8-4277-8089-964BAD42C384}">
          <x14:formula1>
            <xm:f>BundlingCompatabilityData!B58:B67</xm:f>
          </x14:formula1>
          <xm:sqref>G303</xm:sqref>
        </x14:dataValidation>
        <x14:dataValidation type="list" allowBlank="1" showInputMessage="1" showErrorMessage="1" xr:uid="{209C2C09-6DB0-4382-B4D1-C3B0BD451CFE}">
          <x14:formula1>
            <xm:f>BundlingCompatabilityData!B58:B67</xm:f>
          </x14:formula1>
          <xm:sqref>G304</xm:sqref>
        </x14:dataValidation>
        <x14:dataValidation type="list" allowBlank="1" showInputMessage="1" showErrorMessage="1" xr:uid="{5037B29C-9732-42B8-84F6-6C5572EFA9E9}">
          <x14:formula1>
            <xm:f>BundlingCompatabilityData!B58:B67</xm:f>
          </x14:formula1>
          <xm:sqref>G305</xm:sqref>
        </x14:dataValidation>
        <x14:dataValidation type="list" allowBlank="1" showInputMessage="1" showErrorMessage="1" xr:uid="{C45377C3-F79D-4C72-8598-E4CF384CCE62}">
          <x14:formula1>
            <xm:f>BundlingCompatabilityData!B58:B67</xm:f>
          </x14:formula1>
          <xm:sqref>G306</xm:sqref>
        </x14:dataValidation>
        <x14:dataValidation type="list" allowBlank="1" showInputMessage="1" showErrorMessage="1" xr:uid="{D50170EB-64BB-4EF3-AE98-EF4EAABE6BC3}">
          <x14:formula1>
            <xm:f>BundlingCompatabilityData!B58:B67</xm:f>
          </x14:formula1>
          <xm:sqref>G307</xm:sqref>
        </x14:dataValidation>
        <x14:dataValidation type="list" allowBlank="1" showInputMessage="1" showErrorMessage="1" xr:uid="{E04A2638-953B-4BAB-96A9-9D715E177272}">
          <x14:formula1>
            <xm:f>BundlingCompatabilityData!B58:B67</xm:f>
          </x14:formula1>
          <xm:sqref>G308</xm:sqref>
        </x14:dataValidation>
        <x14:dataValidation type="list" allowBlank="1" showInputMessage="1" showErrorMessage="1" xr:uid="{E7F744C3-F149-44EC-A55C-A669C7955DC1}">
          <x14:formula1>
            <xm:f>BundlingCompatabilityData!B58:B67</xm:f>
          </x14:formula1>
          <xm:sqref>G309</xm:sqref>
        </x14:dataValidation>
        <x14:dataValidation type="list" allowBlank="1" showInputMessage="1" showErrorMessage="1" xr:uid="{6ED7D3FB-711F-4E45-9187-64C5FCF3F87B}">
          <x14:formula1>
            <xm:f>BundlingCompatabilityData!B58:B67</xm:f>
          </x14:formula1>
          <xm:sqref>G310</xm:sqref>
        </x14:dataValidation>
        <x14:dataValidation type="list" allowBlank="1" showInputMessage="1" showErrorMessage="1" xr:uid="{CF2B7C0C-E30B-4140-AF47-5656F2514275}">
          <x14:formula1>
            <xm:f>BundlingCompatabilityData!B58:B67</xm:f>
          </x14:formula1>
          <xm:sqref>G311</xm:sqref>
        </x14:dataValidation>
        <x14:dataValidation type="list" allowBlank="1" showInputMessage="1" showErrorMessage="1" xr:uid="{CEBA1FFD-40B3-4F31-B4C1-F7E1887D761B}">
          <x14:formula1>
            <xm:f>BundlingCompatabilityData!B58:B67</xm:f>
          </x14:formula1>
          <xm:sqref>G312</xm:sqref>
        </x14:dataValidation>
        <x14:dataValidation type="list" allowBlank="1" showInputMessage="1" showErrorMessage="1" xr:uid="{94D66C5A-75E8-4ED9-8B3C-69D9AB69F74D}">
          <x14:formula1>
            <xm:f>BundlingCompatabilityData!B58:B67</xm:f>
          </x14:formula1>
          <xm:sqref>G313</xm:sqref>
        </x14:dataValidation>
        <x14:dataValidation type="list" allowBlank="1" showInputMessage="1" showErrorMessage="1" xr:uid="{2680D60F-3824-4DD7-B4B4-2EEEFFE2DB72}">
          <x14:formula1>
            <xm:f>BundlingCompatabilityData!B58:B67</xm:f>
          </x14:formula1>
          <xm:sqref>G314</xm:sqref>
        </x14:dataValidation>
        <x14:dataValidation type="list" allowBlank="1" showInputMessage="1" showErrorMessage="1" xr:uid="{42C6AE18-90DF-451B-B999-5F595183DDA5}">
          <x14:formula1>
            <xm:f>BundlingCompatabilityData!B58:B67</xm:f>
          </x14:formula1>
          <xm:sqref>G315</xm:sqref>
        </x14:dataValidation>
        <x14:dataValidation type="list" allowBlank="1" showInputMessage="1" showErrorMessage="1" xr:uid="{4A4A2C77-53DD-470E-944A-BB149F82136E}">
          <x14:formula1>
            <xm:f>BundlingCompatabilityData!B58:B67</xm:f>
          </x14:formula1>
          <xm:sqref>G316</xm:sqref>
        </x14:dataValidation>
        <x14:dataValidation type="list" allowBlank="1" showInputMessage="1" showErrorMessage="1" xr:uid="{79F47493-70B4-4F1D-8CF0-102474840E2B}">
          <x14:formula1>
            <xm:f>BundlingCompatabilityData!B58:B67</xm:f>
          </x14:formula1>
          <xm:sqref>G317</xm:sqref>
        </x14:dataValidation>
        <x14:dataValidation type="list" allowBlank="1" showInputMessage="1" showErrorMessage="1" xr:uid="{22A42D14-BFFC-4538-80D0-8FBB62C73517}">
          <x14:formula1>
            <xm:f>BundlingCompatabilityData!B58:B67</xm:f>
          </x14:formula1>
          <xm:sqref>G318</xm:sqref>
        </x14:dataValidation>
        <x14:dataValidation type="list" allowBlank="1" showInputMessage="1" showErrorMessage="1" xr:uid="{A77568FE-6333-43CE-9FFE-48BC54955A86}">
          <x14:formula1>
            <xm:f>BundlingCompatabilityData!B58:B67</xm:f>
          </x14:formula1>
          <xm:sqref>G319</xm:sqref>
        </x14:dataValidation>
        <x14:dataValidation type="list" allowBlank="1" showInputMessage="1" showErrorMessage="1" xr:uid="{D1BBA08F-79D2-47EC-8F5E-AC3A7BFCE8B3}">
          <x14:formula1>
            <xm:f>BundlingCompatabilityData!B58:B67</xm:f>
          </x14:formula1>
          <xm:sqref>G320</xm:sqref>
        </x14:dataValidation>
        <x14:dataValidation type="list" allowBlank="1" showInputMessage="1" showErrorMessage="1" xr:uid="{535BF910-8B59-492E-AC08-7217645F8FD4}">
          <x14:formula1>
            <xm:f>BundlingCompatabilityData!B58:B67</xm:f>
          </x14:formula1>
          <xm:sqref>G321</xm:sqref>
        </x14:dataValidation>
        <x14:dataValidation type="list" allowBlank="1" showInputMessage="1" showErrorMessage="1" xr:uid="{66B35ECB-9FDC-498B-82EA-2C6FF1646493}">
          <x14:formula1>
            <xm:f>BundlingCompatabilityData!B58:B67</xm:f>
          </x14:formula1>
          <xm:sqref>G322</xm:sqref>
        </x14:dataValidation>
        <x14:dataValidation type="list" allowBlank="1" showInputMessage="1" showErrorMessage="1" xr:uid="{3061977C-7094-4DC5-A54C-8EAE7F9C0F2B}">
          <x14:formula1>
            <xm:f>BundlingCompatabilityData!B58:B67</xm:f>
          </x14:formula1>
          <xm:sqref>G323</xm:sqref>
        </x14:dataValidation>
        <x14:dataValidation type="list" allowBlank="1" showInputMessage="1" showErrorMessage="1" xr:uid="{76C8E4E8-F158-40CE-A145-D13123B336A5}">
          <x14:formula1>
            <xm:f>BundlingCompatabilityData!B58:B67</xm:f>
          </x14:formula1>
          <xm:sqref>G324</xm:sqref>
        </x14:dataValidation>
        <x14:dataValidation type="list" allowBlank="1" showInputMessage="1" showErrorMessage="1" xr:uid="{F1EA3D03-0AA3-40CE-BE38-CACB0679632A}">
          <x14:formula1>
            <xm:f>BundlingCompatabilityData!B58:B67</xm:f>
          </x14:formula1>
          <xm:sqref>G325</xm:sqref>
        </x14:dataValidation>
        <x14:dataValidation type="list" allowBlank="1" showInputMessage="1" showErrorMessage="1" xr:uid="{25853855-9E97-4038-9E92-60C60F98E39B}">
          <x14:formula1>
            <xm:f>BundlingCompatabilityData!B58:B67</xm:f>
          </x14:formula1>
          <xm:sqref>G326</xm:sqref>
        </x14:dataValidation>
        <x14:dataValidation type="list" allowBlank="1" showInputMessage="1" showErrorMessage="1" xr:uid="{35724294-82DB-4387-B304-4F97AEA3137D}">
          <x14:formula1>
            <xm:f>BundlingCompatabilityData!B58:B67</xm:f>
          </x14:formula1>
          <xm:sqref>G327</xm:sqref>
        </x14:dataValidation>
        <x14:dataValidation type="list" allowBlank="1" showInputMessage="1" showErrorMessage="1" xr:uid="{41E131BA-532D-41B6-9750-09CF66F3D530}">
          <x14:formula1>
            <xm:f>BundlingCompatabilityData!B58:B67</xm:f>
          </x14:formula1>
          <xm:sqref>G328</xm:sqref>
        </x14:dataValidation>
        <x14:dataValidation type="list" allowBlank="1" showInputMessage="1" showErrorMessage="1" xr:uid="{6F15B89F-351D-4533-8C94-200D286B1501}">
          <x14:formula1>
            <xm:f>BundlingCompatabilityData!B58:B67</xm:f>
          </x14:formula1>
          <xm:sqref>G329</xm:sqref>
        </x14:dataValidation>
        <x14:dataValidation type="list" allowBlank="1" showInputMessage="1" showErrorMessage="1" xr:uid="{A2296089-DE60-478E-8C25-2008C2F07C10}">
          <x14:formula1>
            <xm:f>BundlingCompatabilityData!B58:B67</xm:f>
          </x14:formula1>
          <xm:sqref>G330</xm:sqref>
        </x14:dataValidation>
        <x14:dataValidation type="list" allowBlank="1" showInputMessage="1" showErrorMessage="1" xr:uid="{FDE7153F-C1FD-4082-B64F-D25245695EEB}">
          <x14:formula1>
            <xm:f>BundlingCompatabilityData!B58:B67</xm:f>
          </x14:formula1>
          <xm:sqref>G331</xm:sqref>
        </x14:dataValidation>
        <x14:dataValidation type="list" allowBlank="1" showInputMessage="1" showErrorMessage="1" xr:uid="{511735CF-AAE8-4490-AC17-50C06E55CE7E}">
          <x14:formula1>
            <xm:f>BundlingCompatabilityData!B58:B67</xm:f>
          </x14:formula1>
          <xm:sqref>G332</xm:sqref>
        </x14:dataValidation>
        <x14:dataValidation type="list" allowBlank="1" showInputMessage="1" showErrorMessage="1" xr:uid="{CF69CCC3-69A7-4A4A-97F9-E24020E43C1C}">
          <x14:formula1>
            <xm:f>BundlingCompatabilityData!B58:B67</xm:f>
          </x14:formula1>
          <xm:sqref>G333</xm:sqref>
        </x14:dataValidation>
        <x14:dataValidation type="list" allowBlank="1" showInputMessage="1" showErrorMessage="1" xr:uid="{28C20186-1DC9-4A4D-B66B-79AC7BEB33E0}">
          <x14:formula1>
            <xm:f>BundlingCompatabilityData!B58:B67</xm:f>
          </x14:formula1>
          <xm:sqref>G334</xm:sqref>
        </x14:dataValidation>
        <x14:dataValidation type="list" allowBlank="1" showInputMessage="1" showErrorMessage="1" xr:uid="{3ED26787-AF8B-4DF3-8939-A4515D9125E2}">
          <x14:formula1>
            <xm:f>BundlingCompatabilityData!B58:B67</xm:f>
          </x14:formula1>
          <xm:sqref>G335</xm:sqref>
        </x14:dataValidation>
        <x14:dataValidation type="list" allowBlank="1" showInputMessage="1" showErrorMessage="1" xr:uid="{8DF3CDB9-67BD-4E0C-9563-A0DBEA3EADDA}">
          <x14:formula1>
            <xm:f>BundlingCompatabilityData!B58:B67</xm:f>
          </x14:formula1>
          <xm:sqref>G336</xm:sqref>
        </x14:dataValidation>
        <x14:dataValidation type="list" allowBlank="1" showInputMessage="1" showErrorMessage="1" xr:uid="{15F27C76-C4E6-4941-B296-C8040E8FCFDB}">
          <x14:formula1>
            <xm:f>BundlingCompatabilityData!B58:B67</xm:f>
          </x14:formula1>
          <xm:sqref>G337</xm:sqref>
        </x14:dataValidation>
        <x14:dataValidation type="list" allowBlank="1" showInputMessage="1" showErrorMessage="1" xr:uid="{DAFF6E6F-E061-4550-9C7F-1445E3DCD700}">
          <x14:formula1>
            <xm:f>BundlingCompatabilityData!B58:B67</xm:f>
          </x14:formula1>
          <xm:sqref>G338</xm:sqref>
        </x14:dataValidation>
        <x14:dataValidation type="list" allowBlank="1" showInputMessage="1" showErrorMessage="1" xr:uid="{84A872F0-80AE-4F58-8400-A951587891B0}">
          <x14:formula1>
            <xm:f>BundlingCompatabilityData!B58:B67</xm:f>
          </x14:formula1>
          <xm:sqref>G339</xm:sqref>
        </x14:dataValidation>
        <x14:dataValidation type="list" allowBlank="1" showInputMessage="1" showErrorMessage="1" xr:uid="{4197600E-1E83-44D5-86BB-2AB70927F387}">
          <x14:formula1>
            <xm:f>BundlingCompatabilityData!B58:B67</xm:f>
          </x14:formula1>
          <xm:sqref>G340</xm:sqref>
        </x14:dataValidation>
        <x14:dataValidation type="list" allowBlank="1" showInputMessage="1" showErrorMessage="1" xr:uid="{C373940D-74DC-486A-82C9-7B5E284271DB}">
          <x14:formula1>
            <xm:f>BundlingCompatabilityData!B58:B67</xm:f>
          </x14:formula1>
          <xm:sqref>G341</xm:sqref>
        </x14:dataValidation>
        <x14:dataValidation type="list" allowBlank="1" showInputMessage="1" showErrorMessage="1" xr:uid="{DCBDC8C2-86BE-45CE-B789-A8D6EAB2AA9A}">
          <x14:formula1>
            <xm:f>BundlingCompatabilityData!B58:B67</xm:f>
          </x14:formula1>
          <xm:sqref>G342</xm:sqref>
        </x14:dataValidation>
        <x14:dataValidation type="list" allowBlank="1" showInputMessage="1" showErrorMessage="1" xr:uid="{1BBDFD1B-A3A8-472F-8428-1101005B9E08}">
          <x14:formula1>
            <xm:f>BundlingCompatabilityData!B58:B67</xm:f>
          </x14:formula1>
          <xm:sqref>G343</xm:sqref>
        </x14:dataValidation>
        <x14:dataValidation type="list" allowBlank="1" showInputMessage="1" showErrorMessage="1" xr:uid="{9B6C44F4-9DEE-4E17-B0EC-38048A0225C9}">
          <x14:formula1>
            <xm:f>BundlingCompatabilityData!B58:B67</xm:f>
          </x14:formula1>
          <xm:sqref>G344</xm:sqref>
        </x14:dataValidation>
        <x14:dataValidation type="list" allowBlank="1" showInputMessage="1" showErrorMessage="1" xr:uid="{6840BA1F-68A1-409A-86E8-D65041BB5139}">
          <x14:formula1>
            <xm:f>BundlingCompatabilityData!B58:B67</xm:f>
          </x14:formula1>
          <xm:sqref>G345</xm:sqref>
        </x14:dataValidation>
        <x14:dataValidation type="list" allowBlank="1" showInputMessage="1" showErrorMessage="1" xr:uid="{7C6E69EF-6CCA-4769-8B01-BC0BE98B2462}">
          <x14:formula1>
            <xm:f>BundlingCompatabilityData!B58:B67</xm:f>
          </x14:formula1>
          <xm:sqref>G346</xm:sqref>
        </x14:dataValidation>
        <x14:dataValidation type="list" allowBlank="1" showInputMessage="1" showErrorMessage="1" xr:uid="{EF6B5D82-0737-4400-A905-E87E89E76316}">
          <x14:formula1>
            <xm:f>BundlingCompatabilityData!B58:B67</xm:f>
          </x14:formula1>
          <xm:sqref>G347</xm:sqref>
        </x14:dataValidation>
        <x14:dataValidation type="list" allowBlank="1" showInputMessage="1" showErrorMessage="1" xr:uid="{5C6D6365-3A7D-4516-B93E-80748DB6A852}">
          <x14:formula1>
            <xm:f>BundlingCompatabilityData!B58:B67</xm:f>
          </x14:formula1>
          <xm:sqref>G348</xm:sqref>
        </x14:dataValidation>
        <x14:dataValidation type="list" allowBlank="1" showInputMessage="1" showErrorMessage="1" xr:uid="{EB370418-8EDC-447C-84B2-7DC669C24D39}">
          <x14:formula1>
            <xm:f>BundlingCompatabilityData!B58:B67</xm:f>
          </x14:formula1>
          <xm:sqref>G349</xm:sqref>
        </x14:dataValidation>
        <x14:dataValidation type="list" allowBlank="1" showInputMessage="1" showErrorMessage="1" xr:uid="{ED46299F-8978-40C8-A618-82D250EB4E79}">
          <x14:formula1>
            <xm:f>BundlingCompatabilityData!B58:B67</xm:f>
          </x14:formula1>
          <xm:sqref>G350</xm:sqref>
        </x14:dataValidation>
        <x14:dataValidation type="list" allowBlank="1" showInputMessage="1" showErrorMessage="1" xr:uid="{BDD4C23B-4513-41F3-9445-BD36E6691B88}">
          <x14:formula1>
            <xm:f>BundlingCompatabilityData!B58:B67</xm:f>
          </x14:formula1>
          <xm:sqref>G351</xm:sqref>
        </x14:dataValidation>
        <x14:dataValidation type="list" allowBlank="1" showInputMessage="1" showErrorMessage="1" xr:uid="{9F63BDA2-CA8F-4611-A5D0-108308717C6C}">
          <x14:formula1>
            <xm:f>BundlingCompatabilityData!B58:B67</xm:f>
          </x14:formula1>
          <xm:sqref>G352</xm:sqref>
        </x14:dataValidation>
        <x14:dataValidation type="list" allowBlank="1" showInputMessage="1" showErrorMessage="1" xr:uid="{98118BBC-5896-4F11-84DF-94FDEA409293}">
          <x14:formula1>
            <xm:f>BundlingCompatabilityData!B58:B67</xm:f>
          </x14:formula1>
          <xm:sqref>G353</xm:sqref>
        </x14:dataValidation>
        <x14:dataValidation type="list" allowBlank="1" showInputMessage="1" showErrorMessage="1" xr:uid="{EEAE47FD-5582-4F41-A7B1-8A5DF0779621}">
          <x14:formula1>
            <xm:f>BundlingCompatabilityData!B58:B67</xm:f>
          </x14:formula1>
          <xm:sqref>G354</xm:sqref>
        </x14:dataValidation>
        <x14:dataValidation type="list" allowBlank="1" showInputMessage="1" showErrorMessage="1" xr:uid="{20A11B94-6CFF-46F4-90C7-8E8386FA272C}">
          <x14:formula1>
            <xm:f>BundlingCompatabilityData!B58:B67</xm:f>
          </x14:formula1>
          <xm:sqref>G355</xm:sqref>
        </x14:dataValidation>
        <x14:dataValidation type="list" allowBlank="1" showInputMessage="1" showErrorMessage="1" xr:uid="{30198F58-92E6-4C62-9E4C-20BAB08EEA9A}">
          <x14:formula1>
            <xm:f>BundlingCompatabilityData!B58:B67</xm:f>
          </x14:formula1>
          <xm:sqref>G356</xm:sqref>
        </x14:dataValidation>
        <x14:dataValidation type="list" allowBlank="1" showInputMessage="1" showErrorMessage="1" xr:uid="{6FA50E45-468A-413B-914B-539A8DDA412F}">
          <x14:formula1>
            <xm:f>BundlingCompatabilityData!B58:B67</xm:f>
          </x14:formula1>
          <xm:sqref>G357</xm:sqref>
        </x14:dataValidation>
        <x14:dataValidation type="list" allowBlank="1" showInputMessage="1" showErrorMessage="1" xr:uid="{278D1427-8419-410C-A124-EA42C8118F6B}">
          <x14:formula1>
            <xm:f>BundlingCompatabilityData!B58:B67</xm:f>
          </x14:formula1>
          <xm:sqref>G358</xm:sqref>
        </x14:dataValidation>
        <x14:dataValidation type="list" allowBlank="1" showInputMessage="1" showErrorMessage="1" xr:uid="{4F1FFE1D-BCA7-4BCF-B04A-1748D3EB2A39}">
          <x14:formula1>
            <xm:f>BundlingCompatabilityData!B58:B67</xm:f>
          </x14:formula1>
          <xm:sqref>G359</xm:sqref>
        </x14:dataValidation>
        <x14:dataValidation type="list" allowBlank="1" showInputMessage="1" showErrorMessage="1" xr:uid="{A399C5BA-4720-4D97-8552-C790117AE541}">
          <x14:formula1>
            <xm:f>BundlingCompatabilityData!B58:B67</xm:f>
          </x14:formula1>
          <xm:sqref>G360</xm:sqref>
        </x14:dataValidation>
        <x14:dataValidation type="list" allowBlank="1" showInputMessage="1" showErrorMessage="1" xr:uid="{8A6BE6D0-7181-4CA7-BAC0-BBA4F6A4FD78}">
          <x14:formula1>
            <xm:f>BundlingCompatabilityData!B58:B67</xm:f>
          </x14:formula1>
          <xm:sqref>G361</xm:sqref>
        </x14:dataValidation>
        <x14:dataValidation type="list" allowBlank="1" showInputMessage="1" showErrorMessage="1" xr:uid="{C60D0637-DAE9-4D4E-B640-45837585DCBA}">
          <x14:formula1>
            <xm:f>BundlingCompatabilityData!B58:B67</xm:f>
          </x14:formula1>
          <xm:sqref>G362</xm:sqref>
        </x14:dataValidation>
        <x14:dataValidation type="list" allowBlank="1" showInputMessage="1" showErrorMessage="1" xr:uid="{4ADCD96B-79E0-47D5-A93D-4B866B7A6FF1}">
          <x14:formula1>
            <xm:f>BundlingCompatabilityData!B58:B67</xm:f>
          </x14:formula1>
          <xm:sqref>G363</xm:sqref>
        </x14:dataValidation>
        <x14:dataValidation type="list" allowBlank="1" showInputMessage="1" showErrorMessage="1" xr:uid="{E4FC1ECD-A36F-4FBA-BBE0-A752071EFD7A}">
          <x14:formula1>
            <xm:f>BundlingCompatabilityData!B58:B67</xm:f>
          </x14:formula1>
          <xm:sqref>G364</xm:sqref>
        </x14:dataValidation>
        <x14:dataValidation type="list" allowBlank="1" showInputMessage="1" showErrorMessage="1" xr:uid="{40A5B20D-7C54-4200-BACF-7F6984A806B3}">
          <x14:formula1>
            <xm:f>BundlingCompatabilityData!B58:B67</xm:f>
          </x14:formula1>
          <xm:sqref>G365</xm:sqref>
        </x14:dataValidation>
        <x14:dataValidation type="list" allowBlank="1" showInputMessage="1" showErrorMessage="1" xr:uid="{43D7C289-DF40-48B9-BD83-2C613EBCA8ED}">
          <x14:formula1>
            <xm:f>BundlingCompatabilityData!B58:B67</xm:f>
          </x14:formula1>
          <xm:sqref>G366</xm:sqref>
        </x14:dataValidation>
        <x14:dataValidation type="list" allowBlank="1" showInputMessage="1" showErrorMessage="1" xr:uid="{DB761425-6A51-4117-BF16-5B6BEFE4C9F8}">
          <x14:formula1>
            <xm:f>BundlingCompatabilityData!B58:B67</xm:f>
          </x14:formula1>
          <xm:sqref>G367</xm:sqref>
        </x14:dataValidation>
        <x14:dataValidation type="list" allowBlank="1" showInputMessage="1" showErrorMessage="1" xr:uid="{66230349-829F-4C18-90FD-B5A4ADA54B1A}">
          <x14:formula1>
            <xm:f>BundlingCompatabilityData!B58:B67</xm:f>
          </x14:formula1>
          <xm:sqref>G368</xm:sqref>
        </x14:dataValidation>
        <x14:dataValidation type="list" allowBlank="1" showInputMessage="1" showErrorMessage="1" xr:uid="{5A494022-7177-41E1-8B30-6E63FC7F29F4}">
          <x14:formula1>
            <xm:f>BundlingCompatabilityData!B58:B67</xm:f>
          </x14:formula1>
          <xm:sqref>G369</xm:sqref>
        </x14:dataValidation>
        <x14:dataValidation type="list" allowBlank="1" showInputMessage="1" showErrorMessage="1" xr:uid="{BF3A8624-633A-4E44-B695-C5BA7D615CD2}">
          <x14:formula1>
            <xm:f>BundlingCompatabilityData!B58:B67</xm:f>
          </x14:formula1>
          <xm:sqref>G370</xm:sqref>
        </x14:dataValidation>
        <x14:dataValidation type="list" allowBlank="1" showInputMessage="1" showErrorMessage="1" xr:uid="{B5AE0FD6-7C18-4FF3-B20C-88AFF7AA35A8}">
          <x14:formula1>
            <xm:f>BundlingCompatabilityData!B58:B67</xm:f>
          </x14:formula1>
          <xm:sqref>G371</xm:sqref>
        </x14:dataValidation>
        <x14:dataValidation type="list" allowBlank="1" showInputMessage="1" showErrorMessage="1" xr:uid="{112F92F8-014F-4DC2-8642-FE40DA4D807E}">
          <x14:formula1>
            <xm:f>BundlingCompatabilityData!B58:B67</xm:f>
          </x14:formula1>
          <xm:sqref>G372</xm:sqref>
        </x14:dataValidation>
        <x14:dataValidation type="list" allowBlank="1" showInputMessage="1" showErrorMessage="1" xr:uid="{5428E865-7733-4E0A-A934-A740CB408FCF}">
          <x14:formula1>
            <xm:f>BundlingCompatabilityData!B58:B67</xm:f>
          </x14:formula1>
          <xm:sqref>G373</xm:sqref>
        </x14:dataValidation>
        <x14:dataValidation type="list" allowBlank="1" showInputMessage="1" showErrorMessage="1" xr:uid="{4984D4AD-999F-4C4C-8706-50CE3F5D7F0A}">
          <x14:formula1>
            <xm:f>BundlingCompatabilityData!B58:B67</xm:f>
          </x14:formula1>
          <xm:sqref>G374</xm:sqref>
        </x14:dataValidation>
        <x14:dataValidation type="list" allowBlank="1" showInputMessage="1" showErrorMessage="1" xr:uid="{3FA7B7BF-B5EB-40DD-AF45-40239339C9CB}">
          <x14:formula1>
            <xm:f>BundlingCompatabilityData!B58:B67</xm:f>
          </x14:formula1>
          <xm:sqref>G375</xm:sqref>
        </x14:dataValidation>
        <x14:dataValidation type="list" allowBlank="1" showInputMessage="1" showErrorMessage="1" xr:uid="{ABF208FB-457E-44EC-BB30-C17ED628E558}">
          <x14:formula1>
            <xm:f>BundlingCompatabilityData!B58:B67</xm:f>
          </x14:formula1>
          <xm:sqref>G376</xm:sqref>
        </x14:dataValidation>
        <x14:dataValidation type="list" allowBlank="1" showInputMessage="1" showErrorMessage="1" xr:uid="{3EC33A1F-9EF3-4ED0-B011-6DA3F5D1493E}">
          <x14:formula1>
            <xm:f>BundlingCompatabilityData!B58:B67</xm:f>
          </x14:formula1>
          <xm:sqref>G377</xm:sqref>
        </x14:dataValidation>
        <x14:dataValidation type="list" allowBlank="1" showInputMessage="1" showErrorMessage="1" xr:uid="{367EB9E7-0CCC-4A31-B8B0-FC7EE92F9030}">
          <x14:formula1>
            <xm:f>BundlingCompatabilityData!B58:B67</xm:f>
          </x14:formula1>
          <xm:sqref>G378</xm:sqref>
        </x14:dataValidation>
        <x14:dataValidation type="list" allowBlank="1" showInputMessage="1" showErrorMessage="1" xr:uid="{D8CD9E69-CB72-4922-BD03-373CAFF0E5FF}">
          <x14:formula1>
            <xm:f>BundlingCompatabilityData!B58:B67</xm:f>
          </x14:formula1>
          <xm:sqref>G379</xm:sqref>
        </x14:dataValidation>
        <x14:dataValidation type="list" allowBlank="1" showInputMessage="1" showErrorMessage="1" xr:uid="{BBC282F3-D9AF-4B52-A85B-6D61C3363AB6}">
          <x14:formula1>
            <xm:f>BundlingCompatabilityData!B58:B67</xm:f>
          </x14:formula1>
          <xm:sqref>G380</xm:sqref>
        </x14:dataValidation>
        <x14:dataValidation type="list" allowBlank="1" showInputMessage="1" showErrorMessage="1" xr:uid="{1079C92F-7BD9-46D0-A0AC-7DB9F15C89C8}">
          <x14:formula1>
            <xm:f>BundlingCompatabilityData!B58:B67</xm:f>
          </x14:formula1>
          <xm:sqref>G381</xm:sqref>
        </x14:dataValidation>
        <x14:dataValidation type="list" allowBlank="1" showInputMessage="1" showErrorMessage="1" xr:uid="{B94EB659-F415-47D3-AC67-B94C1D9BAD1A}">
          <x14:formula1>
            <xm:f>BundlingCompatabilityData!B58:B67</xm:f>
          </x14:formula1>
          <xm:sqref>G382</xm:sqref>
        </x14:dataValidation>
        <x14:dataValidation type="list" allowBlank="1" showInputMessage="1" showErrorMessage="1" xr:uid="{39C91F7F-A088-41E6-BB7F-882719C7839B}">
          <x14:formula1>
            <xm:f>BundlingCompatabilityData!B58:B67</xm:f>
          </x14:formula1>
          <xm:sqref>G383</xm:sqref>
        </x14:dataValidation>
        <x14:dataValidation type="list" allowBlank="1" showInputMessage="1" showErrorMessage="1" xr:uid="{B87299BE-34E8-4BDB-91DB-2EF5FCFC475F}">
          <x14:formula1>
            <xm:f>BundlingCompatabilityData!B58:B67</xm:f>
          </x14:formula1>
          <xm:sqref>G384</xm:sqref>
        </x14:dataValidation>
        <x14:dataValidation type="list" allowBlank="1" showInputMessage="1" showErrorMessage="1" xr:uid="{86CC8671-2D47-43DC-A238-91E1DA97D066}">
          <x14:formula1>
            <xm:f>BundlingCompatabilityData!B58:B67</xm:f>
          </x14:formula1>
          <xm:sqref>G385</xm:sqref>
        </x14:dataValidation>
        <x14:dataValidation type="list" allowBlank="1" showInputMessage="1" showErrorMessage="1" xr:uid="{588A24C0-1D53-4B37-A425-3143D5AB2413}">
          <x14:formula1>
            <xm:f>BundlingCompatabilityData!B58:B67</xm:f>
          </x14:formula1>
          <xm:sqref>G386</xm:sqref>
        </x14:dataValidation>
        <x14:dataValidation type="list" allowBlank="1" showInputMessage="1" showErrorMessage="1" xr:uid="{5A9A3979-DECD-4816-A818-C8F5B3ACE177}">
          <x14:formula1>
            <xm:f>BundlingCompatabilityData!B58:B67</xm:f>
          </x14:formula1>
          <xm:sqref>G387</xm:sqref>
        </x14:dataValidation>
        <x14:dataValidation type="list" allowBlank="1" showInputMessage="1" showErrorMessage="1" xr:uid="{BA238582-7694-4462-9B18-0C5982E76346}">
          <x14:formula1>
            <xm:f>BundlingCompatabilityData!B58:B67</xm:f>
          </x14:formula1>
          <xm:sqref>G388</xm:sqref>
        </x14:dataValidation>
        <x14:dataValidation type="list" allowBlank="1" showInputMessage="1" showErrorMessage="1" xr:uid="{E552C284-9A99-4002-BF07-5B9AD01A9856}">
          <x14:formula1>
            <xm:f>BundlingCompatabilityData!B58:B67</xm:f>
          </x14:formula1>
          <xm:sqref>G389</xm:sqref>
        </x14:dataValidation>
        <x14:dataValidation type="list" allowBlank="1" showInputMessage="1" showErrorMessage="1" xr:uid="{FB10890A-7AF7-4BD7-980B-6C8715AC1686}">
          <x14:formula1>
            <xm:f>BundlingCompatabilityData!B58:B67</xm:f>
          </x14:formula1>
          <xm:sqref>G390</xm:sqref>
        </x14:dataValidation>
        <x14:dataValidation type="list" allowBlank="1" showInputMessage="1" showErrorMessage="1" xr:uid="{929BEB5A-A0D8-43F4-B703-118F107B4BE3}">
          <x14:formula1>
            <xm:f>BundlingCompatabilityData!B58:B67</xm:f>
          </x14:formula1>
          <xm:sqref>G391</xm:sqref>
        </x14:dataValidation>
        <x14:dataValidation type="list" allowBlank="1" showInputMessage="1" showErrorMessage="1" xr:uid="{C3F7F3A3-70FE-431F-B244-2CB6EEB2802F}">
          <x14:formula1>
            <xm:f>BundlingCompatabilityData!B58:B67</xm:f>
          </x14:formula1>
          <xm:sqref>G392</xm:sqref>
        </x14:dataValidation>
        <x14:dataValidation type="list" allowBlank="1" showInputMessage="1" showErrorMessage="1" xr:uid="{E8B45BB0-E7C0-4793-85E3-4474DE74D8D1}">
          <x14:formula1>
            <xm:f>BundlingCompatabilityData!B58:B67</xm:f>
          </x14:formula1>
          <xm:sqref>G393</xm:sqref>
        </x14:dataValidation>
        <x14:dataValidation type="list" allowBlank="1" showInputMessage="1" showErrorMessage="1" xr:uid="{D78F9108-500B-4280-A618-C975B6E550AA}">
          <x14:formula1>
            <xm:f>BundlingCompatabilityData!B58:B67</xm:f>
          </x14:formula1>
          <xm:sqref>G394</xm:sqref>
        </x14:dataValidation>
        <x14:dataValidation type="list" allowBlank="1" showInputMessage="1" showErrorMessage="1" xr:uid="{1FEC0C32-D590-40A7-9B08-DB7E95DDA89A}">
          <x14:formula1>
            <xm:f>BundlingCompatabilityData!B58:B67</xm:f>
          </x14:formula1>
          <xm:sqref>G395</xm:sqref>
        </x14:dataValidation>
        <x14:dataValidation type="list" allowBlank="1" showInputMessage="1" showErrorMessage="1" xr:uid="{763E8459-6DC6-4C07-BBC6-1D5FD5A48E2D}">
          <x14:formula1>
            <xm:f>BundlingCompatabilityData!B58:B67</xm:f>
          </x14:formula1>
          <xm:sqref>G396</xm:sqref>
        </x14:dataValidation>
        <x14:dataValidation type="list" allowBlank="1" showInputMessage="1" showErrorMessage="1" xr:uid="{1F91AF3A-414C-4B4F-95B1-DE5D964912D2}">
          <x14:formula1>
            <xm:f>BundlingCompatabilityData!B58:B67</xm:f>
          </x14:formula1>
          <xm:sqref>G397</xm:sqref>
        </x14:dataValidation>
        <x14:dataValidation type="list" allowBlank="1" showInputMessage="1" showErrorMessage="1" xr:uid="{5860FB4D-7729-411D-8B98-6B44008D24CA}">
          <x14:formula1>
            <xm:f>BundlingCompatabilityData!B58:B67</xm:f>
          </x14:formula1>
          <xm:sqref>G398</xm:sqref>
        </x14:dataValidation>
        <x14:dataValidation type="list" allowBlank="1" showInputMessage="1" showErrorMessage="1" xr:uid="{0268724B-BD21-4A37-BDBA-EEA2A66995BE}">
          <x14:formula1>
            <xm:f>BundlingCompatabilityData!B58:B67</xm:f>
          </x14:formula1>
          <xm:sqref>G399</xm:sqref>
        </x14:dataValidation>
        <x14:dataValidation type="list" allowBlank="1" showInputMessage="1" showErrorMessage="1" xr:uid="{A1214E02-C58C-4DEE-ABB5-DBD5B0442963}">
          <x14:formula1>
            <xm:f>BundlingCompatabilityData!B58:B67</xm:f>
          </x14:formula1>
          <xm:sqref>G400</xm:sqref>
        </x14:dataValidation>
        <x14:dataValidation type="list" allowBlank="1" showInputMessage="1" showErrorMessage="1" xr:uid="{CCBFAAD7-4527-4547-991A-8BE2E58D8335}">
          <x14:formula1>
            <xm:f>BundlingCompatabilityData!B58:B67</xm:f>
          </x14:formula1>
          <xm:sqref>G401</xm:sqref>
        </x14:dataValidation>
        <x14:dataValidation type="list" allowBlank="1" showInputMessage="1" showErrorMessage="1" xr:uid="{ED62E3EC-6683-4F90-9367-4CB86DA66E76}">
          <x14:formula1>
            <xm:f>BundlingCompatabilityData!B58:B67</xm:f>
          </x14:formula1>
          <xm:sqref>G402</xm:sqref>
        </x14:dataValidation>
        <x14:dataValidation type="list" allowBlank="1" showInputMessage="1" showErrorMessage="1" xr:uid="{435A12E9-391B-4EC5-A3A3-821B6C91035F}">
          <x14:formula1>
            <xm:f>BundlingCompatabilityData!B58:B67</xm:f>
          </x14:formula1>
          <xm:sqref>G403</xm:sqref>
        </x14:dataValidation>
        <x14:dataValidation type="list" allowBlank="1" showInputMessage="1" showErrorMessage="1" xr:uid="{827749C8-E12F-4617-98EB-5DDCFFB38B4C}">
          <x14:formula1>
            <xm:f>BundlingCompatabilityData!B58:B67</xm:f>
          </x14:formula1>
          <xm:sqref>G404</xm:sqref>
        </x14:dataValidation>
        <x14:dataValidation type="list" allowBlank="1" showInputMessage="1" showErrorMessage="1" xr:uid="{20A51FB3-8F65-48B8-94D1-8CA62D17E503}">
          <x14:formula1>
            <xm:f>BundlingCompatabilityData!B58:B67</xm:f>
          </x14:formula1>
          <xm:sqref>G405</xm:sqref>
        </x14:dataValidation>
        <x14:dataValidation type="list" allowBlank="1" showInputMessage="1" showErrorMessage="1" xr:uid="{4C64FAF6-A83F-43E1-911A-C4185B4D3927}">
          <x14:formula1>
            <xm:f>BundlingCompatabilityData!B58:B67</xm:f>
          </x14:formula1>
          <xm:sqref>G406</xm:sqref>
        </x14:dataValidation>
        <x14:dataValidation type="list" allowBlank="1" showInputMessage="1" showErrorMessage="1" xr:uid="{518EADF2-AD1B-41E2-A4D1-695507D12A73}">
          <x14:formula1>
            <xm:f>BundlingCompatabilityData!B58:B67</xm:f>
          </x14:formula1>
          <xm:sqref>G407</xm:sqref>
        </x14:dataValidation>
        <x14:dataValidation type="list" allowBlank="1" showInputMessage="1" showErrorMessage="1" xr:uid="{1E1C7760-1D9C-4ECF-A444-1E0EB055D437}">
          <x14:formula1>
            <xm:f>BundlingCompatabilityData!B58:B67</xm:f>
          </x14:formula1>
          <xm:sqref>G408</xm:sqref>
        </x14:dataValidation>
        <x14:dataValidation type="list" allowBlank="1" showInputMessage="1" showErrorMessage="1" xr:uid="{4BE6BF5E-EA00-4E2B-8444-99A1DDE563F8}">
          <x14:formula1>
            <xm:f>BundlingCompatabilityData!B58:B67</xm:f>
          </x14:formula1>
          <xm:sqref>G409</xm:sqref>
        </x14:dataValidation>
        <x14:dataValidation type="list" allowBlank="1" showInputMessage="1" showErrorMessage="1" xr:uid="{47D44382-F1E5-4B37-BE0C-5D04A94F0B2D}">
          <x14:formula1>
            <xm:f>BundlingCompatabilityData!B58:B67</xm:f>
          </x14:formula1>
          <xm:sqref>G410</xm:sqref>
        </x14:dataValidation>
        <x14:dataValidation type="list" allowBlank="1" showInputMessage="1" showErrorMessage="1" xr:uid="{5170602D-203F-4651-B48B-AD0015FBE4A3}">
          <x14:formula1>
            <xm:f>BundlingCompatabilityData!B58:B67</xm:f>
          </x14:formula1>
          <xm:sqref>G411</xm:sqref>
        </x14:dataValidation>
        <x14:dataValidation type="list" allowBlank="1" showInputMessage="1" showErrorMessage="1" xr:uid="{05163EEB-1CBF-49EA-A50E-FB9A982C8C29}">
          <x14:formula1>
            <xm:f>BundlingCompatabilityData!B58:B67</xm:f>
          </x14:formula1>
          <xm:sqref>G412</xm:sqref>
        </x14:dataValidation>
        <x14:dataValidation type="list" allowBlank="1" showInputMessage="1" showErrorMessage="1" xr:uid="{33533F48-CB94-49B7-8E21-82B4C184A64D}">
          <x14:formula1>
            <xm:f>BundlingCompatabilityData!B58:B67</xm:f>
          </x14:formula1>
          <xm:sqref>G413</xm:sqref>
        </x14:dataValidation>
        <x14:dataValidation type="list" allowBlank="1" showInputMessage="1" showErrorMessage="1" xr:uid="{35166C6E-5B6B-476B-8809-6B8E68927D2C}">
          <x14:formula1>
            <xm:f>BundlingCompatabilityData!B58:B67</xm:f>
          </x14:formula1>
          <xm:sqref>G414</xm:sqref>
        </x14:dataValidation>
        <x14:dataValidation type="list" allowBlank="1" showInputMessage="1" showErrorMessage="1" xr:uid="{0D58ACF5-42F3-4C1F-A628-809FBD2C242D}">
          <x14:formula1>
            <xm:f>BundlingCompatabilityData!B58:B67</xm:f>
          </x14:formula1>
          <xm:sqref>G415</xm:sqref>
        </x14:dataValidation>
        <x14:dataValidation type="list" allowBlank="1" showInputMessage="1" showErrorMessage="1" xr:uid="{2848995F-F3FB-47E1-83B2-4940B062A489}">
          <x14:formula1>
            <xm:f>BundlingCompatabilityData!B58:B67</xm:f>
          </x14:formula1>
          <xm:sqref>G416</xm:sqref>
        </x14:dataValidation>
        <x14:dataValidation type="list" allowBlank="1" showInputMessage="1" showErrorMessage="1" xr:uid="{5374E871-8D4B-41B0-AD3C-C8ED3BB5A9EA}">
          <x14:formula1>
            <xm:f>BundlingCompatabilityData!B58:B67</xm:f>
          </x14:formula1>
          <xm:sqref>G417</xm:sqref>
        </x14:dataValidation>
        <x14:dataValidation type="list" allowBlank="1" showInputMessage="1" showErrorMessage="1" xr:uid="{9482619F-51AB-4B82-8751-63EE82577966}">
          <x14:formula1>
            <xm:f>BundlingCompatabilityData!B58:B67</xm:f>
          </x14:formula1>
          <xm:sqref>G418</xm:sqref>
        </x14:dataValidation>
        <x14:dataValidation type="list" allowBlank="1" showInputMessage="1" showErrorMessage="1" xr:uid="{23F2A38F-832D-4C67-9A7C-FFD4F07FB31B}">
          <x14:formula1>
            <xm:f>BundlingCompatabilityData!B58:B67</xm:f>
          </x14:formula1>
          <xm:sqref>G419</xm:sqref>
        </x14:dataValidation>
        <x14:dataValidation type="list" allowBlank="1" showInputMessage="1" showErrorMessage="1" xr:uid="{CDDE7921-AAD4-43AE-AFEA-C174BE59396A}">
          <x14:formula1>
            <xm:f>BundlingCompatabilityData!B58:B67</xm:f>
          </x14:formula1>
          <xm:sqref>G420</xm:sqref>
        </x14:dataValidation>
        <x14:dataValidation type="list" allowBlank="1" showInputMessage="1" showErrorMessage="1" xr:uid="{41F015E6-CA74-4432-A4BD-5F86CBF59C11}">
          <x14:formula1>
            <xm:f>BundlingCompatabilityData!B58:B67</xm:f>
          </x14:formula1>
          <xm:sqref>G421</xm:sqref>
        </x14:dataValidation>
        <x14:dataValidation type="list" allowBlank="1" showInputMessage="1" showErrorMessage="1" xr:uid="{AD9BC15F-DAEA-4F7B-B551-919345B9647B}">
          <x14:formula1>
            <xm:f>BundlingCompatabilityData!B58:B67</xm:f>
          </x14:formula1>
          <xm:sqref>G422</xm:sqref>
        </x14:dataValidation>
        <x14:dataValidation type="list" allowBlank="1" showInputMessage="1" showErrorMessage="1" xr:uid="{514A484C-12FC-4A97-BEC8-E8A7FB47EF9D}">
          <x14:formula1>
            <xm:f>BundlingCompatabilityData!B58:B67</xm:f>
          </x14:formula1>
          <xm:sqref>G423</xm:sqref>
        </x14:dataValidation>
        <x14:dataValidation type="list" allowBlank="1" showInputMessage="1" showErrorMessage="1" xr:uid="{EC8B5766-B60C-4163-8ED6-DFEC2A944466}">
          <x14:formula1>
            <xm:f>BundlingCompatabilityData!B58:B67</xm:f>
          </x14:formula1>
          <xm:sqref>G424</xm:sqref>
        </x14:dataValidation>
        <x14:dataValidation type="list" allowBlank="1" showInputMessage="1" showErrorMessage="1" xr:uid="{7071C0B5-2285-4203-9DFC-197D1F4E3348}">
          <x14:formula1>
            <xm:f>BundlingCompatabilityData!B58:B67</xm:f>
          </x14:formula1>
          <xm:sqref>G425</xm:sqref>
        </x14:dataValidation>
        <x14:dataValidation type="list" allowBlank="1" showInputMessage="1" showErrorMessage="1" xr:uid="{F328D63B-B855-4F91-9705-E5608F8B1E0E}">
          <x14:formula1>
            <xm:f>BundlingCompatabilityData!B58:B67</xm:f>
          </x14:formula1>
          <xm:sqref>G426</xm:sqref>
        </x14:dataValidation>
        <x14:dataValidation type="list" allowBlank="1" showInputMessage="1" showErrorMessage="1" xr:uid="{241204EF-D323-46CC-9EF3-31BF252437FE}">
          <x14:formula1>
            <xm:f>BundlingCompatabilityData!B58:B67</xm:f>
          </x14:formula1>
          <xm:sqref>G427</xm:sqref>
        </x14:dataValidation>
        <x14:dataValidation type="list" allowBlank="1" showInputMessage="1" showErrorMessage="1" xr:uid="{879285CA-1B04-4404-85F6-1E01DB7292DD}">
          <x14:formula1>
            <xm:f>BundlingCompatabilityData!B58:B67</xm:f>
          </x14:formula1>
          <xm:sqref>G428</xm:sqref>
        </x14:dataValidation>
        <x14:dataValidation type="list" allowBlank="1" showInputMessage="1" showErrorMessage="1" xr:uid="{6D656116-CF5B-4E1B-9C53-E1DCD174F53D}">
          <x14:formula1>
            <xm:f>BundlingCompatabilityData!B58:B67</xm:f>
          </x14:formula1>
          <xm:sqref>G429</xm:sqref>
        </x14:dataValidation>
        <x14:dataValidation type="list" allowBlank="1" showInputMessage="1" showErrorMessage="1" xr:uid="{2217D2C4-D3C8-4268-ADF3-FC7F8B5B23E9}">
          <x14:formula1>
            <xm:f>BundlingCompatabilityData!B58:B67</xm:f>
          </x14:formula1>
          <xm:sqref>G430</xm:sqref>
        </x14:dataValidation>
        <x14:dataValidation type="list" allowBlank="1" showInputMessage="1" showErrorMessage="1" xr:uid="{9C123508-D808-45F0-B421-28C0E42BE257}">
          <x14:formula1>
            <xm:f>BundlingCompatabilityData!B58:B67</xm:f>
          </x14:formula1>
          <xm:sqref>G431</xm:sqref>
        </x14:dataValidation>
        <x14:dataValidation type="list" allowBlank="1" showInputMessage="1" showErrorMessage="1" xr:uid="{D56D5F93-4D77-4DE1-90F9-B3BBD77169C8}">
          <x14:formula1>
            <xm:f>BundlingCompatabilityData!B58:B67</xm:f>
          </x14:formula1>
          <xm:sqref>G432</xm:sqref>
        </x14:dataValidation>
        <x14:dataValidation type="list" allowBlank="1" showInputMessage="1" showErrorMessage="1" xr:uid="{6CF6F3C7-E52E-433A-8AB4-75E83544A09C}">
          <x14:formula1>
            <xm:f>BundlingCompatabilityData!B58:B67</xm:f>
          </x14:formula1>
          <xm:sqref>G433</xm:sqref>
        </x14:dataValidation>
        <x14:dataValidation type="list" allowBlank="1" showInputMessage="1" showErrorMessage="1" xr:uid="{038B1064-6CDD-437D-AA83-24695A4C8DE6}">
          <x14:formula1>
            <xm:f>BundlingCompatabilityData!B58:B67</xm:f>
          </x14:formula1>
          <xm:sqref>G434</xm:sqref>
        </x14:dataValidation>
        <x14:dataValidation type="list" allowBlank="1" showInputMessage="1" showErrorMessage="1" xr:uid="{BAD91399-76F6-4DBB-9283-470E3B119A90}">
          <x14:formula1>
            <xm:f>BundlingCompatabilityData!B58:B67</xm:f>
          </x14:formula1>
          <xm:sqref>G435</xm:sqref>
        </x14:dataValidation>
        <x14:dataValidation type="list" allowBlank="1" showInputMessage="1" showErrorMessage="1" xr:uid="{DD68A1D6-9597-4328-89EB-37432769302B}">
          <x14:formula1>
            <xm:f>BundlingCompatabilityData!B58:B67</xm:f>
          </x14:formula1>
          <xm:sqref>G436</xm:sqref>
        </x14:dataValidation>
        <x14:dataValidation type="list" allowBlank="1" showInputMessage="1" showErrorMessage="1" xr:uid="{E3F1CFF2-2F81-40EF-BCB3-2141BC5D63A8}">
          <x14:formula1>
            <xm:f>BundlingCompatabilityData!B58:B67</xm:f>
          </x14:formula1>
          <xm:sqref>G437</xm:sqref>
        </x14:dataValidation>
        <x14:dataValidation type="list" allowBlank="1" showInputMessage="1" showErrorMessage="1" xr:uid="{F0CBB2AD-568D-47C9-8D25-2FE3C64C7562}">
          <x14:formula1>
            <xm:f>BundlingCompatabilityData!B58:B67</xm:f>
          </x14:formula1>
          <xm:sqref>G438</xm:sqref>
        </x14:dataValidation>
        <x14:dataValidation type="list" allowBlank="1" showInputMessage="1" showErrorMessage="1" xr:uid="{C0565A1C-843E-4C3D-9CFF-75D6BBD24F7D}">
          <x14:formula1>
            <xm:f>BundlingCompatabilityData!B58:B67</xm:f>
          </x14:formula1>
          <xm:sqref>G439</xm:sqref>
        </x14:dataValidation>
        <x14:dataValidation type="list" allowBlank="1" showInputMessage="1" showErrorMessage="1" xr:uid="{F51D9ED2-55A2-4F39-A794-D7B5B576209D}">
          <x14:formula1>
            <xm:f>BundlingCompatabilityData!B58:B67</xm:f>
          </x14:formula1>
          <xm:sqref>G440</xm:sqref>
        </x14:dataValidation>
        <x14:dataValidation type="list" allowBlank="1" showInputMessage="1" showErrorMessage="1" xr:uid="{2841598F-5602-46E5-A42B-F155BA87A74B}">
          <x14:formula1>
            <xm:f>BundlingCompatabilityData!B58:B67</xm:f>
          </x14:formula1>
          <xm:sqref>G441</xm:sqref>
        </x14:dataValidation>
        <x14:dataValidation type="list" allowBlank="1" showInputMessage="1" showErrorMessage="1" xr:uid="{BDEA555F-0D33-4B35-A17E-38934A71B88E}">
          <x14:formula1>
            <xm:f>BundlingCompatabilityData!B58:B67</xm:f>
          </x14:formula1>
          <xm:sqref>G442</xm:sqref>
        </x14:dataValidation>
        <x14:dataValidation type="list" allowBlank="1" showInputMessage="1" showErrorMessage="1" xr:uid="{5EEB95F9-D028-48B8-82F4-D8AB4937BAD3}">
          <x14:formula1>
            <xm:f>BundlingCompatabilityData!B58:B67</xm:f>
          </x14:formula1>
          <xm:sqref>G443</xm:sqref>
        </x14:dataValidation>
        <x14:dataValidation type="list" allowBlank="1" showInputMessage="1" showErrorMessage="1" xr:uid="{5C7B3090-AE7A-4C42-A530-68D1DA84479B}">
          <x14:formula1>
            <xm:f>BundlingCompatabilityData!B58:B67</xm:f>
          </x14:formula1>
          <xm:sqref>G444</xm:sqref>
        </x14:dataValidation>
        <x14:dataValidation type="list" allowBlank="1" showInputMessage="1" showErrorMessage="1" xr:uid="{1D42BBEF-01B4-4C3B-9BAC-93C24BEC57BA}">
          <x14:formula1>
            <xm:f>BundlingCompatabilityData!B58:B67</xm:f>
          </x14:formula1>
          <xm:sqref>G445</xm:sqref>
        </x14:dataValidation>
        <x14:dataValidation type="list" allowBlank="1" showInputMessage="1" showErrorMessage="1" xr:uid="{22D8F9B2-3CCD-49D5-999E-6BFF45C2BD84}">
          <x14:formula1>
            <xm:f>BundlingCompatabilityData!B58:B67</xm:f>
          </x14:formula1>
          <xm:sqref>G446</xm:sqref>
        </x14:dataValidation>
        <x14:dataValidation type="list" allowBlank="1" showInputMessage="1" showErrorMessage="1" xr:uid="{9972E5B7-9221-404C-9E25-B07CB56B222A}">
          <x14:formula1>
            <xm:f>BundlingCompatabilityData!B58:B67</xm:f>
          </x14:formula1>
          <xm:sqref>G447</xm:sqref>
        </x14:dataValidation>
        <x14:dataValidation type="list" allowBlank="1" showInputMessage="1" showErrorMessage="1" xr:uid="{E103019A-2435-4AB4-9ABC-5527175BD89B}">
          <x14:formula1>
            <xm:f>BundlingCompatabilityData!B58:B67</xm:f>
          </x14:formula1>
          <xm:sqref>G448</xm:sqref>
        </x14:dataValidation>
        <x14:dataValidation type="list" allowBlank="1" showInputMessage="1" showErrorMessage="1" xr:uid="{63B1F377-E817-433B-9985-62937A48CA42}">
          <x14:formula1>
            <xm:f>BundlingCompatabilityData!B58:B67</xm:f>
          </x14:formula1>
          <xm:sqref>G449</xm:sqref>
        </x14:dataValidation>
        <x14:dataValidation type="list" allowBlank="1" showInputMessage="1" showErrorMessage="1" xr:uid="{C1ECC373-4942-47A2-A95B-53B5288FA146}">
          <x14:formula1>
            <xm:f>BundlingCompatabilityData!B58:B67</xm:f>
          </x14:formula1>
          <xm:sqref>G450</xm:sqref>
        </x14:dataValidation>
        <x14:dataValidation type="list" allowBlank="1" showInputMessage="1" showErrorMessage="1" xr:uid="{BE0EE575-C666-4C5C-9978-5CDAE913F53F}">
          <x14:formula1>
            <xm:f>BundlingCompatabilityData!B58:B67</xm:f>
          </x14:formula1>
          <xm:sqref>G451</xm:sqref>
        </x14:dataValidation>
        <x14:dataValidation type="list" allowBlank="1" showInputMessage="1" showErrorMessage="1" xr:uid="{6FBDBBB1-EDF7-4D8E-BD31-DB81ECFB21AD}">
          <x14:formula1>
            <xm:f>BundlingCompatabilityData!B58:B67</xm:f>
          </x14:formula1>
          <xm:sqref>G452</xm:sqref>
        </x14:dataValidation>
        <x14:dataValidation type="list" allowBlank="1" showInputMessage="1" showErrorMessage="1" xr:uid="{FA2445E5-6C0A-416F-B881-43418ED0DB09}">
          <x14:formula1>
            <xm:f>BundlingCompatabilityData!B58:B67</xm:f>
          </x14:formula1>
          <xm:sqref>G453</xm:sqref>
        </x14:dataValidation>
        <x14:dataValidation type="list" allowBlank="1" showInputMessage="1" showErrorMessage="1" xr:uid="{99C3AD66-9A1E-4185-829E-0D9B2335349A}">
          <x14:formula1>
            <xm:f>BundlingCompatabilityData!B58:B67</xm:f>
          </x14:formula1>
          <xm:sqref>G454</xm:sqref>
        </x14:dataValidation>
        <x14:dataValidation type="list" allowBlank="1" showInputMessage="1" showErrorMessage="1" xr:uid="{6158A0B3-FC80-4578-9BCD-C8ED64E6018A}">
          <x14:formula1>
            <xm:f>BundlingCompatabilityData!B58:B67</xm:f>
          </x14:formula1>
          <xm:sqref>G455</xm:sqref>
        </x14:dataValidation>
        <x14:dataValidation type="list" allowBlank="1" showInputMessage="1" showErrorMessage="1" xr:uid="{FD3D9F16-77BA-4646-ABDE-128CE10CDFFF}">
          <x14:formula1>
            <xm:f>BundlingCompatabilityData!B58:B67</xm:f>
          </x14:formula1>
          <xm:sqref>G456</xm:sqref>
        </x14:dataValidation>
        <x14:dataValidation type="list" allowBlank="1" showInputMessage="1" showErrorMessage="1" xr:uid="{7CF043D9-B684-4B1F-B288-C4145A8BDE77}">
          <x14:formula1>
            <xm:f>BundlingCompatabilityData!B58:B67</xm:f>
          </x14:formula1>
          <xm:sqref>G457</xm:sqref>
        </x14:dataValidation>
        <x14:dataValidation type="list" allowBlank="1" showInputMessage="1" showErrorMessage="1" xr:uid="{EA54ED08-9F14-4B2B-AC99-A5979811EA5E}">
          <x14:formula1>
            <xm:f>BundlingCompatabilityData!B58:B67</xm:f>
          </x14:formula1>
          <xm:sqref>G458</xm:sqref>
        </x14:dataValidation>
        <x14:dataValidation type="list" allowBlank="1" showInputMessage="1" showErrorMessage="1" xr:uid="{1F16FA38-942F-4B66-AA4F-B553798EC90E}">
          <x14:formula1>
            <xm:f>BundlingCompatabilityData!B58:B67</xm:f>
          </x14:formula1>
          <xm:sqref>G459</xm:sqref>
        </x14:dataValidation>
        <x14:dataValidation type="list" allowBlank="1" showInputMessage="1" showErrorMessage="1" xr:uid="{CB866D58-1809-4704-98FE-2B8D50592CDB}">
          <x14:formula1>
            <xm:f>BundlingCompatabilityData!B58:B67</xm:f>
          </x14:formula1>
          <xm:sqref>G460</xm:sqref>
        </x14:dataValidation>
        <x14:dataValidation type="list" allowBlank="1" showInputMessage="1" showErrorMessage="1" xr:uid="{0A8F69B9-536E-483E-8E47-4CB4612A2074}">
          <x14:formula1>
            <xm:f>BundlingCompatabilityData!B58:B67</xm:f>
          </x14:formula1>
          <xm:sqref>G461</xm:sqref>
        </x14:dataValidation>
        <x14:dataValidation type="list" allowBlank="1" showInputMessage="1" showErrorMessage="1" xr:uid="{46116922-B6DE-4DCC-AA66-7EDE06204108}">
          <x14:formula1>
            <xm:f>BundlingCompatabilityData!B58:B67</xm:f>
          </x14:formula1>
          <xm:sqref>G462</xm:sqref>
        </x14:dataValidation>
        <x14:dataValidation type="list" allowBlank="1" showInputMessage="1" showErrorMessage="1" xr:uid="{73FEB7B8-C91B-4520-94DA-35B65188405B}">
          <x14:formula1>
            <xm:f>BundlingCompatabilityData!B58:B67</xm:f>
          </x14:formula1>
          <xm:sqref>G463</xm:sqref>
        </x14:dataValidation>
        <x14:dataValidation type="list" allowBlank="1" showInputMessage="1" showErrorMessage="1" xr:uid="{D330875A-4417-4267-9CEF-902729260149}">
          <x14:formula1>
            <xm:f>BundlingCompatabilityData!B58:B67</xm:f>
          </x14:formula1>
          <xm:sqref>G464</xm:sqref>
        </x14:dataValidation>
        <x14:dataValidation type="list" allowBlank="1" showInputMessage="1" showErrorMessage="1" xr:uid="{AF23BFFF-05EF-4178-B6C8-6AB08FC1D547}">
          <x14:formula1>
            <xm:f>BundlingCompatabilityData!B58:B67</xm:f>
          </x14:formula1>
          <xm:sqref>G465</xm:sqref>
        </x14:dataValidation>
        <x14:dataValidation type="list" allowBlank="1" showInputMessage="1" showErrorMessage="1" xr:uid="{D58845F5-0486-45A1-9166-8F1FFEC2A0E7}">
          <x14:formula1>
            <xm:f>BundlingCompatabilityData!B58:B67</xm:f>
          </x14:formula1>
          <xm:sqref>G466</xm:sqref>
        </x14:dataValidation>
        <x14:dataValidation type="list" allowBlank="1" showInputMessage="1" showErrorMessage="1" xr:uid="{6F2D1C18-221D-4F16-92B2-15BC6DD162FF}">
          <x14:formula1>
            <xm:f>BundlingCompatabilityData!B58:B67</xm:f>
          </x14:formula1>
          <xm:sqref>G467</xm:sqref>
        </x14:dataValidation>
        <x14:dataValidation type="list" allowBlank="1" showInputMessage="1" showErrorMessage="1" xr:uid="{95024FBD-77F9-44D7-919C-77B73B7B8580}">
          <x14:formula1>
            <xm:f>BundlingCompatabilityData!B58:B67</xm:f>
          </x14:formula1>
          <xm:sqref>G468</xm:sqref>
        </x14:dataValidation>
        <x14:dataValidation type="list" allowBlank="1" showInputMessage="1" showErrorMessage="1" xr:uid="{ACECD699-21E8-4B66-A7BD-32B151952AB3}">
          <x14:formula1>
            <xm:f>BundlingCompatabilityData!B58:B67</xm:f>
          </x14:formula1>
          <xm:sqref>G469</xm:sqref>
        </x14:dataValidation>
        <x14:dataValidation type="list" allowBlank="1" showInputMessage="1" showErrorMessage="1" xr:uid="{38864D4E-801C-442A-8C15-DFDBBCD20F8D}">
          <x14:formula1>
            <xm:f>BundlingCompatabilityData!B58:B67</xm:f>
          </x14:formula1>
          <xm:sqref>G470</xm:sqref>
        </x14:dataValidation>
        <x14:dataValidation type="list" allowBlank="1" showInputMessage="1" showErrorMessage="1" xr:uid="{6A846105-01FB-4565-BAE5-E532BE04AE61}">
          <x14:formula1>
            <xm:f>BundlingCompatabilityData!B58:B67</xm:f>
          </x14:formula1>
          <xm:sqref>G471</xm:sqref>
        </x14:dataValidation>
        <x14:dataValidation type="list" allowBlank="1" showInputMessage="1" showErrorMessage="1" xr:uid="{32641801-06B7-4D50-96FA-7F7C6C295086}">
          <x14:formula1>
            <xm:f>BundlingCompatabilityData!B58:B67</xm:f>
          </x14:formula1>
          <xm:sqref>G472</xm:sqref>
        </x14:dataValidation>
        <x14:dataValidation type="list" allowBlank="1" showInputMessage="1" showErrorMessage="1" xr:uid="{B3681E69-81C4-47A4-8E4C-27FA14853ADF}">
          <x14:formula1>
            <xm:f>BundlingCompatabilityData!B58:B67</xm:f>
          </x14:formula1>
          <xm:sqref>G473</xm:sqref>
        </x14:dataValidation>
        <x14:dataValidation type="list" allowBlank="1" showInputMessage="1" showErrorMessage="1" xr:uid="{A8480482-74E2-44CE-86BD-0F68580CBB93}">
          <x14:formula1>
            <xm:f>BundlingCompatabilityData!B58:B67</xm:f>
          </x14:formula1>
          <xm:sqref>G474</xm:sqref>
        </x14:dataValidation>
        <x14:dataValidation type="list" allowBlank="1" showInputMessage="1" showErrorMessage="1" xr:uid="{2C647B49-84BC-4341-B693-9129198CBE26}">
          <x14:formula1>
            <xm:f>BundlingCompatabilityData!B58:B67</xm:f>
          </x14:formula1>
          <xm:sqref>G475</xm:sqref>
        </x14:dataValidation>
        <x14:dataValidation type="list" allowBlank="1" showInputMessage="1" showErrorMessage="1" xr:uid="{5FAED6B7-2DE4-4BBC-B320-920C6BDD6C2B}">
          <x14:formula1>
            <xm:f>BundlingCompatabilityData!B58:B67</xm:f>
          </x14:formula1>
          <xm:sqref>G476</xm:sqref>
        </x14:dataValidation>
        <x14:dataValidation type="list" allowBlank="1" showInputMessage="1" showErrorMessage="1" xr:uid="{BBCB8639-5AC1-4A21-B558-9DFC735F8601}">
          <x14:formula1>
            <xm:f>BundlingCompatabilityData!B58:B67</xm:f>
          </x14:formula1>
          <xm:sqref>G477</xm:sqref>
        </x14:dataValidation>
        <x14:dataValidation type="list" allowBlank="1" showInputMessage="1" showErrorMessage="1" xr:uid="{10285025-83E3-4535-A50C-B8AEA18A97FF}">
          <x14:formula1>
            <xm:f>BundlingCompatabilityData!B58:B67</xm:f>
          </x14:formula1>
          <xm:sqref>G478</xm:sqref>
        </x14:dataValidation>
        <x14:dataValidation type="list" allowBlank="1" showInputMessage="1" showErrorMessage="1" xr:uid="{09172BE5-9953-4CD6-A07D-2F63D2538664}">
          <x14:formula1>
            <xm:f>BundlingCompatabilityData!B58:B67</xm:f>
          </x14:formula1>
          <xm:sqref>G479</xm:sqref>
        </x14:dataValidation>
        <x14:dataValidation type="list" allowBlank="1" showInputMessage="1" showErrorMessage="1" xr:uid="{4232F2A5-8706-4D0F-9D50-13E7573987FC}">
          <x14:formula1>
            <xm:f>BundlingCompatabilityData!B58:B67</xm:f>
          </x14:formula1>
          <xm:sqref>G480</xm:sqref>
        </x14:dataValidation>
        <x14:dataValidation type="list" allowBlank="1" showInputMessage="1" showErrorMessage="1" xr:uid="{028C802B-205A-4AAE-803F-651D672A7A47}">
          <x14:formula1>
            <xm:f>BundlingCompatabilityData!B58:B67</xm:f>
          </x14:formula1>
          <xm:sqref>G481</xm:sqref>
        </x14:dataValidation>
        <x14:dataValidation type="list" allowBlank="1" showInputMessage="1" showErrorMessage="1" xr:uid="{F73E6E4D-7BE1-4364-A253-DEBAD3C114B4}">
          <x14:formula1>
            <xm:f>BundlingCompatabilityData!B58:B67</xm:f>
          </x14:formula1>
          <xm:sqref>G482</xm:sqref>
        </x14:dataValidation>
        <x14:dataValidation type="list" allowBlank="1" showInputMessage="1" showErrorMessage="1" xr:uid="{E4BB1C59-363C-45F1-879F-A438DABF7C46}">
          <x14:formula1>
            <xm:f>BundlingCompatabilityData!B58:B67</xm:f>
          </x14:formula1>
          <xm:sqref>G483</xm:sqref>
        </x14:dataValidation>
        <x14:dataValidation type="list" allowBlank="1" showInputMessage="1" showErrorMessage="1" xr:uid="{FA880233-A6F4-468D-AF5B-FE71392E48AD}">
          <x14:formula1>
            <xm:f>BundlingCompatabilityData!B58:B67</xm:f>
          </x14:formula1>
          <xm:sqref>G484</xm:sqref>
        </x14:dataValidation>
        <x14:dataValidation type="list" allowBlank="1" showInputMessage="1" showErrorMessage="1" xr:uid="{BD6B0F3C-1AF9-4D36-802B-867F387D6648}">
          <x14:formula1>
            <xm:f>BundlingCompatabilityData!B58:B67</xm:f>
          </x14:formula1>
          <xm:sqref>G485</xm:sqref>
        </x14:dataValidation>
        <x14:dataValidation type="list" allowBlank="1" showInputMessage="1" showErrorMessage="1" xr:uid="{A0D11C3A-DF12-4B29-AB75-500C467CC72E}">
          <x14:formula1>
            <xm:f>BundlingCompatabilityData!B58:B67</xm:f>
          </x14:formula1>
          <xm:sqref>G486</xm:sqref>
        </x14:dataValidation>
        <x14:dataValidation type="list" allowBlank="1" showInputMessage="1" showErrorMessage="1" xr:uid="{93DE658C-0CA8-4300-824A-654A4B41F8ED}">
          <x14:formula1>
            <xm:f>BundlingCompatabilityData!B58:B67</xm:f>
          </x14:formula1>
          <xm:sqref>G487</xm:sqref>
        </x14:dataValidation>
        <x14:dataValidation type="list" allowBlank="1" showInputMessage="1" showErrorMessage="1" xr:uid="{3CA290B7-2D7B-4201-B5D4-29F13E69CF44}">
          <x14:formula1>
            <xm:f>BundlingCompatabilityData!B58:B67</xm:f>
          </x14:formula1>
          <xm:sqref>G488</xm:sqref>
        </x14:dataValidation>
        <x14:dataValidation type="list" allowBlank="1" showInputMessage="1" showErrorMessage="1" xr:uid="{19FD6203-B6AE-4B74-B4C1-162AD508F378}">
          <x14:formula1>
            <xm:f>BundlingCompatabilityData!B58:B67</xm:f>
          </x14:formula1>
          <xm:sqref>G489</xm:sqref>
        </x14:dataValidation>
        <x14:dataValidation type="list" allowBlank="1" showInputMessage="1" showErrorMessage="1" xr:uid="{80757315-2463-48CE-A384-B1B3AC34E3A3}">
          <x14:formula1>
            <xm:f>BundlingCompatabilityData!B58:B67</xm:f>
          </x14:formula1>
          <xm:sqref>G490</xm:sqref>
        </x14:dataValidation>
        <x14:dataValidation type="list" allowBlank="1" showInputMessage="1" showErrorMessage="1" xr:uid="{D1DB3E37-BC3E-48EF-B619-C55AD2079CF6}">
          <x14:formula1>
            <xm:f>BundlingCompatabilityData!B58:B67</xm:f>
          </x14:formula1>
          <xm:sqref>G491</xm:sqref>
        </x14:dataValidation>
        <x14:dataValidation type="list" allowBlank="1" showInputMessage="1" showErrorMessage="1" xr:uid="{D1FE01EC-EC78-42F5-8BF4-1F3BDEF2D1C4}">
          <x14:formula1>
            <xm:f>BundlingCompatabilityData!B58:B67</xm:f>
          </x14:formula1>
          <xm:sqref>G492</xm:sqref>
        </x14:dataValidation>
        <x14:dataValidation type="list" allowBlank="1" showInputMessage="1" showErrorMessage="1" xr:uid="{B4F9C440-93DD-4B62-AAE3-D21A5686893C}">
          <x14:formula1>
            <xm:f>BundlingCompatabilityData!B58:B67</xm:f>
          </x14:formula1>
          <xm:sqref>G493</xm:sqref>
        </x14:dataValidation>
        <x14:dataValidation type="list" allowBlank="1" showInputMessage="1" showErrorMessage="1" xr:uid="{81C83183-C541-4A92-827B-0D58126A6704}">
          <x14:formula1>
            <xm:f>BundlingCompatabilityData!B58:B67</xm:f>
          </x14:formula1>
          <xm:sqref>G494</xm:sqref>
        </x14:dataValidation>
        <x14:dataValidation type="list" allowBlank="1" showInputMessage="1" showErrorMessage="1" xr:uid="{3EE2DF88-3BA7-4C03-9B53-40C808AE962C}">
          <x14:formula1>
            <xm:f>BundlingCompatabilityData!B58:B67</xm:f>
          </x14:formula1>
          <xm:sqref>G495</xm:sqref>
        </x14:dataValidation>
        <x14:dataValidation type="list" allowBlank="1" showInputMessage="1" showErrorMessage="1" xr:uid="{9E27E157-4E5C-4650-8489-CD6BF8B0BB8A}">
          <x14:formula1>
            <xm:f>BundlingCompatabilityData!B58:B67</xm:f>
          </x14:formula1>
          <xm:sqref>G496</xm:sqref>
        </x14:dataValidation>
        <x14:dataValidation type="list" allowBlank="1" showInputMessage="1" showErrorMessage="1" xr:uid="{53FDDC0C-E6CA-487F-967C-7FCC467C8B29}">
          <x14:formula1>
            <xm:f>BundlingCompatabilityData!B58:B67</xm:f>
          </x14:formula1>
          <xm:sqref>G497</xm:sqref>
        </x14:dataValidation>
        <x14:dataValidation type="list" allowBlank="1" showInputMessage="1" showErrorMessage="1" xr:uid="{D1EE4E6F-CF47-49F2-9564-BAD717F0A5C6}">
          <x14:formula1>
            <xm:f>BundlingCompatabilityData!B58:B67</xm:f>
          </x14:formula1>
          <xm:sqref>G498</xm:sqref>
        </x14:dataValidation>
        <x14:dataValidation type="list" allowBlank="1" showInputMessage="1" showErrorMessage="1" xr:uid="{B7706259-881B-4D74-9B79-2CC5B4AA1556}">
          <x14:formula1>
            <xm:f>BundlingCompatabilityData!B58:B67</xm:f>
          </x14:formula1>
          <xm:sqref>G499</xm:sqref>
        </x14:dataValidation>
        <x14:dataValidation type="list" allowBlank="1" showInputMessage="1" showErrorMessage="1" xr:uid="{5F5F3C3A-5265-4CC8-842A-FF91CE8B3784}">
          <x14:formula1>
            <xm:f>BundlingCompatabilityData!B58:B67</xm:f>
          </x14:formula1>
          <xm:sqref>G500</xm:sqref>
        </x14:dataValidation>
        <x14:dataValidation type="list" allowBlank="1" showInputMessage="1" showErrorMessage="1" xr:uid="{ECA18226-2B21-4561-8C46-D4DA60378FA2}">
          <x14:formula1>
            <xm:f>BundlingCompatabilityData!B58:B67</xm:f>
          </x14:formula1>
          <xm:sqref>G501</xm:sqref>
        </x14:dataValidation>
        <x14:dataValidation type="list" allowBlank="1" showInputMessage="1" showErrorMessage="1" xr:uid="{0E32F310-6838-4831-B052-A56A3AC8D665}">
          <x14:formula1>
            <xm:f>BundlingCompatabilityData!B58:B67</xm:f>
          </x14:formula1>
          <xm:sqref>G502</xm:sqref>
        </x14:dataValidation>
        <x14:dataValidation type="list" allowBlank="1" showInputMessage="1" showErrorMessage="1" xr:uid="{87A1A16D-C5E9-4EF5-958C-B11B0213D477}">
          <x14:formula1>
            <xm:f>BundlingCompatabilityData!B58:B67</xm:f>
          </x14:formula1>
          <xm:sqref>G503</xm:sqref>
        </x14:dataValidation>
        <x14:dataValidation type="list" allowBlank="1" showInputMessage="1" showErrorMessage="1" xr:uid="{CDE839E2-5B87-4F95-A2DE-353C2702D3F9}">
          <x14:formula1>
            <xm:f>BundlingCompatabilityData!B58:B67</xm:f>
          </x14:formula1>
          <xm:sqref>G504</xm:sqref>
        </x14:dataValidation>
        <x14:dataValidation type="list" allowBlank="1" showInputMessage="1" showErrorMessage="1" xr:uid="{74745F87-9D35-4E4F-8143-93E0F0C3AA69}">
          <x14:formula1>
            <xm:f>BundlingCompatabilityData!B58:B67</xm:f>
          </x14:formula1>
          <xm:sqref>G505</xm:sqref>
        </x14:dataValidation>
        <x14:dataValidation type="list" allowBlank="1" showInputMessage="1" showErrorMessage="1" xr:uid="{396E7495-1254-47C6-8E06-F6CDF4B2C0E8}">
          <x14:formula1>
            <xm:f>BundlingCompatabilityData!B58:B67</xm:f>
          </x14:formula1>
          <xm:sqref>G506</xm:sqref>
        </x14:dataValidation>
        <x14:dataValidation type="list" allowBlank="1" showInputMessage="1" showErrorMessage="1" xr:uid="{16F14C57-3E13-4C0C-8179-22C245615876}">
          <x14:formula1>
            <xm:f>BundlingCompatabilityData!B58:B67</xm:f>
          </x14:formula1>
          <xm:sqref>G507</xm:sqref>
        </x14:dataValidation>
        <x14:dataValidation type="list" allowBlank="1" showInputMessage="1" showErrorMessage="1" xr:uid="{6C2469EF-0361-449C-8E1D-C718993EEC64}">
          <x14:formula1>
            <xm:f>BundlingCompatabilityData!B58:B67</xm:f>
          </x14:formula1>
          <xm:sqref>G508</xm:sqref>
        </x14:dataValidation>
        <x14:dataValidation type="list" allowBlank="1" showInputMessage="1" showErrorMessage="1" xr:uid="{6912CF60-76E9-4F5A-BD31-F048C96BB8CB}">
          <x14:formula1>
            <xm:f>BundlingCompatabilityData!B58:B67</xm:f>
          </x14:formula1>
          <xm:sqref>G509</xm:sqref>
        </x14:dataValidation>
        <x14:dataValidation type="list" allowBlank="1" showInputMessage="1" showErrorMessage="1" xr:uid="{715DD391-5C1F-46A2-80B1-C2BBCE9A0C8B}">
          <x14:formula1>
            <xm:f>BundlingCompatabilityData!B58:B67</xm:f>
          </x14:formula1>
          <xm:sqref>G510</xm:sqref>
        </x14:dataValidation>
        <x14:dataValidation type="list" allowBlank="1" showInputMessage="1" showErrorMessage="1" xr:uid="{91532288-284B-4C0A-85DD-11C4FCA44F7A}">
          <x14:formula1>
            <xm:f>BundlingCompatabilityData!B58:B67</xm:f>
          </x14:formula1>
          <xm:sqref>G511</xm:sqref>
        </x14:dataValidation>
        <x14:dataValidation type="list" allowBlank="1" showInputMessage="1" showErrorMessage="1" xr:uid="{6CD827F4-CB30-42EE-9153-134AA28C3B01}">
          <x14:formula1>
            <xm:f>BundlingCompatabilityData!B58:B67</xm:f>
          </x14:formula1>
          <xm:sqref>G512</xm:sqref>
        </x14:dataValidation>
        <x14:dataValidation type="list" allowBlank="1" showInputMessage="1" showErrorMessage="1" xr:uid="{CDE61424-6D07-4704-BF81-810AA8EAE538}">
          <x14:formula1>
            <xm:f>BundlingCompatabilityData!B58:B67</xm:f>
          </x14:formula1>
          <xm:sqref>G513</xm:sqref>
        </x14:dataValidation>
        <x14:dataValidation type="list" allowBlank="1" showInputMessage="1" showErrorMessage="1" xr:uid="{588C47D4-D569-41CA-93C1-580D497D2A4B}">
          <x14:formula1>
            <xm:f>BundlingCompatabilityData!B58:B67</xm:f>
          </x14:formula1>
          <xm:sqref>G514</xm:sqref>
        </x14:dataValidation>
        <x14:dataValidation type="list" allowBlank="1" showInputMessage="1" showErrorMessage="1" xr:uid="{8E07FAA5-B680-4997-AAF4-48CB9A1BC9C1}">
          <x14:formula1>
            <xm:f>BundlingCompatabilityData!B58:B67</xm:f>
          </x14:formula1>
          <xm:sqref>G515</xm:sqref>
        </x14:dataValidation>
        <x14:dataValidation type="list" allowBlank="1" showInputMessage="1" showErrorMessage="1" xr:uid="{989ECFF7-541D-476E-87A2-E46F819CAE4A}">
          <x14:formula1>
            <xm:f>BundlingCompatabilityData!B58:B67</xm:f>
          </x14:formula1>
          <xm:sqref>G516</xm:sqref>
        </x14:dataValidation>
        <x14:dataValidation type="list" allowBlank="1" showInputMessage="1" showErrorMessage="1" xr:uid="{49F8B6D2-36CD-43D6-88BA-FFF71665B198}">
          <x14:formula1>
            <xm:f>BundlingCompatabilityData!B58:B67</xm:f>
          </x14:formula1>
          <xm:sqref>G517</xm:sqref>
        </x14:dataValidation>
        <x14:dataValidation type="list" allowBlank="1" showInputMessage="1" showErrorMessage="1" xr:uid="{A5238BED-C548-4649-ABD8-C6D8BA40AE39}">
          <x14:formula1>
            <xm:f>BundlingCompatabilityData!B58:B67</xm:f>
          </x14:formula1>
          <xm:sqref>G518</xm:sqref>
        </x14:dataValidation>
        <x14:dataValidation type="list" allowBlank="1" showInputMessage="1" showErrorMessage="1" xr:uid="{85B7B552-BDF5-4017-9B18-90CD9C4168E9}">
          <x14:formula1>
            <xm:f>BundlingCompatabilityData!B58:B67</xm:f>
          </x14:formula1>
          <xm:sqref>G519</xm:sqref>
        </x14:dataValidation>
        <x14:dataValidation type="list" allowBlank="1" showInputMessage="1" showErrorMessage="1" xr:uid="{4099F2C0-5135-47E4-98CA-645849D50861}">
          <x14:formula1>
            <xm:f>BundlingCompatabilityData!Q20:Q114</xm:f>
          </x14:formula1>
          <xm:sqref>H236</xm:sqref>
        </x14:dataValidation>
        <x14:dataValidation type="list" allowBlank="1" showInputMessage="1" showErrorMessage="1" xr:uid="{1ACBA9B8-464D-4FB1-882C-8F92C3E8DF91}">
          <x14:formula1>
            <xm:f>BundlingCompatabilityData!Q20:Q114</xm:f>
          </x14:formula1>
          <xm:sqref>H237</xm:sqref>
        </x14:dataValidation>
        <x14:dataValidation type="list" allowBlank="1" showInputMessage="1" showErrorMessage="1" xr:uid="{C724D1D4-0A10-4A4C-889A-34D7AF3166FE}">
          <x14:formula1>
            <xm:f>BundlingCompatabilityData!Q20:Q114</xm:f>
          </x14:formula1>
          <xm:sqref>H238</xm:sqref>
        </x14:dataValidation>
        <x14:dataValidation type="list" allowBlank="1" showInputMessage="1" showErrorMessage="1" xr:uid="{760EE512-BD4D-42DA-BA8D-A8F1093B2E8B}">
          <x14:formula1>
            <xm:f>BundlingCompatabilityData!Q20:Q114</xm:f>
          </x14:formula1>
          <xm:sqref>H239</xm:sqref>
        </x14:dataValidation>
        <x14:dataValidation type="list" allowBlank="1" showInputMessage="1" showErrorMessage="1" xr:uid="{56FD2CE5-3E6E-4F13-80A7-5440270B471C}">
          <x14:formula1>
            <xm:f>BundlingCompatabilityData!Q20:Q114</xm:f>
          </x14:formula1>
          <xm:sqref>H240</xm:sqref>
        </x14:dataValidation>
        <x14:dataValidation type="list" allowBlank="1" showInputMessage="1" showErrorMessage="1" xr:uid="{CC301B8C-8E56-485C-86B7-3F424C5D81B5}">
          <x14:formula1>
            <xm:f>BundlingCompatabilityData!Q20:Q114</xm:f>
          </x14:formula1>
          <xm:sqref>H241</xm:sqref>
        </x14:dataValidation>
        <x14:dataValidation type="list" allowBlank="1" showInputMessage="1" showErrorMessage="1" xr:uid="{C09CCE53-BEB7-46AB-A6A4-EF7D018BEF05}">
          <x14:formula1>
            <xm:f>BundlingCompatabilityData!Q20:Q114</xm:f>
          </x14:formula1>
          <xm:sqref>H242</xm:sqref>
        </x14:dataValidation>
        <x14:dataValidation type="list" allowBlank="1" showInputMessage="1" showErrorMessage="1" xr:uid="{AB12679D-FD9E-4F32-B8C5-6CDA0B9EEC99}">
          <x14:formula1>
            <xm:f>BundlingCompatabilityData!Q20:Q114</xm:f>
          </x14:formula1>
          <xm:sqref>H243</xm:sqref>
        </x14:dataValidation>
        <x14:dataValidation type="list" allowBlank="1" showInputMessage="1" showErrorMessage="1" xr:uid="{EB54DF7B-3768-4CB1-8927-DB98E4C3E1AA}">
          <x14:formula1>
            <xm:f>BundlingCompatabilityData!Q20:Q114</xm:f>
          </x14:formula1>
          <xm:sqref>H244</xm:sqref>
        </x14:dataValidation>
        <x14:dataValidation type="list" allowBlank="1" showInputMessage="1" showErrorMessage="1" xr:uid="{DF7582F2-164D-42E0-8D00-83BA27ED13D6}">
          <x14:formula1>
            <xm:f>BundlingCompatabilityData!Q20:Q114</xm:f>
          </x14:formula1>
          <xm:sqref>H245</xm:sqref>
        </x14:dataValidation>
        <x14:dataValidation type="list" allowBlank="1" showInputMessage="1" showErrorMessage="1" xr:uid="{44C69A1E-F106-4084-A87B-605DE6169544}">
          <x14:formula1>
            <xm:f>BundlingCompatabilityData!Q20:Q114</xm:f>
          </x14:formula1>
          <xm:sqref>H246</xm:sqref>
        </x14:dataValidation>
        <x14:dataValidation type="list" allowBlank="1" showInputMessage="1" showErrorMessage="1" xr:uid="{FA193A85-6CBF-4978-8B53-D0FFFB97620C}">
          <x14:formula1>
            <xm:f>BundlingCompatabilityData!Q20:Q114</xm:f>
          </x14:formula1>
          <xm:sqref>H247</xm:sqref>
        </x14:dataValidation>
        <x14:dataValidation type="list" allowBlank="1" showInputMessage="1" showErrorMessage="1" xr:uid="{C8C429DD-80B6-409F-8E2F-8F22F553D1C6}">
          <x14:formula1>
            <xm:f>BundlingCompatabilityData!Q20:Q114</xm:f>
          </x14:formula1>
          <xm:sqref>H248</xm:sqref>
        </x14:dataValidation>
        <x14:dataValidation type="list" allowBlank="1" showInputMessage="1" showErrorMessage="1" xr:uid="{7EA9ED4E-A566-488A-AE44-90E6EB274F29}">
          <x14:formula1>
            <xm:f>BundlingCompatabilityData!Q20:Q114</xm:f>
          </x14:formula1>
          <xm:sqref>H249</xm:sqref>
        </x14:dataValidation>
        <x14:dataValidation type="list" allowBlank="1" showInputMessage="1" showErrorMessage="1" xr:uid="{5628D9F8-6934-427D-9F53-D575728AE976}">
          <x14:formula1>
            <xm:f>BundlingCompatabilityData!Q20:Q114</xm:f>
          </x14:formula1>
          <xm:sqref>H250</xm:sqref>
        </x14:dataValidation>
        <x14:dataValidation type="list" allowBlank="1" showInputMessage="1" showErrorMessage="1" xr:uid="{A22B352C-F8A6-439D-96DC-4A8506514542}">
          <x14:formula1>
            <xm:f>BundlingCompatabilityData!Q20:Q114</xm:f>
          </x14:formula1>
          <xm:sqref>H251</xm:sqref>
        </x14:dataValidation>
        <x14:dataValidation type="list" allowBlank="1" showInputMessage="1" showErrorMessage="1" xr:uid="{829D3FA4-383C-4813-96A1-A08423F032A4}">
          <x14:formula1>
            <xm:f>BundlingCompatabilityData!Q20:Q114</xm:f>
          </x14:formula1>
          <xm:sqref>H252</xm:sqref>
        </x14:dataValidation>
        <x14:dataValidation type="list" allowBlank="1" showInputMessage="1" showErrorMessage="1" xr:uid="{1979C842-6D15-4E66-A233-975F80560E8A}">
          <x14:formula1>
            <xm:f>BundlingCompatabilityData!Q20:Q114</xm:f>
          </x14:formula1>
          <xm:sqref>H253</xm:sqref>
        </x14:dataValidation>
        <x14:dataValidation type="list" allowBlank="1" showInputMessage="1" showErrorMessage="1" xr:uid="{C0602D09-6B73-4738-B9AE-D67EB4159472}">
          <x14:formula1>
            <xm:f>BundlingCompatabilityData!Q20:Q114</xm:f>
          </x14:formula1>
          <xm:sqref>H254</xm:sqref>
        </x14:dataValidation>
        <x14:dataValidation type="list" allowBlank="1" showInputMessage="1" showErrorMessage="1" xr:uid="{594AE2E3-07DB-4B28-9853-847EBE333A55}">
          <x14:formula1>
            <xm:f>BundlingCompatabilityData!Q20:Q114</xm:f>
          </x14:formula1>
          <xm:sqref>H255</xm:sqref>
        </x14:dataValidation>
        <x14:dataValidation type="list" allowBlank="1" showInputMessage="1" showErrorMessage="1" xr:uid="{1C03D500-7358-4B94-97E7-DEB7995F557C}">
          <x14:formula1>
            <xm:f>BundlingCompatabilityData!Q20:Q114</xm:f>
          </x14:formula1>
          <xm:sqref>H256</xm:sqref>
        </x14:dataValidation>
        <x14:dataValidation type="list" allowBlank="1" showInputMessage="1" showErrorMessage="1" xr:uid="{3B41B496-AB37-4ED4-AF8F-72BB87271EDC}">
          <x14:formula1>
            <xm:f>BundlingCompatabilityData!Q20:Q114</xm:f>
          </x14:formula1>
          <xm:sqref>H257</xm:sqref>
        </x14:dataValidation>
        <x14:dataValidation type="list" allowBlank="1" showInputMessage="1" showErrorMessage="1" xr:uid="{EBA3BE41-44B8-4641-A0FE-5F0E2E074081}">
          <x14:formula1>
            <xm:f>BundlingCompatabilityData!Q20:Q114</xm:f>
          </x14:formula1>
          <xm:sqref>H258</xm:sqref>
        </x14:dataValidation>
        <x14:dataValidation type="list" allowBlank="1" showInputMessage="1" showErrorMessage="1" xr:uid="{14B6E354-B389-4DFE-852A-E6CB1BA5E2B2}">
          <x14:formula1>
            <xm:f>BundlingCompatabilityData!Q20:Q114</xm:f>
          </x14:formula1>
          <xm:sqref>H259</xm:sqref>
        </x14:dataValidation>
        <x14:dataValidation type="list" allowBlank="1" showInputMessage="1" showErrorMessage="1" xr:uid="{2759BB22-3F51-495A-A6E3-454B545167D8}">
          <x14:formula1>
            <xm:f>BundlingCompatabilityData!Q20:Q114</xm:f>
          </x14:formula1>
          <xm:sqref>H260</xm:sqref>
        </x14:dataValidation>
        <x14:dataValidation type="list" allowBlank="1" showInputMessage="1" showErrorMessage="1" xr:uid="{744150E9-2AC5-4369-9D6B-6A6BD57988B9}">
          <x14:formula1>
            <xm:f>BundlingCompatabilityData!Q20:Q114</xm:f>
          </x14:formula1>
          <xm:sqref>H261</xm:sqref>
        </x14:dataValidation>
        <x14:dataValidation type="list" allowBlank="1" showInputMessage="1" showErrorMessage="1" xr:uid="{264AABF7-0F01-4708-A406-95E1D7E4E372}">
          <x14:formula1>
            <xm:f>BundlingCompatabilityData!Q20:Q114</xm:f>
          </x14:formula1>
          <xm:sqref>H262</xm:sqref>
        </x14:dataValidation>
        <x14:dataValidation type="list" allowBlank="1" showInputMessage="1" showErrorMessage="1" xr:uid="{720E0308-97F3-4D79-BD95-41805CEB2D82}">
          <x14:formula1>
            <xm:f>BundlingCompatabilityData!Q20:Q114</xm:f>
          </x14:formula1>
          <xm:sqref>H263</xm:sqref>
        </x14:dataValidation>
        <x14:dataValidation type="list" allowBlank="1" showInputMessage="1" showErrorMessage="1" xr:uid="{76D1E175-379C-46C5-9F11-C739C3257B6B}">
          <x14:formula1>
            <xm:f>BundlingCompatabilityData!Q20:Q114</xm:f>
          </x14:formula1>
          <xm:sqref>H264</xm:sqref>
        </x14:dataValidation>
        <x14:dataValidation type="list" allowBlank="1" showInputMessage="1" showErrorMessage="1" xr:uid="{EAFDD874-D284-4ADD-A415-7BE7143FCD90}">
          <x14:formula1>
            <xm:f>BundlingCompatabilityData!Q20:Q114</xm:f>
          </x14:formula1>
          <xm:sqref>H265</xm:sqref>
        </x14:dataValidation>
        <x14:dataValidation type="list" allowBlank="1" showInputMessage="1" showErrorMessage="1" xr:uid="{70731102-B282-407E-A703-4754598E3E5E}">
          <x14:formula1>
            <xm:f>BundlingCompatabilityData!Q20:Q114</xm:f>
          </x14:formula1>
          <xm:sqref>H266</xm:sqref>
        </x14:dataValidation>
        <x14:dataValidation type="list" allowBlank="1" showInputMessage="1" showErrorMessage="1" xr:uid="{44F1C40E-4D70-411E-BE4D-9769609DADBF}">
          <x14:formula1>
            <xm:f>BundlingCompatabilityData!Q20:Q114</xm:f>
          </x14:formula1>
          <xm:sqref>H267</xm:sqref>
        </x14:dataValidation>
        <x14:dataValidation type="list" allowBlank="1" showInputMessage="1" showErrorMessage="1" xr:uid="{FCFCF18D-90C7-4656-BE0A-A9969194101B}">
          <x14:formula1>
            <xm:f>BundlingCompatabilityData!Q20:Q114</xm:f>
          </x14:formula1>
          <xm:sqref>H268</xm:sqref>
        </x14:dataValidation>
        <x14:dataValidation type="list" allowBlank="1" showInputMessage="1" showErrorMessage="1" xr:uid="{6CD55127-B18F-4B72-AB17-1806DB03610F}">
          <x14:formula1>
            <xm:f>BundlingCompatabilityData!Q20:Q114</xm:f>
          </x14:formula1>
          <xm:sqref>H269</xm:sqref>
        </x14:dataValidation>
        <x14:dataValidation type="list" allowBlank="1" showInputMessage="1" showErrorMessage="1" xr:uid="{72AFFCBC-17C0-4A4D-BC76-57D50B734B12}">
          <x14:formula1>
            <xm:f>BundlingCompatabilityData!Q20:Q114</xm:f>
          </x14:formula1>
          <xm:sqref>H270</xm:sqref>
        </x14:dataValidation>
        <x14:dataValidation type="list" allowBlank="1" showInputMessage="1" showErrorMessage="1" xr:uid="{23B9AA37-3B80-4811-950B-6ACA0CE81D64}">
          <x14:formula1>
            <xm:f>BundlingCompatabilityData!Q20:Q114</xm:f>
          </x14:formula1>
          <xm:sqref>H271</xm:sqref>
        </x14:dataValidation>
        <x14:dataValidation type="list" allowBlank="1" showInputMessage="1" showErrorMessage="1" xr:uid="{DC3880B2-D45B-467B-AEB3-1DB909E38AA5}">
          <x14:formula1>
            <xm:f>BundlingCompatabilityData!Q20:Q114</xm:f>
          </x14:formula1>
          <xm:sqref>H272</xm:sqref>
        </x14:dataValidation>
        <x14:dataValidation type="list" allowBlank="1" showInputMessage="1" showErrorMessage="1" xr:uid="{AEC7ED79-B3B9-4ACB-BE3F-AAD4F78D4F85}">
          <x14:formula1>
            <xm:f>BundlingCompatabilityData!Q20:Q114</xm:f>
          </x14:formula1>
          <xm:sqref>H273</xm:sqref>
        </x14:dataValidation>
        <x14:dataValidation type="list" allowBlank="1" showInputMessage="1" showErrorMessage="1" xr:uid="{904ED189-5417-4DC9-941F-1CD5837AE12A}">
          <x14:formula1>
            <xm:f>BundlingCompatabilityData!Q20:Q114</xm:f>
          </x14:formula1>
          <xm:sqref>H274</xm:sqref>
        </x14:dataValidation>
        <x14:dataValidation type="list" allowBlank="1" showInputMessage="1" showErrorMessage="1" xr:uid="{3919F392-A685-4C0C-A838-0D4B2F4828E9}">
          <x14:formula1>
            <xm:f>BundlingCompatabilityData!Q20:Q114</xm:f>
          </x14:formula1>
          <xm:sqref>H275</xm:sqref>
        </x14:dataValidation>
        <x14:dataValidation type="list" allowBlank="1" showInputMessage="1" showErrorMessage="1" xr:uid="{3A55F967-97D5-430E-85A3-5865E08933D1}">
          <x14:formula1>
            <xm:f>BundlingCompatabilityData!Q20:Q114</xm:f>
          </x14:formula1>
          <xm:sqref>H276</xm:sqref>
        </x14:dataValidation>
        <x14:dataValidation type="list" allowBlank="1" showInputMessage="1" showErrorMessage="1" xr:uid="{5CB48041-77FF-4965-B627-FA7037E7108E}">
          <x14:formula1>
            <xm:f>BundlingCompatabilityData!Q20:Q114</xm:f>
          </x14:formula1>
          <xm:sqref>H277</xm:sqref>
        </x14:dataValidation>
        <x14:dataValidation type="list" allowBlank="1" showInputMessage="1" showErrorMessage="1" xr:uid="{FE52A73F-0066-4D78-A611-C2CAFA576AD8}">
          <x14:formula1>
            <xm:f>BundlingCompatabilityData!Q20:Q114</xm:f>
          </x14:formula1>
          <xm:sqref>H278</xm:sqref>
        </x14:dataValidation>
        <x14:dataValidation type="list" allowBlank="1" showInputMessage="1" showErrorMessage="1" xr:uid="{57F2B7BF-E7BD-48A4-A7A1-FADDFD28C224}">
          <x14:formula1>
            <xm:f>BundlingCompatabilityData!Q20:Q114</xm:f>
          </x14:formula1>
          <xm:sqref>H279</xm:sqref>
        </x14:dataValidation>
        <x14:dataValidation type="list" allowBlank="1" showInputMessage="1" showErrorMessage="1" xr:uid="{DBC1C369-C651-42A4-B579-97987064921F}">
          <x14:formula1>
            <xm:f>BundlingCompatabilityData!Q20:Q114</xm:f>
          </x14:formula1>
          <xm:sqref>H280</xm:sqref>
        </x14:dataValidation>
        <x14:dataValidation type="list" allowBlank="1" showInputMessage="1" showErrorMessage="1" xr:uid="{29FEAB4C-C088-4F92-BC09-0D0B4BB46DA3}">
          <x14:formula1>
            <xm:f>BundlingCompatabilityData!Q20:Q114</xm:f>
          </x14:formula1>
          <xm:sqref>H281</xm:sqref>
        </x14:dataValidation>
        <x14:dataValidation type="list" allowBlank="1" showInputMessage="1" showErrorMessage="1" xr:uid="{35633ED9-1564-4008-8ED6-148D6B4F2A47}">
          <x14:formula1>
            <xm:f>BundlingCompatabilityData!Q20:Q114</xm:f>
          </x14:formula1>
          <xm:sqref>H282</xm:sqref>
        </x14:dataValidation>
        <x14:dataValidation type="list" allowBlank="1" showInputMessage="1" showErrorMessage="1" xr:uid="{D456FBBB-E29F-4E95-9DE9-E3BA2402509C}">
          <x14:formula1>
            <xm:f>BundlingCompatabilityData!Q20:Q114</xm:f>
          </x14:formula1>
          <xm:sqref>H283</xm:sqref>
        </x14:dataValidation>
        <x14:dataValidation type="list" allowBlank="1" showInputMessage="1" showErrorMessage="1" xr:uid="{B31C9303-5D16-4C9D-AF76-81C5F95B72E7}">
          <x14:formula1>
            <xm:f>BundlingCompatabilityData!Q20:Q114</xm:f>
          </x14:formula1>
          <xm:sqref>H284</xm:sqref>
        </x14:dataValidation>
        <x14:dataValidation type="list" allowBlank="1" showInputMessage="1" showErrorMessage="1" xr:uid="{19423CA4-9B42-4837-BF32-45FA956C7B88}">
          <x14:formula1>
            <xm:f>BundlingCompatabilityData!Q20:Q114</xm:f>
          </x14:formula1>
          <xm:sqref>H285</xm:sqref>
        </x14:dataValidation>
        <x14:dataValidation type="list" allowBlank="1" showInputMessage="1" showErrorMessage="1" xr:uid="{CC360E34-D9EC-4EE0-B438-ED9BD33C46E3}">
          <x14:formula1>
            <xm:f>BundlingCompatabilityData!Q20:Q114</xm:f>
          </x14:formula1>
          <xm:sqref>H286</xm:sqref>
        </x14:dataValidation>
        <x14:dataValidation type="list" allowBlank="1" showInputMessage="1" showErrorMessage="1" xr:uid="{1FF86C49-3003-4617-98D5-3C8678EC8433}">
          <x14:formula1>
            <xm:f>BundlingCompatabilityData!Q20:Q114</xm:f>
          </x14:formula1>
          <xm:sqref>H287</xm:sqref>
        </x14:dataValidation>
        <x14:dataValidation type="list" allowBlank="1" showInputMessage="1" showErrorMessage="1" xr:uid="{C62B48B5-B833-450F-BF5C-49177F8420CF}">
          <x14:formula1>
            <xm:f>BundlingCompatabilityData!Q20:Q114</xm:f>
          </x14:formula1>
          <xm:sqref>H288</xm:sqref>
        </x14:dataValidation>
        <x14:dataValidation type="list" allowBlank="1" showInputMessage="1" showErrorMessage="1" xr:uid="{A3A967B6-6D23-430C-B9B7-41D9066E6B12}">
          <x14:formula1>
            <xm:f>BundlingCompatabilityData!Q20:Q114</xm:f>
          </x14:formula1>
          <xm:sqref>H289</xm:sqref>
        </x14:dataValidation>
        <x14:dataValidation type="list" allowBlank="1" showInputMessage="1" showErrorMessage="1" xr:uid="{57D28D74-FE9A-4452-8FD9-B628A3D37AC7}">
          <x14:formula1>
            <xm:f>BundlingCompatabilityData!Q20:Q114</xm:f>
          </x14:formula1>
          <xm:sqref>H290</xm:sqref>
        </x14:dataValidation>
        <x14:dataValidation type="list" allowBlank="1" showInputMessage="1" showErrorMessage="1" xr:uid="{1F43880A-697B-4940-A5D9-B3315A4AAAE3}">
          <x14:formula1>
            <xm:f>BundlingCompatabilityData!Q20:Q114</xm:f>
          </x14:formula1>
          <xm:sqref>H291</xm:sqref>
        </x14:dataValidation>
        <x14:dataValidation type="list" allowBlank="1" showInputMessage="1" showErrorMessage="1" xr:uid="{5B5C9190-5323-42D1-9677-9662250A5802}">
          <x14:formula1>
            <xm:f>BundlingCompatabilityData!Q20:Q114</xm:f>
          </x14:formula1>
          <xm:sqref>H292</xm:sqref>
        </x14:dataValidation>
        <x14:dataValidation type="list" allowBlank="1" showInputMessage="1" showErrorMessage="1" xr:uid="{E2E4DAD6-C01B-40EA-B7EC-E116F33B58A7}">
          <x14:formula1>
            <xm:f>BundlingCompatabilityData!Q20:Q114</xm:f>
          </x14:formula1>
          <xm:sqref>H293</xm:sqref>
        </x14:dataValidation>
        <x14:dataValidation type="list" allowBlank="1" showInputMessage="1" showErrorMessage="1" xr:uid="{622F0448-AD8C-4225-9727-3ED2CDB0869B}">
          <x14:formula1>
            <xm:f>BundlingCompatabilityData!Q20:Q114</xm:f>
          </x14:formula1>
          <xm:sqref>H294</xm:sqref>
        </x14:dataValidation>
        <x14:dataValidation type="list" allowBlank="1" showInputMessage="1" showErrorMessage="1" xr:uid="{2B30F011-20D6-48C2-A6B5-58FC5792FF7C}">
          <x14:formula1>
            <xm:f>BundlingCompatabilityData!Q20:Q114</xm:f>
          </x14:formula1>
          <xm:sqref>H295</xm:sqref>
        </x14:dataValidation>
        <x14:dataValidation type="list" allowBlank="1" showInputMessage="1" showErrorMessage="1" xr:uid="{4A94C56E-9E1F-419C-ACF2-EA960D08FA53}">
          <x14:formula1>
            <xm:f>BundlingCompatabilityData!Q20:Q114</xm:f>
          </x14:formula1>
          <xm:sqref>H296</xm:sqref>
        </x14:dataValidation>
        <x14:dataValidation type="list" allowBlank="1" showInputMessage="1" showErrorMessage="1" xr:uid="{20B899DB-3451-4C08-8FAC-8081975B7F1D}">
          <x14:formula1>
            <xm:f>BundlingCompatabilityData!Q20:Q114</xm:f>
          </x14:formula1>
          <xm:sqref>H297</xm:sqref>
        </x14:dataValidation>
        <x14:dataValidation type="list" allowBlank="1" showInputMessage="1" showErrorMessage="1" xr:uid="{67408D70-ED6C-4CC3-8776-08C08A79DF4E}">
          <x14:formula1>
            <xm:f>BundlingCompatabilityData!Q20:Q114</xm:f>
          </x14:formula1>
          <xm:sqref>H298</xm:sqref>
        </x14:dataValidation>
        <x14:dataValidation type="list" allowBlank="1" showInputMessage="1" showErrorMessage="1" xr:uid="{2F0D0D33-DD2F-4A4E-A8BB-05BF49B39752}">
          <x14:formula1>
            <xm:f>BundlingCompatabilityData!Q20:Q114</xm:f>
          </x14:formula1>
          <xm:sqref>H299</xm:sqref>
        </x14:dataValidation>
        <x14:dataValidation type="list" allowBlank="1" showInputMessage="1" showErrorMessage="1" xr:uid="{74B80FDD-C5FF-4EA3-9F98-26324B3FC714}">
          <x14:formula1>
            <xm:f>BundlingCompatabilityData!Q20:Q114</xm:f>
          </x14:formula1>
          <xm:sqref>H300</xm:sqref>
        </x14:dataValidation>
        <x14:dataValidation type="list" allowBlank="1" showInputMessage="1" showErrorMessage="1" xr:uid="{8158D534-BC69-47CB-B8C7-1896AFB3ED73}">
          <x14:formula1>
            <xm:f>BundlingCompatabilityData!Q20:Q114</xm:f>
          </x14:formula1>
          <xm:sqref>H301</xm:sqref>
        </x14:dataValidation>
        <x14:dataValidation type="list" allowBlank="1" showInputMessage="1" showErrorMessage="1" xr:uid="{6719FEF5-AC9C-4F6A-92C3-5FAA979CA521}">
          <x14:formula1>
            <xm:f>BundlingCompatabilityData!Q20:Q114</xm:f>
          </x14:formula1>
          <xm:sqref>H302</xm:sqref>
        </x14:dataValidation>
        <x14:dataValidation type="list" allowBlank="1" showInputMessage="1" showErrorMessage="1" xr:uid="{5FB197FE-93F7-4896-A0A7-EECBCF276B8C}">
          <x14:formula1>
            <xm:f>BundlingCompatabilityData!Q20:Q114</xm:f>
          </x14:formula1>
          <xm:sqref>H303</xm:sqref>
        </x14:dataValidation>
        <x14:dataValidation type="list" allowBlank="1" showInputMessage="1" showErrorMessage="1" xr:uid="{2BD577A4-044B-4856-A703-A09911AE1327}">
          <x14:formula1>
            <xm:f>BundlingCompatabilityData!Q20:Q114</xm:f>
          </x14:formula1>
          <xm:sqref>H304</xm:sqref>
        </x14:dataValidation>
        <x14:dataValidation type="list" allowBlank="1" showInputMessage="1" showErrorMessage="1" xr:uid="{79A8F3CE-BBCF-42D2-9FE8-910AC90C5BCF}">
          <x14:formula1>
            <xm:f>BundlingCompatabilityData!Q20:Q114</xm:f>
          </x14:formula1>
          <xm:sqref>H305</xm:sqref>
        </x14:dataValidation>
        <x14:dataValidation type="list" allowBlank="1" showInputMessage="1" showErrorMessage="1" xr:uid="{95401126-2D09-4680-8569-BEBC17601DE3}">
          <x14:formula1>
            <xm:f>BundlingCompatabilityData!Q20:Q114</xm:f>
          </x14:formula1>
          <xm:sqref>H306</xm:sqref>
        </x14:dataValidation>
        <x14:dataValidation type="list" allowBlank="1" showInputMessage="1" showErrorMessage="1" xr:uid="{1E62541A-171A-4AED-ABE2-E4DB343B4893}">
          <x14:formula1>
            <xm:f>BundlingCompatabilityData!Q20:Q114</xm:f>
          </x14:formula1>
          <xm:sqref>H307</xm:sqref>
        </x14:dataValidation>
        <x14:dataValidation type="list" allowBlank="1" showInputMessage="1" showErrorMessage="1" xr:uid="{F99A4EF8-1DAC-4FAF-9BB8-BBEADE77ED9A}">
          <x14:formula1>
            <xm:f>BundlingCompatabilityData!Q20:Q114</xm:f>
          </x14:formula1>
          <xm:sqref>H308</xm:sqref>
        </x14:dataValidation>
        <x14:dataValidation type="list" allowBlank="1" showInputMessage="1" showErrorMessage="1" xr:uid="{23C6FCC1-376C-4C0C-96B5-273FA420BFAE}">
          <x14:formula1>
            <xm:f>BundlingCompatabilityData!Q20:Q114</xm:f>
          </x14:formula1>
          <xm:sqref>H309</xm:sqref>
        </x14:dataValidation>
        <x14:dataValidation type="list" allowBlank="1" showInputMessage="1" showErrorMessage="1" xr:uid="{337C8F28-F8E3-41E9-B408-5E356A70AE77}">
          <x14:formula1>
            <xm:f>BundlingCompatabilityData!Q20:Q114</xm:f>
          </x14:formula1>
          <xm:sqref>H310</xm:sqref>
        </x14:dataValidation>
        <x14:dataValidation type="list" allowBlank="1" showInputMessage="1" showErrorMessage="1" xr:uid="{77E1A228-2A0D-4D18-B5E0-3939D91D3CAA}">
          <x14:formula1>
            <xm:f>BundlingCompatabilityData!Q20:Q114</xm:f>
          </x14:formula1>
          <xm:sqref>H311</xm:sqref>
        </x14:dataValidation>
        <x14:dataValidation type="list" allowBlank="1" showInputMessage="1" showErrorMessage="1" xr:uid="{CE302548-B3A7-4465-A214-481D9EC6925D}">
          <x14:formula1>
            <xm:f>BundlingCompatabilityData!Q20:Q114</xm:f>
          </x14:formula1>
          <xm:sqref>H312</xm:sqref>
        </x14:dataValidation>
        <x14:dataValidation type="list" allowBlank="1" showInputMessage="1" showErrorMessage="1" xr:uid="{A7212F56-0C4F-4C08-B740-3C511AC1BFEF}">
          <x14:formula1>
            <xm:f>BundlingCompatabilityData!Q20:Q114</xm:f>
          </x14:formula1>
          <xm:sqref>H313</xm:sqref>
        </x14:dataValidation>
        <x14:dataValidation type="list" allowBlank="1" showInputMessage="1" showErrorMessage="1" xr:uid="{AB6D90E0-5AD4-4008-8294-49321A9F80A9}">
          <x14:formula1>
            <xm:f>BundlingCompatabilityData!Q20:Q114</xm:f>
          </x14:formula1>
          <xm:sqref>H314</xm:sqref>
        </x14:dataValidation>
        <x14:dataValidation type="list" allowBlank="1" showInputMessage="1" showErrorMessage="1" xr:uid="{C4ABF184-D83F-4C2A-9AAB-F01FEE2B0CD4}">
          <x14:formula1>
            <xm:f>BundlingCompatabilityData!Q20:Q114</xm:f>
          </x14:formula1>
          <xm:sqref>H315</xm:sqref>
        </x14:dataValidation>
        <x14:dataValidation type="list" allowBlank="1" showInputMessage="1" showErrorMessage="1" xr:uid="{670C46FF-AD51-4716-A6CA-6CC9886BF3C4}">
          <x14:formula1>
            <xm:f>BundlingCompatabilityData!Q20:Q114</xm:f>
          </x14:formula1>
          <xm:sqref>H316</xm:sqref>
        </x14:dataValidation>
        <x14:dataValidation type="list" allowBlank="1" showInputMessage="1" showErrorMessage="1" xr:uid="{B89506B8-2F28-4F08-B9A0-2852D957AF7E}">
          <x14:formula1>
            <xm:f>BundlingCompatabilityData!Q20:Q114</xm:f>
          </x14:formula1>
          <xm:sqref>H317</xm:sqref>
        </x14:dataValidation>
        <x14:dataValidation type="list" allowBlank="1" showInputMessage="1" showErrorMessage="1" xr:uid="{06B7198B-5549-4FEA-8FAF-28332ADCFE29}">
          <x14:formula1>
            <xm:f>BundlingCompatabilityData!Q20:Q114</xm:f>
          </x14:formula1>
          <xm:sqref>H318</xm:sqref>
        </x14:dataValidation>
        <x14:dataValidation type="list" allowBlank="1" showInputMessage="1" showErrorMessage="1" xr:uid="{26EEAB40-3470-46E3-AB30-B24C0E50759E}">
          <x14:formula1>
            <xm:f>BundlingCompatabilityData!Q20:Q114</xm:f>
          </x14:formula1>
          <xm:sqref>H319</xm:sqref>
        </x14:dataValidation>
        <x14:dataValidation type="list" allowBlank="1" showInputMessage="1" showErrorMessage="1" xr:uid="{F853F227-AAC2-4788-8C92-4281A554D036}">
          <x14:formula1>
            <xm:f>BundlingCompatabilityData!Q20:Q114</xm:f>
          </x14:formula1>
          <xm:sqref>H320</xm:sqref>
        </x14:dataValidation>
        <x14:dataValidation type="list" allowBlank="1" showInputMessage="1" showErrorMessage="1" xr:uid="{51C3B01C-F6D5-4490-B019-7B9FF9F85DC7}">
          <x14:formula1>
            <xm:f>BundlingCompatabilityData!Q20:Q114</xm:f>
          </x14:formula1>
          <xm:sqref>H321</xm:sqref>
        </x14:dataValidation>
        <x14:dataValidation type="list" allowBlank="1" showInputMessage="1" showErrorMessage="1" xr:uid="{A5722F08-9938-4DAC-A71A-53B5A11C4836}">
          <x14:formula1>
            <xm:f>BundlingCompatabilityData!Q20:Q114</xm:f>
          </x14:formula1>
          <xm:sqref>H322</xm:sqref>
        </x14:dataValidation>
        <x14:dataValidation type="list" allowBlank="1" showInputMessage="1" showErrorMessage="1" xr:uid="{11CE8ED6-1A28-4AAB-9896-AAB55DC2C5C0}">
          <x14:formula1>
            <xm:f>BundlingCompatabilityData!Q20:Q114</xm:f>
          </x14:formula1>
          <xm:sqref>H323</xm:sqref>
        </x14:dataValidation>
        <x14:dataValidation type="list" allowBlank="1" showInputMessage="1" showErrorMessage="1" xr:uid="{4EF36A1E-77D5-422A-8907-33432B2A46ED}">
          <x14:formula1>
            <xm:f>BundlingCompatabilityData!Q20:Q114</xm:f>
          </x14:formula1>
          <xm:sqref>H324</xm:sqref>
        </x14:dataValidation>
        <x14:dataValidation type="list" allowBlank="1" showInputMessage="1" showErrorMessage="1" xr:uid="{7BDA7677-FBD3-4279-8FEF-B5EF5633F390}">
          <x14:formula1>
            <xm:f>BundlingCompatabilityData!Q20:Q114</xm:f>
          </x14:formula1>
          <xm:sqref>H325</xm:sqref>
        </x14:dataValidation>
        <x14:dataValidation type="list" allowBlank="1" showInputMessage="1" showErrorMessage="1" xr:uid="{740859C8-B1B3-4559-B7B9-FC2F8EF4EE1B}">
          <x14:formula1>
            <xm:f>BundlingCompatabilityData!Q20:Q114</xm:f>
          </x14:formula1>
          <xm:sqref>H326</xm:sqref>
        </x14:dataValidation>
        <x14:dataValidation type="list" allowBlank="1" showInputMessage="1" showErrorMessage="1" xr:uid="{C0980119-1E6E-45E5-A0C4-B7DB7E147DAA}">
          <x14:formula1>
            <xm:f>BundlingCompatabilityData!Q20:Q114</xm:f>
          </x14:formula1>
          <xm:sqref>H327</xm:sqref>
        </x14:dataValidation>
        <x14:dataValidation type="list" allowBlank="1" showInputMessage="1" showErrorMessage="1" xr:uid="{1A97EC76-DD21-4BC6-9334-66CCE357D14C}">
          <x14:formula1>
            <xm:f>BundlingCompatabilityData!Q20:Q114</xm:f>
          </x14:formula1>
          <xm:sqref>H328</xm:sqref>
        </x14:dataValidation>
        <x14:dataValidation type="list" allowBlank="1" showInputMessage="1" showErrorMessage="1" xr:uid="{E0746C56-7334-489E-B9DF-30195E7DBD97}">
          <x14:formula1>
            <xm:f>BundlingCompatabilityData!Q20:Q114</xm:f>
          </x14:formula1>
          <xm:sqref>H329</xm:sqref>
        </x14:dataValidation>
        <x14:dataValidation type="list" allowBlank="1" showInputMessage="1" showErrorMessage="1" xr:uid="{74727C05-3988-4E97-BDD3-93DE4D44EB56}">
          <x14:formula1>
            <xm:f>BundlingCompatabilityData!Q20:Q114</xm:f>
          </x14:formula1>
          <xm:sqref>H330</xm:sqref>
        </x14:dataValidation>
        <x14:dataValidation type="list" allowBlank="1" showInputMessage="1" showErrorMessage="1" xr:uid="{3AEC4379-CBC1-47D7-A91A-16C00044730A}">
          <x14:formula1>
            <xm:f>BundlingCompatabilityData!Q20:Q114</xm:f>
          </x14:formula1>
          <xm:sqref>H331</xm:sqref>
        </x14:dataValidation>
        <x14:dataValidation type="list" allowBlank="1" showInputMessage="1" showErrorMessage="1" xr:uid="{986050AD-4662-48B2-B32D-E59C34210281}">
          <x14:formula1>
            <xm:f>BundlingCompatabilityData!Q20:Q114</xm:f>
          </x14:formula1>
          <xm:sqref>H332</xm:sqref>
        </x14:dataValidation>
        <x14:dataValidation type="list" allowBlank="1" showInputMessage="1" showErrorMessage="1" xr:uid="{23034C6C-0749-466F-877D-0501F2947606}">
          <x14:formula1>
            <xm:f>BundlingCompatabilityData!Q20:Q114</xm:f>
          </x14:formula1>
          <xm:sqref>H333</xm:sqref>
        </x14:dataValidation>
        <x14:dataValidation type="list" allowBlank="1" showInputMessage="1" showErrorMessage="1" xr:uid="{8E2ED978-12B1-4A4F-9937-D577DC101C39}">
          <x14:formula1>
            <xm:f>BundlingCompatabilityData!Q20:Q114</xm:f>
          </x14:formula1>
          <xm:sqref>H334</xm:sqref>
        </x14:dataValidation>
        <x14:dataValidation type="list" allowBlank="1" showInputMessage="1" showErrorMessage="1" xr:uid="{7A8CDC8F-21F7-4966-8313-9816D0E5182E}">
          <x14:formula1>
            <xm:f>BundlingCompatabilityData!Q20:Q114</xm:f>
          </x14:formula1>
          <xm:sqref>H335</xm:sqref>
        </x14:dataValidation>
        <x14:dataValidation type="list" allowBlank="1" showInputMessage="1" showErrorMessage="1" xr:uid="{44B6332B-2450-45D5-A1B6-FA21D0F8AFCD}">
          <x14:formula1>
            <xm:f>BundlingCompatabilityData!Q20:Q114</xm:f>
          </x14:formula1>
          <xm:sqref>H336</xm:sqref>
        </x14:dataValidation>
        <x14:dataValidation type="list" allowBlank="1" showInputMessage="1" showErrorMessage="1" xr:uid="{8A09B3BA-5FD7-4E22-8B22-053CCEBDB65C}">
          <x14:formula1>
            <xm:f>BundlingCompatabilityData!Q20:Q114</xm:f>
          </x14:formula1>
          <xm:sqref>H337</xm:sqref>
        </x14:dataValidation>
        <x14:dataValidation type="list" allowBlank="1" showInputMessage="1" showErrorMessage="1" xr:uid="{FEBD6360-DA61-4586-9EB2-AB8DDF152D24}">
          <x14:formula1>
            <xm:f>BundlingCompatabilityData!Q20:Q114</xm:f>
          </x14:formula1>
          <xm:sqref>H338</xm:sqref>
        </x14:dataValidation>
        <x14:dataValidation type="list" allowBlank="1" showInputMessage="1" showErrorMessage="1" xr:uid="{890F5306-07BC-4DD7-8D56-CF77AA4ABDEA}">
          <x14:formula1>
            <xm:f>BundlingCompatabilityData!Q20:Q114</xm:f>
          </x14:formula1>
          <xm:sqref>H339</xm:sqref>
        </x14:dataValidation>
        <x14:dataValidation type="list" allowBlank="1" showInputMessage="1" showErrorMessage="1" xr:uid="{4930A19A-7CCE-43F0-8C74-70270E5FA901}">
          <x14:formula1>
            <xm:f>BundlingCompatabilityData!Q20:Q114</xm:f>
          </x14:formula1>
          <xm:sqref>H340</xm:sqref>
        </x14:dataValidation>
        <x14:dataValidation type="list" allowBlank="1" showInputMessage="1" showErrorMessage="1" xr:uid="{D3807977-93F4-4EC0-9719-8C01CD16F3A6}">
          <x14:formula1>
            <xm:f>BundlingCompatabilityData!Q20:Q114</xm:f>
          </x14:formula1>
          <xm:sqref>H341</xm:sqref>
        </x14:dataValidation>
        <x14:dataValidation type="list" allowBlank="1" showInputMessage="1" showErrorMessage="1" xr:uid="{861B5875-D773-4256-B394-84F4BA82AE9C}">
          <x14:formula1>
            <xm:f>BundlingCompatabilityData!Q20:Q114</xm:f>
          </x14:formula1>
          <xm:sqref>H342</xm:sqref>
        </x14:dataValidation>
        <x14:dataValidation type="list" allowBlank="1" showInputMessage="1" showErrorMessage="1" xr:uid="{C59BC1BD-AC72-4D4F-9717-4A0A72E0C9F5}">
          <x14:formula1>
            <xm:f>BundlingCompatabilityData!Q20:Q114</xm:f>
          </x14:formula1>
          <xm:sqref>H343</xm:sqref>
        </x14:dataValidation>
        <x14:dataValidation type="list" allowBlank="1" showInputMessage="1" showErrorMessage="1" xr:uid="{9AF5F3C3-34B9-4AB0-9AB8-A26721BF3993}">
          <x14:formula1>
            <xm:f>BundlingCompatabilityData!Q20:Q114</xm:f>
          </x14:formula1>
          <xm:sqref>H344</xm:sqref>
        </x14:dataValidation>
        <x14:dataValidation type="list" allowBlank="1" showInputMessage="1" showErrorMessage="1" xr:uid="{29B9601E-7558-405C-B5D8-4B1497B654FB}">
          <x14:formula1>
            <xm:f>BundlingCompatabilityData!Q20:Q114</xm:f>
          </x14:formula1>
          <xm:sqref>H345</xm:sqref>
        </x14:dataValidation>
        <x14:dataValidation type="list" allowBlank="1" showInputMessage="1" showErrorMessage="1" xr:uid="{DD4B140F-74A2-4CF2-8587-463B229883C9}">
          <x14:formula1>
            <xm:f>BundlingCompatabilityData!Q20:Q114</xm:f>
          </x14:formula1>
          <xm:sqref>H346</xm:sqref>
        </x14:dataValidation>
        <x14:dataValidation type="list" allowBlank="1" showInputMessage="1" showErrorMessage="1" xr:uid="{AD7F4192-9CC2-4BA6-96B6-EAA15FC1B5AF}">
          <x14:formula1>
            <xm:f>BundlingCompatabilityData!Q20:Q114</xm:f>
          </x14:formula1>
          <xm:sqref>H347</xm:sqref>
        </x14:dataValidation>
        <x14:dataValidation type="list" allowBlank="1" showInputMessage="1" showErrorMessage="1" xr:uid="{CF8DBEC3-A766-417E-B7ED-BED175025E3A}">
          <x14:formula1>
            <xm:f>BundlingCompatabilityData!Q20:Q114</xm:f>
          </x14:formula1>
          <xm:sqref>H348</xm:sqref>
        </x14:dataValidation>
        <x14:dataValidation type="list" allowBlank="1" showInputMessage="1" showErrorMessage="1" xr:uid="{5484EA8C-E077-45E9-B2E5-4C36903A83B8}">
          <x14:formula1>
            <xm:f>BundlingCompatabilityData!Q20:Q114</xm:f>
          </x14:formula1>
          <xm:sqref>H349</xm:sqref>
        </x14:dataValidation>
        <x14:dataValidation type="list" allowBlank="1" showInputMessage="1" showErrorMessage="1" xr:uid="{76E6044D-4B06-4B8F-9F07-C0940A384181}">
          <x14:formula1>
            <xm:f>BundlingCompatabilityData!Q20:Q114</xm:f>
          </x14:formula1>
          <xm:sqref>H350</xm:sqref>
        </x14:dataValidation>
        <x14:dataValidation type="list" allowBlank="1" showInputMessage="1" showErrorMessage="1" xr:uid="{229743D3-5DF0-496C-9F5B-03B89588EF51}">
          <x14:formula1>
            <xm:f>BundlingCompatabilityData!Q20:Q114</xm:f>
          </x14:formula1>
          <xm:sqref>H351</xm:sqref>
        </x14:dataValidation>
        <x14:dataValidation type="list" allowBlank="1" showInputMessage="1" showErrorMessage="1" xr:uid="{FA2B340C-E554-4786-BDFA-2FA5FD032A92}">
          <x14:formula1>
            <xm:f>BundlingCompatabilityData!Q20:Q114</xm:f>
          </x14:formula1>
          <xm:sqref>H352</xm:sqref>
        </x14:dataValidation>
        <x14:dataValidation type="list" allowBlank="1" showInputMessage="1" showErrorMessage="1" xr:uid="{9B14118D-93F9-4822-ABC4-03EF9CDC7B68}">
          <x14:formula1>
            <xm:f>BundlingCompatabilityData!Q20:Q114</xm:f>
          </x14:formula1>
          <xm:sqref>H353</xm:sqref>
        </x14:dataValidation>
        <x14:dataValidation type="list" allowBlank="1" showInputMessage="1" showErrorMessage="1" xr:uid="{04C82753-F144-4252-9ABC-53ECB538DF78}">
          <x14:formula1>
            <xm:f>BundlingCompatabilityData!Q20:Q114</xm:f>
          </x14:formula1>
          <xm:sqref>H354</xm:sqref>
        </x14:dataValidation>
        <x14:dataValidation type="list" allowBlank="1" showInputMessage="1" showErrorMessage="1" xr:uid="{3EC9326F-B3F8-4D5E-A0DA-C869410AF10B}">
          <x14:formula1>
            <xm:f>BundlingCompatabilityData!Q20:Q114</xm:f>
          </x14:formula1>
          <xm:sqref>H355</xm:sqref>
        </x14:dataValidation>
        <x14:dataValidation type="list" allowBlank="1" showInputMessage="1" showErrorMessage="1" xr:uid="{7C6EAC18-0F69-4796-95D1-239275D8BE00}">
          <x14:formula1>
            <xm:f>BundlingCompatabilityData!Q20:Q114</xm:f>
          </x14:formula1>
          <xm:sqref>H356</xm:sqref>
        </x14:dataValidation>
        <x14:dataValidation type="list" allowBlank="1" showInputMessage="1" showErrorMessage="1" xr:uid="{A8CEB458-E5C4-4395-B412-40A01BEFD9D9}">
          <x14:formula1>
            <xm:f>BundlingCompatabilityData!Q20:Q114</xm:f>
          </x14:formula1>
          <xm:sqref>H357</xm:sqref>
        </x14:dataValidation>
        <x14:dataValidation type="list" allowBlank="1" showInputMessage="1" showErrorMessage="1" xr:uid="{EEF64CDB-3ECB-4F8D-B3B6-08D6A623F889}">
          <x14:formula1>
            <xm:f>BundlingCompatabilityData!Q20:Q114</xm:f>
          </x14:formula1>
          <xm:sqref>H358</xm:sqref>
        </x14:dataValidation>
        <x14:dataValidation type="list" allowBlank="1" showInputMessage="1" showErrorMessage="1" xr:uid="{BA974672-6834-41F5-8151-F577B19D2563}">
          <x14:formula1>
            <xm:f>BundlingCompatabilityData!Q20:Q114</xm:f>
          </x14:formula1>
          <xm:sqref>H359</xm:sqref>
        </x14:dataValidation>
        <x14:dataValidation type="list" allowBlank="1" showInputMessage="1" showErrorMessage="1" xr:uid="{0411D5C4-9124-4FC3-A7C0-DF1C2D319B46}">
          <x14:formula1>
            <xm:f>BundlingCompatabilityData!Q20:Q114</xm:f>
          </x14:formula1>
          <xm:sqref>H360</xm:sqref>
        </x14:dataValidation>
        <x14:dataValidation type="list" allowBlank="1" showInputMessage="1" showErrorMessage="1" xr:uid="{56F0BAD6-DAF9-43B5-A7EC-7280191D6A2F}">
          <x14:formula1>
            <xm:f>BundlingCompatabilityData!Q20:Q114</xm:f>
          </x14:formula1>
          <xm:sqref>H361</xm:sqref>
        </x14:dataValidation>
        <x14:dataValidation type="list" allowBlank="1" showInputMessage="1" showErrorMessage="1" xr:uid="{3A5B560E-0470-446D-B4F4-E9C6DB042028}">
          <x14:formula1>
            <xm:f>BundlingCompatabilityData!Q20:Q114</xm:f>
          </x14:formula1>
          <xm:sqref>H362</xm:sqref>
        </x14:dataValidation>
        <x14:dataValidation type="list" allowBlank="1" showInputMessage="1" showErrorMessage="1" xr:uid="{551C241B-789E-4396-9D3C-4FE9E9068228}">
          <x14:formula1>
            <xm:f>BundlingCompatabilityData!Q20:Q114</xm:f>
          </x14:formula1>
          <xm:sqref>H363</xm:sqref>
        </x14:dataValidation>
        <x14:dataValidation type="list" allowBlank="1" showInputMessage="1" showErrorMessage="1" xr:uid="{718A1A1E-9316-4411-8312-EE6FCB52FD92}">
          <x14:formula1>
            <xm:f>BundlingCompatabilityData!Q20:Q114</xm:f>
          </x14:formula1>
          <xm:sqref>H364</xm:sqref>
        </x14:dataValidation>
        <x14:dataValidation type="list" allowBlank="1" showInputMessage="1" showErrorMessage="1" xr:uid="{F5744421-8BFC-4687-B910-2CBF78F427C7}">
          <x14:formula1>
            <xm:f>BundlingCompatabilityData!Q20:Q114</xm:f>
          </x14:formula1>
          <xm:sqref>H365</xm:sqref>
        </x14:dataValidation>
        <x14:dataValidation type="list" allowBlank="1" showInputMessage="1" showErrorMessage="1" xr:uid="{95D122F6-D0B3-4BF0-8E80-ADB37D1E2618}">
          <x14:formula1>
            <xm:f>BundlingCompatabilityData!Q20:Q114</xm:f>
          </x14:formula1>
          <xm:sqref>H366</xm:sqref>
        </x14:dataValidation>
        <x14:dataValidation type="list" allowBlank="1" showInputMessage="1" showErrorMessage="1" xr:uid="{F3F2CFB6-F3C3-4D41-8B19-036E29BF383D}">
          <x14:formula1>
            <xm:f>BundlingCompatabilityData!Q20:Q114</xm:f>
          </x14:formula1>
          <xm:sqref>H367</xm:sqref>
        </x14:dataValidation>
        <x14:dataValidation type="list" allowBlank="1" showInputMessage="1" showErrorMessage="1" xr:uid="{0133F013-899B-499A-A339-BCB051432D0B}">
          <x14:formula1>
            <xm:f>BundlingCompatabilityData!Q20:Q114</xm:f>
          </x14:formula1>
          <xm:sqref>H368</xm:sqref>
        </x14:dataValidation>
        <x14:dataValidation type="list" allowBlank="1" showInputMessage="1" showErrorMessage="1" xr:uid="{83F015B2-9A7C-41DE-94A9-4B6E30D30BA0}">
          <x14:formula1>
            <xm:f>BundlingCompatabilityData!Q20:Q114</xm:f>
          </x14:formula1>
          <xm:sqref>H369</xm:sqref>
        </x14:dataValidation>
        <x14:dataValidation type="list" allowBlank="1" showInputMessage="1" showErrorMessage="1" xr:uid="{AD7F7C79-CAA0-494D-95CE-EDA20227D684}">
          <x14:formula1>
            <xm:f>BundlingCompatabilityData!Q20:Q114</xm:f>
          </x14:formula1>
          <xm:sqref>H370</xm:sqref>
        </x14:dataValidation>
        <x14:dataValidation type="list" allowBlank="1" showInputMessage="1" showErrorMessage="1" xr:uid="{DB17BC56-2E3D-4A8E-86CE-D35BFCDF1375}">
          <x14:formula1>
            <xm:f>BundlingCompatabilityData!Q20:Q114</xm:f>
          </x14:formula1>
          <xm:sqref>H371</xm:sqref>
        </x14:dataValidation>
        <x14:dataValidation type="list" allowBlank="1" showInputMessage="1" showErrorMessage="1" xr:uid="{A41DF1B7-72F9-47CD-993A-83A18E8BF59E}">
          <x14:formula1>
            <xm:f>BundlingCompatabilityData!Q20:Q114</xm:f>
          </x14:formula1>
          <xm:sqref>H372</xm:sqref>
        </x14:dataValidation>
        <x14:dataValidation type="list" allowBlank="1" showInputMessage="1" showErrorMessage="1" xr:uid="{90EA588F-76C9-45A1-85A7-99B334F14C15}">
          <x14:formula1>
            <xm:f>BundlingCompatabilityData!Q20:Q114</xm:f>
          </x14:formula1>
          <xm:sqref>H373</xm:sqref>
        </x14:dataValidation>
        <x14:dataValidation type="list" allowBlank="1" showInputMessage="1" showErrorMessage="1" xr:uid="{DA295162-A20B-44C5-AE09-71B262B686E5}">
          <x14:formula1>
            <xm:f>BundlingCompatabilityData!Q20:Q114</xm:f>
          </x14:formula1>
          <xm:sqref>H374</xm:sqref>
        </x14:dataValidation>
        <x14:dataValidation type="list" allowBlank="1" showInputMessage="1" showErrorMessage="1" xr:uid="{525D9B5D-A53C-4E15-9A58-78F8680A94CD}">
          <x14:formula1>
            <xm:f>BundlingCompatabilityData!Q20:Q114</xm:f>
          </x14:formula1>
          <xm:sqref>H375</xm:sqref>
        </x14:dataValidation>
        <x14:dataValidation type="list" allowBlank="1" showInputMessage="1" showErrorMessage="1" xr:uid="{7A5CCE67-FB1E-4BCA-9A28-5AE1A7FF1838}">
          <x14:formula1>
            <xm:f>BundlingCompatabilityData!Q20:Q114</xm:f>
          </x14:formula1>
          <xm:sqref>H376</xm:sqref>
        </x14:dataValidation>
        <x14:dataValidation type="list" allowBlank="1" showInputMessage="1" showErrorMessage="1" xr:uid="{F7707FE5-FDB5-47EA-AEC3-9F3A42DB766A}">
          <x14:formula1>
            <xm:f>BundlingCompatabilityData!Q20:Q114</xm:f>
          </x14:formula1>
          <xm:sqref>H377</xm:sqref>
        </x14:dataValidation>
        <x14:dataValidation type="list" allowBlank="1" showInputMessage="1" showErrorMessage="1" xr:uid="{0ECC03F9-0756-4BDE-896D-9E778473AF92}">
          <x14:formula1>
            <xm:f>BundlingCompatabilityData!Q20:Q114</xm:f>
          </x14:formula1>
          <xm:sqref>H378</xm:sqref>
        </x14:dataValidation>
        <x14:dataValidation type="list" allowBlank="1" showInputMessage="1" showErrorMessage="1" xr:uid="{87C74EE2-6909-4C23-B1FE-32E0F44E71AF}">
          <x14:formula1>
            <xm:f>BundlingCompatabilityData!Q20:Q114</xm:f>
          </x14:formula1>
          <xm:sqref>H379</xm:sqref>
        </x14:dataValidation>
        <x14:dataValidation type="list" allowBlank="1" showInputMessage="1" showErrorMessage="1" xr:uid="{01F1CEAF-6BAC-4112-9671-694EFEB4903B}">
          <x14:formula1>
            <xm:f>BundlingCompatabilityData!Q20:Q114</xm:f>
          </x14:formula1>
          <xm:sqref>H380</xm:sqref>
        </x14:dataValidation>
        <x14:dataValidation type="list" allowBlank="1" showInputMessage="1" showErrorMessage="1" xr:uid="{5AE24681-9138-4F2D-B616-1AAB7A3A9B2D}">
          <x14:formula1>
            <xm:f>BundlingCompatabilityData!Q20:Q114</xm:f>
          </x14:formula1>
          <xm:sqref>H381</xm:sqref>
        </x14:dataValidation>
        <x14:dataValidation type="list" allowBlank="1" showInputMessage="1" showErrorMessage="1" xr:uid="{954EDCEC-E401-407F-BA64-E2A23A770172}">
          <x14:formula1>
            <xm:f>BundlingCompatabilityData!Q20:Q114</xm:f>
          </x14:formula1>
          <xm:sqref>H382</xm:sqref>
        </x14:dataValidation>
        <x14:dataValidation type="list" allowBlank="1" showInputMessage="1" showErrorMessage="1" xr:uid="{F366D75E-2076-40DA-91C5-8EAB37A51894}">
          <x14:formula1>
            <xm:f>BundlingCompatabilityData!Q20:Q114</xm:f>
          </x14:formula1>
          <xm:sqref>H383</xm:sqref>
        </x14:dataValidation>
        <x14:dataValidation type="list" allowBlank="1" showInputMessage="1" showErrorMessage="1" xr:uid="{481DFD97-BCDB-4A69-B7AA-96B939D14C9A}">
          <x14:formula1>
            <xm:f>BundlingCompatabilityData!Q20:Q114</xm:f>
          </x14:formula1>
          <xm:sqref>H384</xm:sqref>
        </x14:dataValidation>
        <x14:dataValidation type="list" allowBlank="1" showInputMessage="1" showErrorMessage="1" xr:uid="{5A73B533-89D7-4B54-B061-CC73E43FD746}">
          <x14:formula1>
            <xm:f>BundlingCompatabilityData!Q20:Q114</xm:f>
          </x14:formula1>
          <xm:sqref>H385</xm:sqref>
        </x14:dataValidation>
        <x14:dataValidation type="list" allowBlank="1" showInputMessage="1" showErrorMessage="1" xr:uid="{5CDD8176-21DC-4AE8-8076-F080655DA9E5}">
          <x14:formula1>
            <xm:f>BundlingCompatabilityData!Q20:Q114</xm:f>
          </x14:formula1>
          <xm:sqref>H386</xm:sqref>
        </x14:dataValidation>
        <x14:dataValidation type="list" allowBlank="1" showInputMessage="1" showErrorMessage="1" xr:uid="{D37159EB-1DCD-4569-89CA-257E13645EEB}">
          <x14:formula1>
            <xm:f>BundlingCompatabilityData!Q20:Q114</xm:f>
          </x14:formula1>
          <xm:sqref>H387</xm:sqref>
        </x14:dataValidation>
        <x14:dataValidation type="list" allowBlank="1" showInputMessage="1" showErrorMessage="1" xr:uid="{41A7E28B-84AB-46BD-AE3A-1D3202B5E741}">
          <x14:formula1>
            <xm:f>BundlingCompatabilityData!Q20:Q114</xm:f>
          </x14:formula1>
          <xm:sqref>H388</xm:sqref>
        </x14:dataValidation>
        <x14:dataValidation type="list" allowBlank="1" showInputMessage="1" showErrorMessage="1" xr:uid="{58E5D12A-3F56-4E51-B48B-76FF0D56B87D}">
          <x14:formula1>
            <xm:f>BundlingCompatabilityData!Q20:Q114</xm:f>
          </x14:formula1>
          <xm:sqref>H389</xm:sqref>
        </x14:dataValidation>
        <x14:dataValidation type="list" allowBlank="1" showInputMessage="1" showErrorMessage="1" xr:uid="{F1679F99-C4BF-4D32-BE8F-B56F06100098}">
          <x14:formula1>
            <xm:f>BundlingCompatabilityData!Q20:Q114</xm:f>
          </x14:formula1>
          <xm:sqref>H390</xm:sqref>
        </x14:dataValidation>
        <x14:dataValidation type="list" allowBlank="1" showInputMessage="1" showErrorMessage="1" xr:uid="{79388E38-0C25-4392-B85D-C5875F44F667}">
          <x14:formula1>
            <xm:f>BundlingCompatabilityData!Q20:Q114</xm:f>
          </x14:formula1>
          <xm:sqref>H391</xm:sqref>
        </x14:dataValidation>
        <x14:dataValidation type="list" allowBlank="1" showInputMessage="1" showErrorMessage="1" xr:uid="{8A0C87C7-17EB-4A6A-8E30-989A5EE55469}">
          <x14:formula1>
            <xm:f>BundlingCompatabilityData!Q20:Q114</xm:f>
          </x14:formula1>
          <xm:sqref>H392</xm:sqref>
        </x14:dataValidation>
        <x14:dataValidation type="list" allowBlank="1" showInputMessage="1" showErrorMessage="1" xr:uid="{569500CD-E325-438B-9A81-455B1D3AC5A2}">
          <x14:formula1>
            <xm:f>BundlingCompatabilityData!Q20:Q114</xm:f>
          </x14:formula1>
          <xm:sqref>H393</xm:sqref>
        </x14:dataValidation>
        <x14:dataValidation type="list" allowBlank="1" showInputMessage="1" showErrorMessage="1" xr:uid="{76968C10-9530-4E1B-9C98-01B2B143EB85}">
          <x14:formula1>
            <xm:f>BundlingCompatabilityData!Q20:Q114</xm:f>
          </x14:formula1>
          <xm:sqref>H394</xm:sqref>
        </x14:dataValidation>
        <x14:dataValidation type="list" allowBlank="1" showInputMessage="1" showErrorMessage="1" xr:uid="{1401703D-4559-4832-9C7C-282352414D95}">
          <x14:formula1>
            <xm:f>BundlingCompatabilityData!Q20:Q114</xm:f>
          </x14:formula1>
          <xm:sqref>H395</xm:sqref>
        </x14:dataValidation>
        <x14:dataValidation type="list" allowBlank="1" showInputMessage="1" showErrorMessage="1" xr:uid="{EA4E8E07-0811-44B8-B4CF-9AF035EB477C}">
          <x14:formula1>
            <xm:f>BundlingCompatabilityData!Q20:Q114</xm:f>
          </x14:formula1>
          <xm:sqref>H396</xm:sqref>
        </x14:dataValidation>
        <x14:dataValidation type="list" allowBlank="1" showInputMessage="1" showErrorMessage="1" xr:uid="{384AA672-AE70-4198-B2BC-FECB8B1A86F8}">
          <x14:formula1>
            <xm:f>BundlingCompatabilityData!Q20:Q114</xm:f>
          </x14:formula1>
          <xm:sqref>H397</xm:sqref>
        </x14:dataValidation>
        <x14:dataValidation type="list" allowBlank="1" showInputMessage="1" showErrorMessage="1" xr:uid="{A4A25FE0-61FE-4535-A23F-694FCB4AB560}">
          <x14:formula1>
            <xm:f>BundlingCompatabilityData!Q20:Q114</xm:f>
          </x14:formula1>
          <xm:sqref>H398</xm:sqref>
        </x14:dataValidation>
        <x14:dataValidation type="list" allowBlank="1" showInputMessage="1" showErrorMessage="1" xr:uid="{A7C98F50-1E6C-44D3-AC01-2498AE74BF1B}">
          <x14:formula1>
            <xm:f>BundlingCompatabilityData!Q20:Q114</xm:f>
          </x14:formula1>
          <xm:sqref>H399</xm:sqref>
        </x14:dataValidation>
        <x14:dataValidation type="list" allowBlank="1" showInputMessage="1" showErrorMessage="1" xr:uid="{919A0659-51A9-460E-86C2-750181C78185}">
          <x14:formula1>
            <xm:f>BundlingCompatabilityData!Q20:Q114</xm:f>
          </x14:formula1>
          <xm:sqref>H400</xm:sqref>
        </x14:dataValidation>
        <x14:dataValidation type="list" allowBlank="1" showInputMessage="1" showErrorMessage="1" xr:uid="{6FF39824-25C4-4C28-933C-4CE6C0AD4360}">
          <x14:formula1>
            <xm:f>BundlingCompatabilityData!Q20:Q114</xm:f>
          </x14:formula1>
          <xm:sqref>H401</xm:sqref>
        </x14:dataValidation>
        <x14:dataValidation type="list" allowBlank="1" showInputMessage="1" showErrorMessage="1" xr:uid="{72201388-2158-4948-B398-DC6AC8E807E0}">
          <x14:formula1>
            <xm:f>BundlingCompatabilityData!Q20:Q114</xm:f>
          </x14:formula1>
          <xm:sqref>H402</xm:sqref>
        </x14:dataValidation>
        <x14:dataValidation type="list" allowBlank="1" showInputMessage="1" showErrorMessage="1" xr:uid="{C988E372-E84B-4976-8548-B4F074008B42}">
          <x14:formula1>
            <xm:f>BundlingCompatabilityData!Q20:Q114</xm:f>
          </x14:formula1>
          <xm:sqref>H403</xm:sqref>
        </x14:dataValidation>
        <x14:dataValidation type="list" allowBlank="1" showInputMessage="1" showErrorMessage="1" xr:uid="{D9CB447F-A438-4E36-B1C6-DA255ACD06E0}">
          <x14:formula1>
            <xm:f>BundlingCompatabilityData!Q20:Q114</xm:f>
          </x14:formula1>
          <xm:sqref>H404</xm:sqref>
        </x14:dataValidation>
        <x14:dataValidation type="list" allowBlank="1" showInputMessage="1" showErrorMessage="1" xr:uid="{00A052AB-2EF0-456A-971F-AA8940EE48A9}">
          <x14:formula1>
            <xm:f>BundlingCompatabilityData!Q20:Q114</xm:f>
          </x14:formula1>
          <xm:sqref>H405</xm:sqref>
        </x14:dataValidation>
        <x14:dataValidation type="list" allowBlank="1" showInputMessage="1" showErrorMessage="1" xr:uid="{3B787410-390D-43E1-BDFD-87C394D79375}">
          <x14:formula1>
            <xm:f>BundlingCompatabilityData!Q20:Q114</xm:f>
          </x14:formula1>
          <xm:sqref>H406</xm:sqref>
        </x14:dataValidation>
        <x14:dataValidation type="list" allowBlank="1" showInputMessage="1" showErrorMessage="1" xr:uid="{B013C251-B6C3-4190-95AA-36D1BA203A34}">
          <x14:formula1>
            <xm:f>BundlingCompatabilityData!Q20:Q114</xm:f>
          </x14:formula1>
          <xm:sqref>H407</xm:sqref>
        </x14:dataValidation>
        <x14:dataValidation type="list" allowBlank="1" showInputMessage="1" showErrorMessage="1" xr:uid="{BC1F43CB-666E-46A9-9796-09FE3CA26CAE}">
          <x14:formula1>
            <xm:f>BundlingCompatabilityData!Q20:Q114</xm:f>
          </x14:formula1>
          <xm:sqref>H408</xm:sqref>
        </x14:dataValidation>
        <x14:dataValidation type="list" allowBlank="1" showInputMessage="1" showErrorMessage="1" xr:uid="{35EBC7A0-BF47-4010-93B5-75A2CC4F1FCE}">
          <x14:formula1>
            <xm:f>BundlingCompatabilityData!Q20:Q114</xm:f>
          </x14:formula1>
          <xm:sqref>H409</xm:sqref>
        </x14:dataValidation>
        <x14:dataValidation type="list" allowBlank="1" showInputMessage="1" showErrorMessage="1" xr:uid="{C5110145-065D-4B61-9CB2-33AE0B5653E6}">
          <x14:formula1>
            <xm:f>BundlingCompatabilityData!Q20:Q114</xm:f>
          </x14:formula1>
          <xm:sqref>H410</xm:sqref>
        </x14:dataValidation>
        <x14:dataValidation type="list" allowBlank="1" showInputMessage="1" showErrorMessage="1" xr:uid="{DE85031F-4642-4D46-8E0D-57A7363290B4}">
          <x14:formula1>
            <xm:f>BundlingCompatabilityData!Q20:Q114</xm:f>
          </x14:formula1>
          <xm:sqref>H411</xm:sqref>
        </x14:dataValidation>
        <x14:dataValidation type="list" allowBlank="1" showInputMessage="1" showErrorMessage="1" xr:uid="{EFE90A19-0D2B-4DED-98D1-A2C305268AF6}">
          <x14:formula1>
            <xm:f>BundlingCompatabilityData!Q20:Q114</xm:f>
          </x14:formula1>
          <xm:sqref>H412</xm:sqref>
        </x14:dataValidation>
        <x14:dataValidation type="list" allowBlank="1" showInputMessage="1" showErrorMessage="1" xr:uid="{D192459A-D243-4E57-BA71-A7BA1CA9746D}">
          <x14:formula1>
            <xm:f>BundlingCompatabilityData!Q20:Q114</xm:f>
          </x14:formula1>
          <xm:sqref>H413</xm:sqref>
        </x14:dataValidation>
        <x14:dataValidation type="list" allowBlank="1" showInputMessage="1" showErrorMessage="1" xr:uid="{62F77FBA-1C13-49DE-83CD-8DF8CBBB661A}">
          <x14:formula1>
            <xm:f>BundlingCompatabilityData!Q20:Q114</xm:f>
          </x14:formula1>
          <xm:sqref>H414</xm:sqref>
        </x14:dataValidation>
        <x14:dataValidation type="list" allowBlank="1" showInputMessage="1" showErrorMessage="1" xr:uid="{A708E190-8BDC-4E1A-AD3E-8D157E6AC381}">
          <x14:formula1>
            <xm:f>BundlingCompatabilityData!Q20:Q114</xm:f>
          </x14:formula1>
          <xm:sqref>H415</xm:sqref>
        </x14:dataValidation>
        <x14:dataValidation type="list" allowBlank="1" showInputMessage="1" showErrorMessage="1" xr:uid="{AAF679A0-FFCA-4AA9-B999-3F5B3BFE9956}">
          <x14:formula1>
            <xm:f>BundlingCompatabilityData!Q20:Q114</xm:f>
          </x14:formula1>
          <xm:sqref>H416</xm:sqref>
        </x14:dataValidation>
        <x14:dataValidation type="list" allowBlank="1" showInputMessage="1" showErrorMessage="1" xr:uid="{F09FC993-55A7-44F2-A941-BE8648F1962F}">
          <x14:formula1>
            <xm:f>BundlingCompatabilityData!Q20:Q114</xm:f>
          </x14:formula1>
          <xm:sqref>H417</xm:sqref>
        </x14:dataValidation>
        <x14:dataValidation type="list" allowBlank="1" showInputMessage="1" showErrorMessage="1" xr:uid="{C93F5A50-E02D-4446-8984-6ECF8925C579}">
          <x14:formula1>
            <xm:f>BundlingCompatabilityData!Q20:Q114</xm:f>
          </x14:formula1>
          <xm:sqref>H418</xm:sqref>
        </x14:dataValidation>
        <x14:dataValidation type="list" allowBlank="1" showInputMessage="1" showErrorMessage="1" xr:uid="{A39BBC28-C603-4E8C-9925-F5F9F5BC421D}">
          <x14:formula1>
            <xm:f>BundlingCompatabilityData!Q20:Q114</xm:f>
          </x14:formula1>
          <xm:sqref>H419</xm:sqref>
        </x14:dataValidation>
        <x14:dataValidation type="list" allowBlank="1" showInputMessage="1" showErrorMessage="1" xr:uid="{B2CEEFB8-C3A2-4D3F-9013-B7C758BC95E4}">
          <x14:formula1>
            <xm:f>BundlingCompatabilityData!Q20:Q114</xm:f>
          </x14:formula1>
          <xm:sqref>H420</xm:sqref>
        </x14:dataValidation>
        <x14:dataValidation type="list" allowBlank="1" showInputMessage="1" showErrorMessage="1" xr:uid="{BAE47D73-E491-4BEA-8A81-6F0EF908ED5F}">
          <x14:formula1>
            <xm:f>BundlingCompatabilityData!Q20:Q114</xm:f>
          </x14:formula1>
          <xm:sqref>H421</xm:sqref>
        </x14:dataValidation>
        <x14:dataValidation type="list" allowBlank="1" showInputMessage="1" showErrorMessage="1" xr:uid="{4CC123D5-FCA1-4DAD-8B5A-FBC5B5801E0D}">
          <x14:formula1>
            <xm:f>BundlingCompatabilityData!Q20:Q114</xm:f>
          </x14:formula1>
          <xm:sqref>H422</xm:sqref>
        </x14:dataValidation>
        <x14:dataValidation type="list" allowBlank="1" showInputMessage="1" showErrorMessage="1" xr:uid="{EE45A7E6-C79B-4485-8EE3-DABD75F6121B}">
          <x14:formula1>
            <xm:f>BundlingCompatabilityData!Q20:Q114</xm:f>
          </x14:formula1>
          <xm:sqref>H423</xm:sqref>
        </x14:dataValidation>
        <x14:dataValidation type="list" allowBlank="1" showInputMessage="1" showErrorMessage="1" xr:uid="{E2536179-AFF1-4F1E-8508-E4CB9F150A4E}">
          <x14:formula1>
            <xm:f>BundlingCompatabilityData!Q20:Q114</xm:f>
          </x14:formula1>
          <xm:sqref>H424</xm:sqref>
        </x14:dataValidation>
        <x14:dataValidation type="list" allowBlank="1" showInputMessage="1" showErrorMessage="1" xr:uid="{1366D010-8A26-4103-B6EC-784531CE25C7}">
          <x14:formula1>
            <xm:f>BundlingCompatabilityData!Q20:Q114</xm:f>
          </x14:formula1>
          <xm:sqref>H425</xm:sqref>
        </x14:dataValidation>
        <x14:dataValidation type="list" allowBlank="1" showInputMessage="1" showErrorMessage="1" xr:uid="{A7374CC2-4506-4F82-97D0-D6592536439A}">
          <x14:formula1>
            <xm:f>BundlingCompatabilityData!Q20:Q114</xm:f>
          </x14:formula1>
          <xm:sqref>H426</xm:sqref>
        </x14:dataValidation>
        <x14:dataValidation type="list" allowBlank="1" showInputMessage="1" showErrorMessage="1" xr:uid="{9E01170B-5C10-4774-B7DA-7075091931DB}">
          <x14:formula1>
            <xm:f>BundlingCompatabilityData!Q20:Q114</xm:f>
          </x14:formula1>
          <xm:sqref>H427</xm:sqref>
        </x14:dataValidation>
        <x14:dataValidation type="list" allowBlank="1" showInputMessage="1" showErrorMessage="1" xr:uid="{6853704D-0DBF-4C35-9FAE-440547B5E55F}">
          <x14:formula1>
            <xm:f>BundlingCompatabilityData!Q20:Q114</xm:f>
          </x14:formula1>
          <xm:sqref>H428</xm:sqref>
        </x14:dataValidation>
        <x14:dataValidation type="list" allowBlank="1" showInputMessage="1" showErrorMessage="1" xr:uid="{638E2A40-27EC-4AF0-9ABA-A709C295C7B0}">
          <x14:formula1>
            <xm:f>BundlingCompatabilityData!Q20:Q114</xm:f>
          </x14:formula1>
          <xm:sqref>H429</xm:sqref>
        </x14:dataValidation>
        <x14:dataValidation type="list" allowBlank="1" showInputMessage="1" showErrorMessage="1" xr:uid="{343C504C-CF1C-42D6-BA54-78F4008096C0}">
          <x14:formula1>
            <xm:f>BundlingCompatabilityData!Q20:Q114</xm:f>
          </x14:formula1>
          <xm:sqref>H430</xm:sqref>
        </x14:dataValidation>
        <x14:dataValidation type="list" allowBlank="1" showInputMessage="1" showErrorMessage="1" xr:uid="{E7C05144-77C8-46DF-9AA1-6F9C1027C5E3}">
          <x14:formula1>
            <xm:f>BundlingCompatabilityData!Q20:Q114</xm:f>
          </x14:formula1>
          <xm:sqref>H431</xm:sqref>
        </x14:dataValidation>
        <x14:dataValidation type="list" allowBlank="1" showInputMessage="1" showErrorMessage="1" xr:uid="{B59F2C31-BC54-4A46-8ACC-839615CED572}">
          <x14:formula1>
            <xm:f>BundlingCompatabilityData!Q20:Q114</xm:f>
          </x14:formula1>
          <xm:sqref>H432</xm:sqref>
        </x14:dataValidation>
        <x14:dataValidation type="list" allowBlank="1" showInputMessage="1" showErrorMessage="1" xr:uid="{68FBE183-F870-42CF-8D1D-B8CB1DFB995E}">
          <x14:formula1>
            <xm:f>BundlingCompatabilityData!Q20:Q114</xm:f>
          </x14:formula1>
          <xm:sqref>H433</xm:sqref>
        </x14:dataValidation>
        <x14:dataValidation type="list" allowBlank="1" showInputMessage="1" showErrorMessage="1" xr:uid="{D9EF9A27-4B90-41FE-A994-DF6E9A8FEF49}">
          <x14:formula1>
            <xm:f>BundlingCompatabilityData!Q20:Q114</xm:f>
          </x14:formula1>
          <xm:sqref>H434</xm:sqref>
        </x14:dataValidation>
        <x14:dataValidation type="list" allowBlank="1" showInputMessage="1" showErrorMessage="1" xr:uid="{57C29A88-6AEE-46DC-B121-E0A41BE3595D}">
          <x14:formula1>
            <xm:f>BundlingCompatabilityData!Q20:Q114</xm:f>
          </x14:formula1>
          <xm:sqref>H435</xm:sqref>
        </x14:dataValidation>
        <x14:dataValidation type="list" allowBlank="1" showInputMessage="1" showErrorMessage="1" xr:uid="{0D90C683-8F3B-42F6-BF72-9689A2399C47}">
          <x14:formula1>
            <xm:f>BundlingCompatabilityData!Q20:Q114</xm:f>
          </x14:formula1>
          <xm:sqref>H436</xm:sqref>
        </x14:dataValidation>
        <x14:dataValidation type="list" allowBlank="1" showInputMessage="1" showErrorMessage="1" xr:uid="{2BFD4B70-C11B-482F-A0D5-154B8FDF45F9}">
          <x14:formula1>
            <xm:f>BundlingCompatabilityData!Q20:Q114</xm:f>
          </x14:formula1>
          <xm:sqref>H437</xm:sqref>
        </x14:dataValidation>
        <x14:dataValidation type="list" allowBlank="1" showInputMessage="1" showErrorMessage="1" xr:uid="{E4317378-1A8C-4726-8062-D9ED34A97132}">
          <x14:formula1>
            <xm:f>BundlingCompatabilityData!Q20:Q114</xm:f>
          </x14:formula1>
          <xm:sqref>H438</xm:sqref>
        </x14:dataValidation>
        <x14:dataValidation type="list" allowBlank="1" showInputMessage="1" showErrorMessage="1" xr:uid="{FBD09D56-F474-4C00-97C5-86D18C77F91F}">
          <x14:formula1>
            <xm:f>BundlingCompatabilityData!Q20:Q114</xm:f>
          </x14:formula1>
          <xm:sqref>H439</xm:sqref>
        </x14:dataValidation>
        <x14:dataValidation type="list" allowBlank="1" showInputMessage="1" showErrorMessage="1" xr:uid="{E2EBA682-4A9C-4055-A7F5-7492C4B906FA}">
          <x14:formula1>
            <xm:f>BundlingCompatabilityData!Q20:Q114</xm:f>
          </x14:formula1>
          <xm:sqref>H440</xm:sqref>
        </x14:dataValidation>
        <x14:dataValidation type="list" allowBlank="1" showInputMessage="1" showErrorMessage="1" xr:uid="{D541F2D3-3BD0-4C15-B2DA-D3D1F37F5B2D}">
          <x14:formula1>
            <xm:f>BundlingCompatabilityData!Q20:Q114</xm:f>
          </x14:formula1>
          <xm:sqref>H441</xm:sqref>
        </x14:dataValidation>
        <x14:dataValidation type="list" allowBlank="1" showInputMessage="1" showErrorMessage="1" xr:uid="{9DA4ED26-82BE-49C4-8B2B-B0493CEF39D8}">
          <x14:formula1>
            <xm:f>BundlingCompatabilityData!Q20:Q114</xm:f>
          </x14:formula1>
          <xm:sqref>H442</xm:sqref>
        </x14:dataValidation>
        <x14:dataValidation type="list" allowBlank="1" showInputMessage="1" showErrorMessage="1" xr:uid="{A5C097AD-FD3D-4311-BCA7-F0B6961E5CF6}">
          <x14:formula1>
            <xm:f>BundlingCompatabilityData!Q20:Q114</xm:f>
          </x14:formula1>
          <xm:sqref>H443</xm:sqref>
        </x14:dataValidation>
        <x14:dataValidation type="list" allowBlank="1" showInputMessage="1" showErrorMessage="1" xr:uid="{22663E97-4A34-4E35-962B-ED749E0DF310}">
          <x14:formula1>
            <xm:f>BundlingCompatabilityData!Q20:Q114</xm:f>
          </x14:formula1>
          <xm:sqref>H444</xm:sqref>
        </x14:dataValidation>
        <x14:dataValidation type="list" allowBlank="1" showInputMessage="1" showErrorMessage="1" xr:uid="{CCE613E4-D43E-4AB1-ABCC-7EF0CFEAA704}">
          <x14:formula1>
            <xm:f>BundlingCompatabilityData!Q20:Q114</xm:f>
          </x14:formula1>
          <xm:sqref>H445</xm:sqref>
        </x14:dataValidation>
        <x14:dataValidation type="list" allowBlank="1" showInputMessage="1" showErrorMessage="1" xr:uid="{CCF3B728-5EC0-4025-98DC-02D948A6790D}">
          <x14:formula1>
            <xm:f>BundlingCompatabilityData!Q20:Q114</xm:f>
          </x14:formula1>
          <xm:sqref>H446</xm:sqref>
        </x14:dataValidation>
        <x14:dataValidation type="list" allowBlank="1" showInputMessage="1" showErrorMessage="1" xr:uid="{0FE17B5F-FD97-4A6E-B68B-6EACC7982E11}">
          <x14:formula1>
            <xm:f>BundlingCompatabilityData!Q20:Q114</xm:f>
          </x14:formula1>
          <xm:sqref>H447</xm:sqref>
        </x14:dataValidation>
        <x14:dataValidation type="list" allowBlank="1" showInputMessage="1" showErrorMessage="1" xr:uid="{7D5D80E4-67B0-4386-A9D3-882FE7989437}">
          <x14:formula1>
            <xm:f>BundlingCompatabilityData!Q20:Q114</xm:f>
          </x14:formula1>
          <xm:sqref>H448</xm:sqref>
        </x14:dataValidation>
        <x14:dataValidation type="list" allowBlank="1" showInputMessage="1" showErrorMessage="1" xr:uid="{C664D4AA-3E82-4E86-8DCF-3C598E303DAD}">
          <x14:formula1>
            <xm:f>BundlingCompatabilityData!Q20:Q114</xm:f>
          </x14:formula1>
          <xm:sqref>H449</xm:sqref>
        </x14:dataValidation>
        <x14:dataValidation type="list" allowBlank="1" showInputMessage="1" showErrorMessage="1" xr:uid="{276C0193-AE9D-4974-9FB4-8D929F0F1C10}">
          <x14:formula1>
            <xm:f>BundlingCompatabilityData!Q20:Q114</xm:f>
          </x14:formula1>
          <xm:sqref>H450</xm:sqref>
        </x14:dataValidation>
        <x14:dataValidation type="list" allowBlank="1" showInputMessage="1" showErrorMessage="1" xr:uid="{DD0EFFE2-4F5E-458E-95A4-E9EB8CC080BD}">
          <x14:formula1>
            <xm:f>BundlingCompatabilityData!Q20:Q114</xm:f>
          </x14:formula1>
          <xm:sqref>H451</xm:sqref>
        </x14:dataValidation>
        <x14:dataValidation type="list" allowBlank="1" showInputMessage="1" showErrorMessage="1" xr:uid="{68605618-207E-4C6E-A970-C8576A9CFD6E}">
          <x14:formula1>
            <xm:f>BundlingCompatabilityData!Q20:Q114</xm:f>
          </x14:formula1>
          <xm:sqref>H452</xm:sqref>
        </x14:dataValidation>
        <x14:dataValidation type="list" allowBlank="1" showInputMessage="1" showErrorMessage="1" xr:uid="{64A8902A-0EB3-4AB0-9022-8D5D0EE3ED51}">
          <x14:formula1>
            <xm:f>BundlingCompatabilityData!Q20:Q114</xm:f>
          </x14:formula1>
          <xm:sqref>H453</xm:sqref>
        </x14:dataValidation>
        <x14:dataValidation type="list" allowBlank="1" showInputMessage="1" showErrorMessage="1" xr:uid="{A252FB75-598B-4C6B-BE7B-54668826561D}">
          <x14:formula1>
            <xm:f>BundlingCompatabilityData!Q20:Q114</xm:f>
          </x14:formula1>
          <xm:sqref>H454</xm:sqref>
        </x14:dataValidation>
        <x14:dataValidation type="list" allowBlank="1" showInputMessage="1" showErrorMessage="1" xr:uid="{687BD736-BBF0-4F19-908D-B58817C71160}">
          <x14:formula1>
            <xm:f>BundlingCompatabilityData!Q20:Q114</xm:f>
          </x14:formula1>
          <xm:sqref>H455</xm:sqref>
        </x14:dataValidation>
        <x14:dataValidation type="list" allowBlank="1" showInputMessage="1" showErrorMessage="1" xr:uid="{8D31D980-BEB1-437B-8ED1-86E9E42F4C43}">
          <x14:formula1>
            <xm:f>BundlingCompatabilityData!Q20:Q114</xm:f>
          </x14:formula1>
          <xm:sqref>H456</xm:sqref>
        </x14:dataValidation>
        <x14:dataValidation type="list" allowBlank="1" showInputMessage="1" showErrorMessage="1" xr:uid="{F730E9A4-9CC4-45DC-8410-C5D367AB7140}">
          <x14:formula1>
            <xm:f>BundlingCompatabilityData!Q20:Q114</xm:f>
          </x14:formula1>
          <xm:sqref>H457</xm:sqref>
        </x14:dataValidation>
        <x14:dataValidation type="list" allowBlank="1" showInputMessage="1" showErrorMessage="1" xr:uid="{EC978924-0201-402F-8A3D-1BF026FCF313}">
          <x14:formula1>
            <xm:f>BundlingCompatabilityData!Q20:Q114</xm:f>
          </x14:formula1>
          <xm:sqref>H458</xm:sqref>
        </x14:dataValidation>
        <x14:dataValidation type="list" allowBlank="1" showInputMessage="1" showErrorMessage="1" xr:uid="{910E8950-02A6-4F9A-9FEE-A9F7EB7D87C0}">
          <x14:formula1>
            <xm:f>BundlingCompatabilityData!Q20:Q114</xm:f>
          </x14:formula1>
          <xm:sqref>H459</xm:sqref>
        </x14:dataValidation>
        <x14:dataValidation type="list" allowBlank="1" showInputMessage="1" showErrorMessage="1" xr:uid="{14521F20-BEFF-416B-BAAA-5515CCA24950}">
          <x14:formula1>
            <xm:f>BundlingCompatabilityData!Q20:Q114</xm:f>
          </x14:formula1>
          <xm:sqref>H460</xm:sqref>
        </x14:dataValidation>
        <x14:dataValidation type="list" allowBlank="1" showInputMessage="1" showErrorMessage="1" xr:uid="{D925D134-5725-4F27-ACAF-D6AD2C3F20E8}">
          <x14:formula1>
            <xm:f>BundlingCompatabilityData!Q20:Q114</xm:f>
          </x14:formula1>
          <xm:sqref>H461</xm:sqref>
        </x14:dataValidation>
        <x14:dataValidation type="list" allowBlank="1" showInputMessage="1" showErrorMessage="1" xr:uid="{19C0166A-33E1-459A-BFC1-8800754C239E}">
          <x14:formula1>
            <xm:f>BundlingCompatabilityData!Q20:Q114</xm:f>
          </x14:formula1>
          <xm:sqref>H462</xm:sqref>
        </x14:dataValidation>
        <x14:dataValidation type="list" allowBlank="1" showInputMessage="1" showErrorMessage="1" xr:uid="{B8227FFF-E4AE-41EB-96A3-42E06232DD57}">
          <x14:formula1>
            <xm:f>BundlingCompatabilityData!Q20:Q114</xm:f>
          </x14:formula1>
          <xm:sqref>H463</xm:sqref>
        </x14:dataValidation>
        <x14:dataValidation type="list" allowBlank="1" showInputMessage="1" showErrorMessage="1" xr:uid="{B5AE5453-B931-4C07-BD53-FA04C63435A6}">
          <x14:formula1>
            <xm:f>BundlingCompatabilityData!Q20:Q114</xm:f>
          </x14:formula1>
          <xm:sqref>H464</xm:sqref>
        </x14:dataValidation>
        <x14:dataValidation type="list" allowBlank="1" showInputMessage="1" showErrorMessage="1" xr:uid="{848057AD-9935-4F8C-B26E-2C91C9D08B83}">
          <x14:formula1>
            <xm:f>BundlingCompatabilityData!Q20:Q114</xm:f>
          </x14:formula1>
          <xm:sqref>H465</xm:sqref>
        </x14:dataValidation>
        <x14:dataValidation type="list" allowBlank="1" showInputMessage="1" showErrorMessage="1" xr:uid="{B8A1328F-BC78-4C2D-ACF1-F502609A4E3A}">
          <x14:formula1>
            <xm:f>BundlingCompatabilityData!Q20:Q114</xm:f>
          </x14:formula1>
          <xm:sqref>H466</xm:sqref>
        </x14:dataValidation>
        <x14:dataValidation type="list" allowBlank="1" showInputMessage="1" showErrorMessage="1" xr:uid="{16A221DC-FA30-402F-B63C-2CDA117578E4}">
          <x14:formula1>
            <xm:f>BundlingCompatabilityData!Q20:Q114</xm:f>
          </x14:formula1>
          <xm:sqref>H467</xm:sqref>
        </x14:dataValidation>
        <x14:dataValidation type="list" allowBlank="1" showInputMessage="1" showErrorMessage="1" xr:uid="{E50EF516-F5A7-42D5-80A8-CDBAB961AC64}">
          <x14:formula1>
            <xm:f>BundlingCompatabilityData!Q20:Q114</xm:f>
          </x14:formula1>
          <xm:sqref>H468</xm:sqref>
        </x14:dataValidation>
        <x14:dataValidation type="list" allowBlank="1" showInputMessage="1" showErrorMessage="1" xr:uid="{81BD9812-912B-450C-9334-5548A59AEBBC}">
          <x14:formula1>
            <xm:f>BundlingCompatabilityData!Q20:Q114</xm:f>
          </x14:formula1>
          <xm:sqref>H469</xm:sqref>
        </x14:dataValidation>
        <x14:dataValidation type="list" allowBlank="1" showInputMessage="1" showErrorMessage="1" xr:uid="{245BB133-4D1D-4E8D-A55F-09199F396C35}">
          <x14:formula1>
            <xm:f>BundlingCompatabilityData!Q20:Q114</xm:f>
          </x14:formula1>
          <xm:sqref>H470</xm:sqref>
        </x14:dataValidation>
        <x14:dataValidation type="list" allowBlank="1" showInputMessage="1" showErrorMessage="1" xr:uid="{5247642E-B073-4AB9-81B0-11A3C1B6FBAE}">
          <x14:formula1>
            <xm:f>BundlingCompatabilityData!Q20:Q114</xm:f>
          </x14:formula1>
          <xm:sqref>H471</xm:sqref>
        </x14:dataValidation>
        <x14:dataValidation type="list" allowBlank="1" showInputMessage="1" showErrorMessage="1" xr:uid="{E63DEBC3-3D2F-4D33-90CF-F7B77EA969E9}">
          <x14:formula1>
            <xm:f>BundlingCompatabilityData!Q20:Q114</xm:f>
          </x14:formula1>
          <xm:sqref>H472</xm:sqref>
        </x14:dataValidation>
        <x14:dataValidation type="list" allowBlank="1" showInputMessage="1" showErrorMessage="1" xr:uid="{8E0EC96A-DC2A-40A5-B121-93CD4AE8BA9C}">
          <x14:formula1>
            <xm:f>BundlingCompatabilityData!Q20:Q114</xm:f>
          </x14:formula1>
          <xm:sqref>H473</xm:sqref>
        </x14:dataValidation>
        <x14:dataValidation type="list" allowBlank="1" showInputMessage="1" showErrorMessage="1" xr:uid="{527CE6BE-FBA8-4285-B037-704EB2785AA2}">
          <x14:formula1>
            <xm:f>BundlingCompatabilityData!Q20:Q114</xm:f>
          </x14:formula1>
          <xm:sqref>H474</xm:sqref>
        </x14:dataValidation>
        <x14:dataValidation type="list" allowBlank="1" showInputMessage="1" showErrorMessage="1" xr:uid="{4B21C497-2428-4F34-A5B7-F99CC2DF0FF1}">
          <x14:formula1>
            <xm:f>BundlingCompatabilityData!Q20:Q114</xm:f>
          </x14:formula1>
          <xm:sqref>H475</xm:sqref>
        </x14:dataValidation>
        <x14:dataValidation type="list" allowBlank="1" showInputMessage="1" showErrorMessage="1" xr:uid="{8D51F7F9-4C67-4BC3-96D0-6BE50B6D5466}">
          <x14:formula1>
            <xm:f>BundlingCompatabilityData!Q20:Q114</xm:f>
          </x14:formula1>
          <xm:sqref>H476</xm:sqref>
        </x14:dataValidation>
        <x14:dataValidation type="list" allowBlank="1" showInputMessage="1" showErrorMessage="1" xr:uid="{B023A9F8-0F6E-4E8D-9EE1-3C5EC2D57B0B}">
          <x14:formula1>
            <xm:f>BundlingCompatabilityData!Q20:Q114</xm:f>
          </x14:formula1>
          <xm:sqref>H477</xm:sqref>
        </x14:dataValidation>
        <x14:dataValidation type="list" allowBlank="1" showInputMessage="1" showErrorMessage="1" xr:uid="{9E2C6D3A-CE79-4053-9600-54B579559F9D}">
          <x14:formula1>
            <xm:f>BundlingCompatabilityData!Q20:Q114</xm:f>
          </x14:formula1>
          <xm:sqref>H478</xm:sqref>
        </x14:dataValidation>
        <x14:dataValidation type="list" allowBlank="1" showInputMessage="1" showErrorMessage="1" xr:uid="{69D40C04-D5F1-40EB-A003-0F3C7101CBF8}">
          <x14:formula1>
            <xm:f>BundlingCompatabilityData!Q20:Q114</xm:f>
          </x14:formula1>
          <xm:sqref>H479</xm:sqref>
        </x14:dataValidation>
        <x14:dataValidation type="list" allowBlank="1" showInputMessage="1" showErrorMessage="1" xr:uid="{A8481FBB-E201-4E7A-A049-D2C50288B2AA}">
          <x14:formula1>
            <xm:f>BundlingCompatabilityData!Q20:Q114</xm:f>
          </x14:formula1>
          <xm:sqref>H480</xm:sqref>
        </x14:dataValidation>
        <x14:dataValidation type="list" allowBlank="1" showInputMessage="1" showErrorMessage="1" xr:uid="{B0E606FD-01C5-444B-80A1-EF2E71866DE0}">
          <x14:formula1>
            <xm:f>BundlingCompatabilityData!Q20:Q114</xm:f>
          </x14:formula1>
          <xm:sqref>H481</xm:sqref>
        </x14:dataValidation>
        <x14:dataValidation type="list" allowBlank="1" showInputMessage="1" showErrorMessage="1" xr:uid="{12D9BB43-7996-4700-A4D6-71427807F461}">
          <x14:formula1>
            <xm:f>BundlingCompatabilityData!Q20:Q114</xm:f>
          </x14:formula1>
          <xm:sqref>H482</xm:sqref>
        </x14:dataValidation>
        <x14:dataValidation type="list" allowBlank="1" showInputMessage="1" showErrorMessage="1" xr:uid="{C27A18CE-08E8-4356-A505-DF9DA6C7FE9D}">
          <x14:formula1>
            <xm:f>BundlingCompatabilityData!Q20:Q114</xm:f>
          </x14:formula1>
          <xm:sqref>H483</xm:sqref>
        </x14:dataValidation>
        <x14:dataValidation type="list" allowBlank="1" showInputMessage="1" showErrorMessage="1" xr:uid="{1EC443AB-9771-421E-9181-DD8E6105D236}">
          <x14:formula1>
            <xm:f>BundlingCompatabilityData!Q20:Q114</xm:f>
          </x14:formula1>
          <xm:sqref>H484</xm:sqref>
        </x14:dataValidation>
        <x14:dataValidation type="list" allowBlank="1" showInputMessage="1" showErrorMessage="1" xr:uid="{9E3B761D-5681-4EE6-BDC0-521EE330D1DC}">
          <x14:formula1>
            <xm:f>BundlingCompatabilityData!Q20:Q114</xm:f>
          </x14:formula1>
          <xm:sqref>H485</xm:sqref>
        </x14:dataValidation>
        <x14:dataValidation type="list" allowBlank="1" showInputMessage="1" showErrorMessage="1" xr:uid="{0D179D18-0B3C-430C-8806-4F5D1BB293C5}">
          <x14:formula1>
            <xm:f>BundlingCompatabilityData!Q20:Q114</xm:f>
          </x14:formula1>
          <xm:sqref>H486</xm:sqref>
        </x14:dataValidation>
        <x14:dataValidation type="list" allowBlank="1" showInputMessage="1" showErrorMessage="1" xr:uid="{DC9A7C96-0CF3-43EE-ADEA-068755C247A1}">
          <x14:formula1>
            <xm:f>BundlingCompatabilityData!Q20:Q114</xm:f>
          </x14:formula1>
          <xm:sqref>H487</xm:sqref>
        </x14:dataValidation>
        <x14:dataValidation type="list" allowBlank="1" showInputMessage="1" showErrorMessage="1" xr:uid="{17BFF2C7-C211-4CCB-AF8E-926E58518D6D}">
          <x14:formula1>
            <xm:f>BundlingCompatabilityData!Q20:Q114</xm:f>
          </x14:formula1>
          <xm:sqref>H488</xm:sqref>
        </x14:dataValidation>
        <x14:dataValidation type="list" allowBlank="1" showInputMessage="1" showErrorMessage="1" xr:uid="{E7D67FFF-55FB-40F9-8F8C-7E3395CAF74A}">
          <x14:formula1>
            <xm:f>BundlingCompatabilityData!Q20:Q114</xm:f>
          </x14:formula1>
          <xm:sqref>H489</xm:sqref>
        </x14:dataValidation>
        <x14:dataValidation type="list" allowBlank="1" showInputMessage="1" showErrorMessage="1" xr:uid="{87529B65-8EC3-4F28-A4B5-E4FBD21FC1C6}">
          <x14:formula1>
            <xm:f>BundlingCompatabilityData!Q20:Q114</xm:f>
          </x14:formula1>
          <xm:sqref>H490</xm:sqref>
        </x14:dataValidation>
        <x14:dataValidation type="list" allowBlank="1" showInputMessage="1" showErrorMessage="1" xr:uid="{F53F8F35-8140-472C-B1E1-4FC580774173}">
          <x14:formula1>
            <xm:f>BundlingCompatabilityData!Q20:Q114</xm:f>
          </x14:formula1>
          <xm:sqref>H491</xm:sqref>
        </x14:dataValidation>
        <x14:dataValidation type="list" allowBlank="1" showInputMessage="1" showErrorMessage="1" xr:uid="{9C8F26C7-3F98-4C2C-95D8-FBB47C21DCA4}">
          <x14:formula1>
            <xm:f>BundlingCompatabilityData!Q20:Q114</xm:f>
          </x14:formula1>
          <xm:sqref>H492</xm:sqref>
        </x14:dataValidation>
        <x14:dataValidation type="list" allowBlank="1" showInputMessage="1" showErrorMessage="1" xr:uid="{4EAFCADB-30E1-4F8D-A39F-C071E42102D2}">
          <x14:formula1>
            <xm:f>BundlingCompatabilityData!Q20:Q114</xm:f>
          </x14:formula1>
          <xm:sqref>H493</xm:sqref>
        </x14:dataValidation>
        <x14:dataValidation type="list" allowBlank="1" showInputMessage="1" showErrorMessage="1" xr:uid="{0C4EDA38-9583-4EDD-9A73-F7B04F73B3E3}">
          <x14:formula1>
            <xm:f>BundlingCompatabilityData!Q20:Q114</xm:f>
          </x14:formula1>
          <xm:sqref>H494</xm:sqref>
        </x14:dataValidation>
        <x14:dataValidation type="list" allowBlank="1" showInputMessage="1" showErrorMessage="1" xr:uid="{5CB68200-D49F-4CB4-93F7-8DCBBC84E927}">
          <x14:formula1>
            <xm:f>BundlingCompatabilityData!Q20:Q114</xm:f>
          </x14:formula1>
          <xm:sqref>H495</xm:sqref>
        </x14:dataValidation>
        <x14:dataValidation type="list" allowBlank="1" showInputMessage="1" showErrorMessage="1" xr:uid="{D3E5DAE0-414C-47FF-9F1D-244019F8B5EB}">
          <x14:formula1>
            <xm:f>BundlingCompatabilityData!Q20:Q114</xm:f>
          </x14:formula1>
          <xm:sqref>H496</xm:sqref>
        </x14:dataValidation>
        <x14:dataValidation type="list" allowBlank="1" showInputMessage="1" showErrorMessage="1" xr:uid="{828CEAF4-0025-477C-A741-785C194D2588}">
          <x14:formula1>
            <xm:f>BundlingCompatabilityData!Q20:Q114</xm:f>
          </x14:formula1>
          <xm:sqref>H497</xm:sqref>
        </x14:dataValidation>
        <x14:dataValidation type="list" allowBlank="1" showInputMessage="1" showErrorMessage="1" xr:uid="{C6F29FBF-854B-47B1-A9BC-9F5A049303C0}">
          <x14:formula1>
            <xm:f>BundlingCompatabilityData!Q20:Q114</xm:f>
          </x14:formula1>
          <xm:sqref>H498</xm:sqref>
        </x14:dataValidation>
        <x14:dataValidation type="list" allowBlank="1" showInputMessage="1" showErrorMessage="1" xr:uid="{086829BD-FC69-48F2-880B-1F7C5C02C8B2}">
          <x14:formula1>
            <xm:f>BundlingCompatabilityData!Q20:Q114</xm:f>
          </x14:formula1>
          <xm:sqref>H499</xm:sqref>
        </x14:dataValidation>
        <x14:dataValidation type="list" allowBlank="1" showInputMessage="1" showErrorMessage="1" xr:uid="{CC36152A-D751-4A65-9826-3984E51A2CB1}">
          <x14:formula1>
            <xm:f>BundlingCompatabilityData!Q20:Q114</xm:f>
          </x14:formula1>
          <xm:sqref>H500</xm:sqref>
        </x14:dataValidation>
        <x14:dataValidation type="list" allowBlank="1" showInputMessage="1" showErrorMessage="1" xr:uid="{B6EC9697-8FEC-4DB8-B458-D8FC5D262A25}">
          <x14:formula1>
            <xm:f>BundlingCompatabilityData!Q20:Q114</xm:f>
          </x14:formula1>
          <xm:sqref>H501</xm:sqref>
        </x14:dataValidation>
        <x14:dataValidation type="list" allowBlank="1" showInputMessage="1" showErrorMessage="1" xr:uid="{2A50598B-A984-45E6-BBFB-9D22C04050AD}">
          <x14:formula1>
            <xm:f>BundlingCompatabilityData!Q20:Q114</xm:f>
          </x14:formula1>
          <xm:sqref>H502</xm:sqref>
        </x14:dataValidation>
        <x14:dataValidation type="list" allowBlank="1" showInputMessage="1" showErrorMessage="1" xr:uid="{DFA60068-7675-4DC9-A259-D2A7EB748197}">
          <x14:formula1>
            <xm:f>BundlingCompatabilityData!Q20:Q114</xm:f>
          </x14:formula1>
          <xm:sqref>H503</xm:sqref>
        </x14:dataValidation>
        <x14:dataValidation type="list" allowBlank="1" showInputMessage="1" showErrorMessage="1" xr:uid="{7A234D56-FB83-4D9C-8062-E2F74473C01C}">
          <x14:formula1>
            <xm:f>BundlingCompatabilityData!Q20:Q114</xm:f>
          </x14:formula1>
          <xm:sqref>H504</xm:sqref>
        </x14:dataValidation>
        <x14:dataValidation type="list" allowBlank="1" showInputMessage="1" showErrorMessage="1" xr:uid="{A5FE7C02-767A-4AA7-9D62-947CE65BB4F6}">
          <x14:formula1>
            <xm:f>BundlingCompatabilityData!Q20:Q114</xm:f>
          </x14:formula1>
          <xm:sqref>H505</xm:sqref>
        </x14:dataValidation>
        <x14:dataValidation type="list" allowBlank="1" showInputMessage="1" showErrorMessage="1" xr:uid="{5C5D0754-A879-4137-B7CA-60622BBC8F30}">
          <x14:formula1>
            <xm:f>BundlingCompatabilityData!Q20:Q114</xm:f>
          </x14:formula1>
          <xm:sqref>H506</xm:sqref>
        </x14:dataValidation>
        <x14:dataValidation type="list" allowBlank="1" showInputMessage="1" showErrorMessage="1" xr:uid="{558AE094-6A05-4185-8A60-30F7DF5DA7E2}">
          <x14:formula1>
            <xm:f>BundlingCompatabilityData!Q20:Q114</xm:f>
          </x14:formula1>
          <xm:sqref>H507</xm:sqref>
        </x14:dataValidation>
        <x14:dataValidation type="list" allowBlank="1" showInputMessage="1" showErrorMessage="1" xr:uid="{037CA9E3-0A84-4798-AA39-44B0F8EADE82}">
          <x14:formula1>
            <xm:f>BundlingCompatabilityData!Q20:Q114</xm:f>
          </x14:formula1>
          <xm:sqref>H508</xm:sqref>
        </x14:dataValidation>
        <x14:dataValidation type="list" allowBlank="1" showInputMessage="1" showErrorMessage="1" xr:uid="{00469E1F-351E-4ECE-8294-27F083B99DE8}">
          <x14:formula1>
            <xm:f>BundlingCompatabilityData!Q20:Q114</xm:f>
          </x14:formula1>
          <xm:sqref>H509</xm:sqref>
        </x14:dataValidation>
        <x14:dataValidation type="list" allowBlank="1" showInputMessage="1" showErrorMessage="1" xr:uid="{DBEE1BD1-AF5B-4EBE-9182-FD37EE17B689}">
          <x14:formula1>
            <xm:f>BundlingCompatabilityData!Q20:Q114</xm:f>
          </x14:formula1>
          <xm:sqref>H510</xm:sqref>
        </x14:dataValidation>
        <x14:dataValidation type="list" allowBlank="1" showInputMessage="1" showErrorMessage="1" xr:uid="{B73B0722-588A-4AAA-9B8C-7DC26D7A6C2A}">
          <x14:formula1>
            <xm:f>BundlingCompatabilityData!Q20:Q114</xm:f>
          </x14:formula1>
          <xm:sqref>H511</xm:sqref>
        </x14:dataValidation>
        <x14:dataValidation type="list" allowBlank="1" showInputMessage="1" showErrorMessage="1" xr:uid="{9173C924-758D-4291-A8A6-57F87A878F64}">
          <x14:formula1>
            <xm:f>BundlingCompatabilityData!Q20:Q114</xm:f>
          </x14:formula1>
          <xm:sqref>H512</xm:sqref>
        </x14:dataValidation>
        <x14:dataValidation type="list" allowBlank="1" showInputMessage="1" showErrorMessage="1" xr:uid="{4A0B0CDA-402E-4F59-8CC1-CE3197BB093C}">
          <x14:formula1>
            <xm:f>BundlingCompatabilityData!Q20:Q114</xm:f>
          </x14:formula1>
          <xm:sqref>H513</xm:sqref>
        </x14:dataValidation>
        <x14:dataValidation type="list" allowBlank="1" showInputMessage="1" showErrorMessage="1" xr:uid="{09E4EE28-B49D-487F-8FBF-6D161FBDDEDB}">
          <x14:formula1>
            <xm:f>BundlingCompatabilityData!Q20:Q114</xm:f>
          </x14:formula1>
          <xm:sqref>H514</xm:sqref>
        </x14:dataValidation>
        <x14:dataValidation type="list" allowBlank="1" showInputMessage="1" showErrorMessage="1" xr:uid="{8CE49DD6-261F-44E8-9C6D-1FEA921CA965}">
          <x14:formula1>
            <xm:f>BundlingCompatabilityData!Q20:Q114</xm:f>
          </x14:formula1>
          <xm:sqref>H515</xm:sqref>
        </x14:dataValidation>
        <x14:dataValidation type="list" allowBlank="1" showInputMessage="1" showErrorMessage="1" xr:uid="{9A718121-42E8-42D0-A542-948A43254D6C}">
          <x14:formula1>
            <xm:f>BundlingCompatabilityData!Q20:Q114</xm:f>
          </x14:formula1>
          <xm:sqref>H516</xm:sqref>
        </x14:dataValidation>
        <x14:dataValidation type="list" allowBlank="1" showInputMessage="1" showErrorMessage="1" xr:uid="{908DBBEE-2F41-416C-BB0A-D88E9BDADE9F}">
          <x14:formula1>
            <xm:f>BundlingCompatabilityData!Q20:Q114</xm:f>
          </x14:formula1>
          <xm:sqref>H517</xm:sqref>
        </x14:dataValidation>
        <x14:dataValidation type="list" allowBlank="1" showInputMessage="1" showErrorMessage="1" xr:uid="{8B0779EF-B68B-4378-BFA2-39ED561EE900}">
          <x14:formula1>
            <xm:f>BundlingCompatabilityData!Q20:Q114</xm:f>
          </x14:formula1>
          <xm:sqref>H518</xm:sqref>
        </x14:dataValidation>
        <x14:dataValidation type="list" allowBlank="1" showInputMessage="1" showErrorMessage="1" xr:uid="{AC59D367-35A8-436F-950D-52D7214388AD}">
          <x14:formula1>
            <xm:f>BundlingCompatabilityData!Q20:Q114</xm:f>
          </x14:formula1>
          <xm:sqref>H519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88E55-D6E9-4F8B-B59C-B9036C973BE8}">
  <sheetPr codeName="Sheet9"/>
  <dimension ref="A2:L5"/>
  <sheetViews>
    <sheetView workbookViewId="0">
      <selection activeCell="K8" sqref="K8"/>
    </sheetView>
  </sheetViews>
  <sheetFormatPr defaultRowHeight="14.4" x14ac:dyDescent="0.3"/>
  <cols>
    <col min="1" max="1" width="11.77734375" customWidth="1"/>
    <col min="2" max="2" width="12.5546875" customWidth="1"/>
    <col min="3" max="3" width="15.5546875" customWidth="1"/>
    <col min="4" max="4" width="12.77734375" customWidth="1"/>
    <col min="5" max="5" width="12.33203125" customWidth="1"/>
    <col min="6" max="6" width="17.21875" customWidth="1"/>
    <col min="7" max="7" width="11.44140625" customWidth="1"/>
    <col min="8" max="8" width="15.6640625" customWidth="1"/>
    <col min="9" max="9" width="13.109375" customWidth="1"/>
    <col min="10" max="10" width="16" customWidth="1"/>
    <col min="11" max="11" width="20.88671875" customWidth="1"/>
    <col min="12" max="12" width="23.44140625" customWidth="1"/>
  </cols>
  <sheetData>
    <row r="2" spans="1:12" x14ac:dyDescent="0.3">
      <c r="A2" t="s">
        <v>681</v>
      </c>
      <c r="B2" t="s">
        <v>682</v>
      </c>
      <c r="C2" t="s">
        <v>683</v>
      </c>
      <c r="D2" t="s">
        <v>684</v>
      </c>
      <c r="E2" t="s">
        <v>685</v>
      </c>
      <c r="F2" t="s">
        <v>686</v>
      </c>
      <c r="G2" t="s">
        <v>687</v>
      </c>
      <c r="H2" t="s">
        <v>688</v>
      </c>
      <c r="I2" t="s">
        <v>689</v>
      </c>
      <c r="J2" t="s">
        <v>690</v>
      </c>
      <c r="K2" t="s">
        <v>691</v>
      </c>
      <c r="L2" t="s">
        <v>692</v>
      </c>
    </row>
    <row r="3" spans="1:12" x14ac:dyDescent="0.3">
      <c r="A3">
        <v>1</v>
      </c>
      <c r="B3">
        <v>0.09</v>
      </c>
      <c r="C3">
        <v>0.14000000000000001</v>
      </c>
      <c r="D3">
        <v>0.08</v>
      </c>
      <c r="E3">
        <v>0.38</v>
      </c>
      <c r="F3">
        <v>0.11</v>
      </c>
      <c r="G3">
        <v>0.13</v>
      </c>
      <c r="H3">
        <v>7.0000000000000007E-2</v>
      </c>
      <c r="I3">
        <v>0</v>
      </c>
      <c r="J3">
        <v>0.6</v>
      </c>
      <c r="K3" t="b">
        <v>1</v>
      </c>
    </row>
    <row r="4" spans="1:12" x14ac:dyDescent="0.3">
      <c r="A4">
        <v>2</v>
      </c>
      <c r="B4">
        <v>0.09</v>
      </c>
      <c r="C4">
        <v>7.0000000000000007E-2</v>
      </c>
      <c r="D4">
        <v>0.08</v>
      </c>
      <c r="E4">
        <v>0.45</v>
      </c>
      <c r="F4">
        <v>0.11</v>
      </c>
      <c r="G4">
        <v>0.13</v>
      </c>
      <c r="H4">
        <v>7.0000000000000007E-2</v>
      </c>
      <c r="I4">
        <v>0</v>
      </c>
      <c r="J4">
        <v>0.7</v>
      </c>
      <c r="K4" t="b">
        <v>1</v>
      </c>
    </row>
    <row r="5" spans="1:12" x14ac:dyDescent="0.3">
      <c r="A5">
        <v>3</v>
      </c>
      <c r="B5">
        <v>0.1</v>
      </c>
      <c r="C5">
        <v>0.1</v>
      </c>
      <c r="D5">
        <v>0.1</v>
      </c>
      <c r="E5">
        <v>0.3</v>
      </c>
      <c r="F5">
        <v>0.15</v>
      </c>
      <c r="G5">
        <v>0.15</v>
      </c>
      <c r="H5">
        <v>0.1</v>
      </c>
      <c r="I5">
        <v>0</v>
      </c>
      <c r="J5">
        <v>0.6</v>
      </c>
      <c r="K5" t="b">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3E2E7-995E-4958-B0B2-D0876FF238D7}">
  <sheetPr codeName="Sheet42"/>
  <dimension ref="B1:CS299"/>
  <sheetViews>
    <sheetView zoomScale="90" zoomScaleNormal="90" workbookViewId="0">
      <pane xSplit="2" ySplit="2" topLeftCell="V3" activePane="bottomRight" state="frozen"/>
      <selection pane="topRight" activeCell="C1" sqref="C1"/>
      <selection pane="bottomLeft" activeCell="A3" sqref="A3"/>
      <selection pane="bottomRight" activeCell="Z39" sqref="Z39"/>
    </sheetView>
  </sheetViews>
  <sheetFormatPr defaultRowHeight="14.4" x14ac:dyDescent="0.3"/>
  <cols>
    <col min="2" max="97" width="12.6640625" customWidth="1"/>
  </cols>
  <sheetData>
    <row r="1" spans="2:97" ht="18" x14ac:dyDescent="0.35">
      <c r="B1" s="86" t="s">
        <v>250</v>
      </c>
      <c r="C1" s="87"/>
    </row>
    <row r="2" spans="2:97" x14ac:dyDescent="0.3">
      <c r="B2" s="83"/>
      <c r="C2" s="83" t="s">
        <v>60</v>
      </c>
      <c r="D2" s="83" t="s">
        <v>61</v>
      </c>
      <c r="E2" s="83" t="s">
        <v>62</v>
      </c>
      <c r="F2" s="83" t="s">
        <v>63</v>
      </c>
      <c r="G2" s="83" t="s">
        <v>64</v>
      </c>
      <c r="H2" s="83" t="s">
        <v>65</v>
      </c>
      <c r="I2" s="83" t="s">
        <v>66</v>
      </c>
      <c r="J2" s="83" t="s">
        <v>67</v>
      </c>
      <c r="K2" s="83" t="s">
        <v>68</v>
      </c>
      <c r="L2" s="83" t="s">
        <v>69</v>
      </c>
      <c r="M2" s="83" t="s">
        <v>70</v>
      </c>
      <c r="N2" s="83" t="s">
        <v>71</v>
      </c>
      <c r="O2" s="83" t="s">
        <v>72</v>
      </c>
      <c r="P2" s="83" t="s">
        <v>73</v>
      </c>
      <c r="Q2" s="83" t="s">
        <v>74</v>
      </c>
      <c r="R2" s="83" t="s">
        <v>75</v>
      </c>
      <c r="S2" s="83" t="s">
        <v>76</v>
      </c>
      <c r="T2" s="83" t="s">
        <v>77</v>
      </c>
      <c r="U2" s="83" t="s">
        <v>78</v>
      </c>
      <c r="V2" s="83" t="s">
        <v>79</v>
      </c>
      <c r="W2" s="83" t="s">
        <v>159</v>
      </c>
      <c r="X2" s="83" t="s">
        <v>81</v>
      </c>
      <c r="Y2" s="83" t="s">
        <v>82</v>
      </c>
      <c r="Z2" s="83" t="s">
        <v>83</v>
      </c>
      <c r="AA2" s="83" t="s">
        <v>84</v>
      </c>
      <c r="AB2" s="83" t="s">
        <v>85</v>
      </c>
      <c r="AC2" s="83" t="s">
        <v>86</v>
      </c>
      <c r="AD2" s="83" t="s">
        <v>87</v>
      </c>
      <c r="AE2" s="83" t="s">
        <v>88</v>
      </c>
      <c r="AF2" s="83" t="s">
        <v>89</v>
      </c>
      <c r="AG2" s="83" t="s">
        <v>90</v>
      </c>
      <c r="AH2" s="83" t="s">
        <v>91</v>
      </c>
      <c r="AI2" s="83" t="s">
        <v>92</v>
      </c>
      <c r="AJ2" s="83" t="s">
        <v>93</v>
      </c>
      <c r="AK2" s="83" t="s">
        <v>94</v>
      </c>
      <c r="AL2" s="83" t="s">
        <v>95</v>
      </c>
      <c r="AM2" s="83" t="s">
        <v>96</v>
      </c>
      <c r="AN2" s="83" t="s">
        <v>97</v>
      </c>
      <c r="AO2" s="83" t="s">
        <v>98</v>
      </c>
      <c r="AP2" s="83" t="s">
        <v>99</v>
      </c>
      <c r="AQ2" s="83" t="s">
        <v>100</v>
      </c>
      <c r="AR2" s="83" t="s">
        <v>101</v>
      </c>
      <c r="AS2" s="83" t="s">
        <v>102</v>
      </c>
      <c r="AT2" s="83" t="s">
        <v>103</v>
      </c>
      <c r="AU2" s="83" t="s">
        <v>104</v>
      </c>
      <c r="AV2" s="83" t="s">
        <v>105</v>
      </c>
      <c r="AW2" s="83" t="s">
        <v>106</v>
      </c>
      <c r="AX2" s="83" t="s">
        <v>107</v>
      </c>
      <c r="AY2" s="83" t="s">
        <v>108</v>
      </c>
      <c r="AZ2" s="83" t="s">
        <v>109</v>
      </c>
      <c r="BA2" s="83" t="s">
        <v>110</v>
      </c>
      <c r="BB2" s="83" t="s">
        <v>111</v>
      </c>
      <c r="BC2" s="83" t="s">
        <v>112</v>
      </c>
      <c r="BD2" s="83" t="s">
        <v>115</v>
      </c>
      <c r="BE2" s="83" t="s">
        <v>116</v>
      </c>
      <c r="BF2" s="83" t="s">
        <v>117</v>
      </c>
      <c r="BG2" s="83" t="s">
        <v>118</v>
      </c>
      <c r="BH2" s="83" t="s">
        <v>119</v>
      </c>
      <c r="BI2" s="83" t="s">
        <v>113</v>
      </c>
      <c r="BJ2" s="83" t="s">
        <v>114</v>
      </c>
      <c r="BK2" s="83" t="s">
        <v>120</v>
      </c>
      <c r="BL2" s="83" t="s">
        <v>121</v>
      </c>
      <c r="BM2" s="83" t="s">
        <v>122</v>
      </c>
      <c r="BN2" s="83" t="s">
        <v>123</v>
      </c>
      <c r="BO2" s="83" t="s">
        <v>124</v>
      </c>
      <c r="BP2" s="83" t="s">
        <v>125</v>
      </c>
      <c r="BQ2" s="83" t="s">
        <v>126</v>
      </c>
      <c r="BR2" s="83" t="s">
        <v>127</v>
      </c>
      <c r="BS2" s="83" t="s">
        <v>128</v>
      </c>
      <c r="BT2" s="83" t="s">
        <v>129</v>
      </c>
      <c r="BU2" s="83" t="s">
        <v>130</v>
      </c>
      <c r="BV2" s="83" t="s">
        <v>131</v>
      </c>
      <c r="BW2" s="83" t="s">
        <v>132</v>
      </c>
      <c r="BX2" s="83" t="s">
        <v>133</v>
      </c>
      <c r="BY2" s="83" t="s">
        <v>134</v>
      </c>
      <c r="BZ2" s="83" t="s">
        <v>135</v>
      </c>
      <c r="CA2" s="83" t="s">
        <v>136</v>
      </c>
      <c r="CB2" s="83" t="s">
        <v>137</v>
      </c>
      <c r="CC2" s="83" t="s">
        <v>138</v>
      </c>
      <c r="CD2" s="83" t="s">
        <v>139</v>
      </c>
      <c r="CE2" s="83" t="s">
        <v>140</v>
      </c>
      <c r="CF2" s="83" t="s">
        <v>141</v>
      </c>
      <c r="CG2" s="83" t="s">
        <v>142</v>
      </c>
      <c r="CH2" s="83" t="s">
        <v>143</v>
      </c>
      <c r="CI2" s="83" t="s">
        <v>144</v>
      </c>
      <c r="CJ2" s="83" t="s">
        <v>145</v>
      </c>
      <c r="CK2" s="83" t="s">
        <v>146</v>
      </c>
      <c r="CL2" s="83" t="s">
        <v>147</v>
      </c>
      <c r="CM2" s="83" t="s">
        <v>148</v>
      </c>
      <c r="CN2" s="83" t="s">
        <v>149</v>
      </c>
      <c r="CO2" s="83" t="s">
        <v>150</v>
      </c>
      <c r="CP2" s="83" t="s">
        <v>151</v>
      </c>
      <c r="CQ2" s="83" t="s">
        <v>152</v>
      </c>
      <c r="CR2" s="83" t="s">
        <v>153</v>
      </c>
      <c r="CS2" s="83" t="s">
        <v>154</v>
      </c>
    </row>
    <row r="3" spans="2:97" x14ac:dyDescent="0.3">
      <c r="B3" s="83" t="s">
        <v>60</v>
      </c>
      <c r="C3" s="88">
        <v>0</v>
      </c>
      <c r="D3" s="88">
        <v>133.27511035734992</v>
      </c>
      <c r="E3" s="88">
        <v>215.9371308186378</v>
      </c>
      <c r="F3" s="88">
        <v>66.882277291858799</v>
      </c>
      <c r="G3" s="88">
        <v>33.468456808509536</v>
      </c>
      <c r="H3" s="88">
        <v>76.230991954184191</v>
      </c>
      <c r="I3" s="88">
        <v>19.868811093896227</v>
      </c>
      <c r="J3" s="88">
        <v>106.30708827084361</v>
      </c>
      <c r="K3" s="88">
        <v>237.57850173544355</v>
      </c>
      <c r="L3" s="88">
        <v>116.01616776874064</v>
      </c>
      <c r="M3" s="88">
        <v>161.25844516407707</v>
      </c>
      <c r="N3" s="88">
        <v>251.96271621228141</v>
      </c>
      <c r="O3" s="88">
        <v>39.246821640274213</v>
      </c>
      <c r="P3" s="88">
        <v>80.57985105460935</v>
      </c>
      <c r="Q3" s="88">
        <v>61.625288546225967</v>
      </c>
      <c r="R3" s="88">
        <v>113.66846756653392</v>
      </c>
      <c r="S3" s="88">
        <v>276.91605721685426</v>
      </c>
      <c r="T3" s="88">
        <v>46.149776270146468</v>
      </c>
      <c r="U3" s="88">
        <v>144.25065755806921</v>
      </c>
      <c r="V3" s="88">
        <v>91.741449333417421</v>
      </c>
      <c r="W3" s="88">
        <v>221.69116840701125</v>
      </c>
      <c r="X3" s="88">
        <v>176.13569463566969</v>
      </c>
      <c r="Y3" s="88">
        <v>291.00870560712298</v>
      </c>
      <c r="Z3" s="88">
        <v>299.43687482553821</v>
      </c>
      <c r="AA3" s="88">
        <v>44.693870318324159</v>
      </c>
      <c r="AB3" s="88">
        <v>125.37896708098427</v>
      </c>
      <c r="AC3" s="88">
        <v>264.38181060366855</v>
      </c>
      <c r="AD3" s="88">
        <v>171.23881450644024</v>
      </c>
      <c r="AE3" s="88">
        <v>39.904736751473393</v>
      </c>
      <c r="AF3" s="88">
        <v>75.527889787114859</v>
      </c>
      <c r="AG3" s="88">
        <v>99.175680625790832</v>
      </c>
      <c r="AH3" s="88">
        <v>52.387456682537447</v>
      </c>
      <c r="AI3" s="88">
        <v>84.452617585143557</v>
      </c>
      <c r="AJ3" s="88">
        <v>61.111574028760387</v>
      </c>
      <c r="AK3" s="88">
        <v>276.22385313738533</v>
      </c>
      <c r="AL3" s="88">
        <v>232.45878750864259</v>
      </c>
      <c r="AM3" s="88">
        <v>73.263439802158715</v>
      </c>
      <c r="AN3" s="88">
        <v>286.978699077665</v>
      </c>
      <c r="AO3" s="88">
        <v>236.54346222196492</v>
      </c>
      <c r="AP3" s="88">
        <v>229.00058407278053</v>
      </c>
      <c r="AQ3" s="88">
        <v>184.31635629176645</v>
      </c>
      <c r="AR3" s="88">
        <v>196.38867786086405</v>
      </c>
      <c r="AS3" s="88">
        <v>199.69090173846274</v>
      </c>
      <c r="AT3" s="88">
        <v>83.79675705372523</v>
      </c>
      <c r="AU3" s="88">
        <v>42.233784391378492</v>
      </c>
      <c r="AV3" s="88">
        <v>132.66428091267372</v>
      </c>
      <c r="AW3" s="88">
        <v>16.964781743231917</v>
      </c>
      <c r="AX3" s="88">
        <v>295.29039704840852</v>
      </c>
      <c r="AY3" s="88">
        <v>304.65155731536191</v>
      </c>
      <c r="AZ3" s="88">
        <v>189.8276793112116</v>
      </c>
      <c r="BA3" s="88">
        <v>188.91570280797688</v>
      </c>
      <c r="BB3" s="88">
        <v>150.19918679324587</v>
      </c>
      <c r="BC3" s="88">
        <v>27.243457634127168</v>
      </c>
      <c r="BD3" s="88">
        <v>104.59945819528605</v>
      </c>
      <c r="BE3" s="88">
        <v>262.01349918913445</v>
      </c>
      <c r="BF3" s="88">
        <v>105.11564985361639</v>
      </c>
      <c r="BG3" s="88">
        <v>150.58001685794238</v>
      </c>
      <c r="BH3" s="88">
        <v>164.74962970670711</v>
      </c>
      <c r="BI3" s="88">
        <v>53.344066746633757</v>
      </c>
      <c r="BJ3" s="88">
        <v>253.42147880306598</v>
      </c>
      <c r="BK3" s="88">
        <v>54.164728998618358</v>
      </c>
      <c r="BL3" s="88">
        <v>46.764043231295815</v>
      </c>
      <c r="BM3" s="88">
        <v>179.09943004992755</v>
      </c>
      <c r="BN3" s="88">
        <v>134.1182977601741</v>
      </c>
      <c r="BO3" s="88">
        <v>25.163287205844082</v>
      </c>
      <c r="BP3" s="88">
        <v>276.17266652704677</v>
      </c>
      <c r="BQ3" s="88">
        <v>62.672843206275125</v>
      </c>
      <c r="BR3" s="88">
        <v>207.40690809217875</v>
      </c>
      <c r="BS3" s="88">
        <v>57.437520856073704</v>
      </c>
      <c r="BT3" s="88">
        <v>71.324790157411627</v>
      </c>
      <c r="BU3" s="88">
        <v>72.335790018694269</v>
      </c>
      <c r="BV3" s="88">
        <v>53.752546976686098</v>
      </c>
      <c r="BW3" s="88">
        <v>26.044457029115105</v>
      </c>
      <c r="BX3" s="88">
        <v>151.29080576953041</v>
      </c>
      <c r="BY3" s="88">
        <v>125.40575415285812</v>
      </c>
      <c r="BZ3" s="88">
        <v>27.322478895861799</v>
      </c>
      <c r="CA3" s="88">
        <v>85.307042936885367</v>
      </c>
      <c r="CB3" s="88">
        <v>44.181253607116687</v>
      </c>
      <c r="CC3" s="88">
        <v>325.97020289185309</v>
      </c>
      <c r="CD3" s="88">
        <v>98.411897986852082</v>
      </c>
      <c r="CE3" s="88">
        <v>204.24237233172954</v>
      </c>
      <c r="CF3" s="88">
        <v>108.85800065539981</v>
      </c>
      <c r="CG3" s="88">
        <v>128.19413305608182</v>
      </c>
      <c r="CH3" s="88">
        <v>314.15046635018746</v>
      </c>
      <c r="CI3" s="88">
        <v>110.66622266742901</v>
      </c>
      <c r="CJ3" s="88">
        <v>98.524030685153605</v>
      </c>
      <c r="CK3" s="88">
        <v>23.268823134445107</v>
      </c>
      <c r="CL3" s="88">
        <v>75.966336992029326</v>
      </c>
      <c r="CM3" s="88">
        <v>93.449698947652678</v>
      </c>
      <c r="CN3" s="88">
        <v>95.546170958338962</v>
      </c>
      <c r="CO3" s="88">
        <v>210.26939923707099</v>
      </c>
      <c r="CP3" s="88">
        <v>252.08147761945079</v>
      </c>
      <c r="CQ3" s="88">
        <v>71.426623853804472</v>
      </c>
      <c r="CR3" s="88">
        <v>151.62387582585265</v>
      </c>
      <c r="CS3" s="89">
        <v>117.28698092161522</v>
      </c>
    </row>
    <row r="4" spans="2:97" x14ac:dyDescent="0.3">
      <c r="B4" s="83" t="s">
        <v>61</v>
      </c>
      <c r="C4" s="88">
        <v>133.27511035734992</v>
      </c>
      <c r="D4" s="88">
        <v>0</v>
      </c>
      <c r="E4" s="88">
        <v>97.97829881158178</v>
      </c>
      <c r="F4" s="88">
        <v>70.665740812717615</v>
      </c>
      <c r="G4" s="88">
        <v>142.73910545006089</v>
      </c>
      <c r="H4" s="88">
        <v>93.452142447332236</v>
      </c>
      <c r="I4" s="88">
        <v>142.95430348975543</v>
      </c>
      <c r="J4" s="88">
        <v>30.186967908346368</v>
      </c>
      <c r="K4" s="88">
        <v>116.02696259253845</v>
      </c>
      <c r="L4" s="88">
        <v>248.14279194105154</v>
      </c>
      <c r="M4" s="88">
        <v>62.423531651812581</v>
      </c>
      <c r="N4" s="88">
        <v>121.33064000655072</v>
      </c>
      <c r="O4" s="88">
        <v>170.12858809256511</v>
      </c>
      <c r="P4" s="88">
        <v>87.982944581968866</v>
      </c>
      <c r="Q4" s="88">
        <v>189.25523228214092</v>
      </c>
      <c r="R4" s="88">
        <v>21.651440962711785</v>
      </c>
      <c r="S4" s="88">
        <v>151.79811082295666</v>
      </c>
      <c r="T4" s="88">
        <v>87.239639854582734</v>
      </c>
      <c r="U4" s="88">
        <v>48.812153011078877</v>
      </c>
      <c r="V4" s="88">
        <v>47.613761167501174</v>
      </c>
      <c r="W4" s="88">
        <v>92.887203226368555</v>
      </c>
      <c r="X4" s="88">
        <v>66.70864852544274</v>
      </c>
      <c r="Y4" s="88">
        <v>169.73647055249705</v>
      </c>
      <c r="Z4" s="88">
        <v>167.8697017017393</v>
      </c>
      <c r="AA4" s="88">
        <v>104.2261362263659</v>
      </c>
      <c r="AB4" s="88">
        <v>32.257548851276852</v>
      </c>
      <c r="AC4" s="88">
        <v>142.56722202035141</v>
      </c>
      <c r="AD4" s="88">
        <v>38.924243243473292</v>
      </c>
      <c r="AE4" s="88">
        <v>173.16868778992918</v>
      </c>
      <c r="AF4" s="88">
        <v>207.32058186878007</v>
      </c>
      <c r="AG4" s="88">
        <v>42.312666387155716</v>
      </c>
      <c r="AH4" s="88">
        <v>185.1070987511612</v>
      </c>
      <c r="AI4" s="88">
        <v>76.427940441932819</v>
      </c>
      <c r="AJ4" s="88">
        <v>193.75720179304778</v>
      </c>
      <c r="AK4" s="88">
        <v>144.27243807338849</v>
      </c>
      <c r="AL4" s="88">
        <v>99.584739812309081</v>
      </c>
      <c r="AM4" s="88">
        <v>206.53687038644139</v>
      </c>
      <c r="AN4" s="88">
        <v>158.77648775399325</v>
      </c>
      <c r="AO4" s="88">
        <v>108.76457304806381</v>
      </c>
      <c r="AP4" s="88">
        <v>117.48992370217501</v>
      </c>
      <c r="AQ4" s="88">
        <v>60.319180338032773</v>
      </c>
      <c r="AR4" s="88">
        <v>88.294808644269452</v>
      </c>
      <c r="AS4" s="88">
        <v>82.250602112402603</v>
      </c>
      <c r="AT4" s="88">
        <v>73.057415361740681</v>
      </c>
      <c r="AU4" s="88">
        <v>172.78063390881979</v>
      </c>
      <c r="AV4" s="88">
        <v>265.46876134458569</v>
      </c>
      <c r="AW4" s="88">
        <v>145.13823944708719</v>
      </c>
      <c r="AX4" s="88">
        <v>178.90634978867001</v>
      </c>
      <c r="AY4" s="88">
        <v>178.79613523263649</v>
      </c>
      <c r="AZ4" s="88">
        <v>56.577235224135144</v>
      </c>
      <c r="BA4" s="88">
        <v>58.131274669572257</v>
      </c>
      <c r="BB4" s="88">
        <v>26.798895635249941</v>
      </c>
      <c r="BC4" s="88">
        <v>121.46927626476949</v>
      </c>
      <c r="BD4" s="88">
        <v>74.695250035166467</v>
      </c>
      <c r="BE4" s="88">
        <v>133.82605886521259</v>
      </c>
      <c r="BF4" s="88">
        <v>54.112689718457659</v>
      </c>
      <c r="BG4" s="88">
        <v>17.486720228944964</v>
      </c>
      <c r="BH4" s="88">
        <v>35.441364214310312</v>
      </c>
      <c r="BI4" s="88">
        <v>103.73700048551937</v>
      </c>
      <c r="BJ4" s="88">
        <v>120.82403866924187</v>
      </c>
      <c r="BK4" s="88">
        <v>92.493187995943444</v>
      </c>
      <c r="BL4" s="88">
        <v>124.15258467680137</v>
      </c>
      <c r="BM4" s="88">
        <v>85.274469780636068</v>
      </c>
      <c r="BN4" s="88">
        <v>16.801611882991498</v>
      </c>
      <c r="BO4" s="88">
        <v>110.02561744298326</v>
      </c>
      <c r="BP4" s="88">
        <v>161.29102432161025</v>
      </c>
      <c r="BQ4" s="88">
        <v>87.061194461998497</v>
      </c>
      <c r="BR4" s="88">
        <v>79.132494328120799</v>
      </c>
      <c r="BS4" s="88">
        <v>105.71082824663212</v>
      </c>
      <c r="BT4" s="88">
        <v>112.39833362819735</v>
      </c>
      <c r="BU4" s="88">
        <v>69.176981479174117</v>
      </c>
      <c r="BV4" s="88">
        <v>86.445992256917521</v>
      </c>
      <c r="BW4" s="88">
        <v>110.99435159061315</v>
      </c>
      <c r="BX4" s="88">
        <v>73.546466802383563</v>
      </c>
      <c r="BY4" s="88">
        <v>22.833656157396323</v>
      </c>
      <c r="BZ4" s="88">
        <v>126.21342057201842</v>
      </c>
      <c r="CA4" s="88">
        <v>59.789848338153924</v>
      </c>
      <c r="CB4" s="88">
        <v>165.72362735378741</v>
      </c>
      <c r="CC4" s="88">
        <v>194.79490554941671</v>
      </c>
      <c r="CD4" s="88">
        <v>58.113931865995347</v>
      </c>
      <c r="CE4" s="88">
        <v>102.88904392373067</v>
      </c>
      <c r="CF4" s="88">
        <v>242.07390963538575</v>
      </c>
      <c r="CG4" s="88">
        <v>65.986191665918341</v>
      </c>
      <c r="CH4" s="88">
        <v>185.36669891297524</v>
      </c>
      <c r="CI4" s="88">
        <v>62.955341293703675</v>
      </c>
      <c r="CJ4" s="88">
        <v>229.19552699671348</v>
      </c>
      <c r="CK4" s="88">
        <v>156.05912754099259</v>
      </c>
      <c r="CL4" s="88">
        <v>57.880157462772068</v>
      </c>
      <c r="CM4" s="88">
        <v>39.864420265707267</v>
      </c>
      <c r="CN4" s="88">
        <v>228.00176725769595</v>
      </c>
      <c r="CO4" s="88">
        <v>77.189400380988602</v>
      </c>
      <c r="CP4" s="88">
        <v>137.46082977362943</v>
      </c>
      <c r="CQ4" s="88">
        <v>63.070627342103478</v>
      </c>
      <c r="CR4" s="88">
        <v>36.009545110206616</v>
      </c>
      <c r="CS4" s="89">
        <v>45.255136313139218</v>
      </c>
    </row>
    <row r="5" spans="2:97" x14ac:dyDescent="0.3">
      <c r="B5" s="83" t="s">
        <v>62</v>
      </c>
      <c r="C5" s="88">
        <v>215.9371308186378</v>
      </c>
      <c r="D5" s="88">
        <v>97.97829881158178</v>
      </c>
      <c r="E5" s="88">
        <v>0</v>
      </c>
      <c r="F5" s="88">
        <v>163.58106787910918</v>
      </c>
      <c r="G5" s="88">
        <v>233.2730247411277</v>
      </c>
      <c r="H5" s="88">
        <v>190.89320028660336</v>
      </c>
      <c r="I5" s="88">
        <v>219.46505546463848</v>
      </c>
      <c r="J5" s="88">
        <v>113.620921761053</v>
      </c>
      <c r="K5" s="88">
        <v>22.352799397156065</v>
      </c>
      <c r="L5" s="88">
        <v>331.41953247261807</v>
      </c>
      <c r="M5" s="88">
        <v>56.287222446241536</v>
      </c>
      <c r="N5" s="88">
        <v>54.179543578598064</v>
      </c>
      <c r="O5" s="88">
        <v>247.02775608151441</v>
      </c>
      <c r="P5" s="88">
        <v>144.33980620727721</v>
      </c>
      <c r="Q5" s="88">
        <v>276.52456899217219</v>
      </c>
      <c r="R5" s="88">
        <v>118.61789221183419</v>
      </c>
      <c r="S5" s="88">
        <v>62.446056700813315</v>
      </c>
      <c r="T5" s="88">
        <v>171.66672478397604</v>
      </c>
      <c r="U5" s="88">
        <v>71.928122358029086</v>
      </c>
      <c r="V5" s="88">
        <v>124.99670968126188</v>
      </c>
      <c r="W5" s="88">
        <v>32.313130085973995</v>
      </c>
      <c r="X5" s="88">
        <v>40.072646149663065</v>
      </c>
      <c r="Y5" s="88">
        <v>75.101252527814623</v>
      </c>
      <c r="Z5" s="88">
        <v>96.635601298178614</v>
      </c>
      <c r="AA5" s="88">
        <v>175.98775782133541</v>
      </c>
      <c r="AB5" s="88">
        <v>127.65364826617188</v>
      </c>
      <c r="AC5" s="88">
        <v>48.526960646868929</v>
      </c>
      <c r="AD5" s="88">
        <v>83.390139570618189</v>
      </c>
      <c r="AE5" s="88">
        <v>254.48458562504945</v>
      </c>
      <c r="AF5" s="88">
        <v>291.35308255910678</v>
      </c>
      <c r="AG5" s="88">
        <v>139.64973531246099</v>
      </c>
      <c r="AH5" s="88">
        <v>267.91484953135904</v>
      </c>
      <c r="AI5" s="88">
        <v>174.13804897889804</v>
      </c>
      <c r="AJ5" s="88">
        <v>271.50277319314557</v>
      </c>
      <c r="AK5" s="88">
        <v>79.022628390549897</v>
      </c>
      <c r="AL5" s="88">
        <v>60.503705060528958</v>
      </c>
      <c r="AM5" s="88">
        <v>286.41198912448334</v>
      </c>
      <c r="AN5" s="88">
        <v>75.894454970561497</v>
      </c>
      <c r="AO5" s="88">
        <v>33.818064012682505</v>
      </c>
      <c r="AP5" s="88">
        <v>22.26811142781315</v>
      </c>
      <c r="AQ5" s="88">
        <v>38.019982905470663</v>
      </c>
      <c r="AR5" s="88">
        <v>24.618342240892982</v>
      </c>
      <c r="AS5" s="88">
        <v>16.462243844522504</v>
      </c>
      <c r="AT5" s="88">
        <v>134.92005300209928</v>
      </c>
      <c r="AU5" s="88">
        <v>257.9858188699481</v>
      </c>
      <c r="AV5" s="88">
        <v>347.08040024252773</v>
      </c>
      <c r="AW5" s="88">
        <v>230.73759325497184</v>
      </c>
      <c r="AX5" s="88">
        <v>81.499157935694683</v>
      </c>
      <c r="AY5" s="88">
        <v>89.936564116724909</v>
      </c>
      <c r="AZ5" s="88">
        <v>69.924324379114381</v>
      </c>
      <c r="BA5" s="88">
        <v>49.407403114348448</v>
      </c>
      <c r="BB5" s="88">
        <v>104.95185519587572</v>
      </c>
      <c r="BC5" s="88">
        <v>211.36420890925089</v>
      </c>
      <c r="BD5" s="88">
        <v>119.05028199502277</v>
      </c>
      <c r="BE5" s="88">
        <v>53.621196166362125</v>
      </c>
      <c r="BF5" s="88">
        <v>151.92436779454678</v>
      </c>
      <c r="BG5" s="88">
        <v>83.984862895822133</v>
      </c>
      <c r="BH5" s="88">
        <v>63.693797711809651</v>
      </c>
      <c r="BI5" s="88">
        <v>198.44244304347589</v>
      </c>
      <c r="BJ5" s="88">
        <v>67.722512298634797</v>
      </c>
      <c r="BK5" s="88">
        <v>186.31953356243332</v>
      </c>
      <c r="BL5" s="88">
        <v>218.13763483295912</v>
      </c>
      <c r="BM5" s="88">
        <v>48.22562803358641</v>
      </c>
      <c r="BN5" s="88">
        <v>110.15908015152668</v>
      </c>
      <c r="BO5" s="88">
        <v>190.80051053220916</v>
      </c>
      <c r="BP5" s="88">
        <v>63.405280039065872</v>
      </c>
      <c r="BQ5" s="88">
        <v>156.06000706954481</v>
      </c>
      <c r="BR5" s="88">
        <v>31.739591420108543</v>
      </c>
      <c r="BS5" s="88">
        <v>169.9306245775268</v>
      </c>
      <c r="BT5" s="88">
        <v>209.56439431466424</v>
      </c>
      <c r="BU5" s="88">
        <v>143.63168850879867</v>
      </c>
      <c r="BV5" s="88">
        <v>178.83742551138585</v>
      </c>
      <c r="BW5" s="88">
        <v>198.72812951301887</v>
      </c>
      <c r="BX5" s="88">
        <v>73.708699079361494</v>
      </c>
      <c r="BY5" s="88">
        <v>93.632302705913986</v>
      </c>
      <c r="BZ5" s="88">
        <v>200.04125552334801</v>
      </c>
      <c r="CA5" s="88">
        <v>156.60303085401404</v>
      </c>
      <c r="CB5" s="88">
        <v>254.82484544808469</v>
      </c>
      <c r="CC5" s="88">
        <v>119.32826866433918</v>
      </c>
      <c r="CD5" s="88">
        <v>118.37998706493453</v>
      </c>
      <c r="CE5" s="88">
        <v>32.421245396969056</v>
      </c>
      <c r="CF5" s="88">
        <v>322.219962282979</v>
      </c>
      <c r="CG5" s="88">
        <v>93.670959615519862</v>
      </c>
      <c r="CH5" s="88">
        <v>102.50173776486746</v>
      </c>
      <c r="CI5" s="88">
        <v>108.77008127333777</v>
      </c>
      <c r="CJ5" s="88">
        <v>314.45902184101283</v>
      </c>
      <c r="CK5" s="88">
        <v>236.27484373119034</v>
      </c>
      <c r="CL5" s="88">
        <v>148.59481820901709</v>
      </c>
      <c r="CM5" s="88">
        <v>130.93354644711212</v>
      </c>
      <c r="CN5" s="88">
        <v>310.83650498485036</v>
      </c>
      <c r="CO5" s="88">
        <v>59.423586958730368</v>
      </c>
      <c r="CP5" s="88">
        <v>39.488157856137477</v>
      </c>
      <c r="CQ5" s="88">
        <v>146.3134570769451</v>
      </c>
      <c r="CR5" s="88">
        <v>66.473881143929518</v>
      </c>
      <c r="CS5" s="89">
        <v>99.110735116057967</v>
      </c>
    </row>
    <row r="6" spans="2:97" x14ac:dyDescent="0.3">
      <c r="B6" s="83" t="s">
        <v>63</v>
      </c>
      <c r="C6" s="88">
        <v>66.882277291858799</v>
      </c>
      <c r="D6" s="88">
        <v>70.665740812717615</v>
      </c>
      <c r="E6" s="88">
        <v>163.58106787910918</v>
      </c>
      <c r="F6" s="88">
        <v>0</v>
      </c>
      <c r="G6" s="88">
        <v>72.079917255688628</v>
      </c>
      <c r="H6" s="88">
        <v>36.210573425891695</v>
      </c>
      <c r="I6" s="88">
        <v>81.142016752830585</v>
      </c>
      <c r="J6" s="88">
        <v>50.220259896169615</v>
      </c>
      <c r="K6" s="88">
        <v>183.62774596714152</v>
      </c>
      <c r="L6" s="88">
        <v>178.6330711697866</v>
      </c>
      <c r="M6" s="88">
        <v>114.78755159032615</v>
      </c>
      <c r="N6" s="88">
        <v>191.94975305612411</v>
      </c>
      <c r="O6" s="88">
        <v>105.88153363873704</v>
      </c>
      <c r="P6" s="88">
        <v>68.582104285904265</v>
      </c>
      <c r="Q6" s="88">
        <v>118.9544400484002</v>
      </c>
      <c r="R6" s="88">
        <v>49.40780409590446</v>
      </c>
      <c r="S6" s="88">
        <v>221.10553390180948</v>
      </c>
      <c r="T6" s="88">
        <v>27.048672261374001</v>
      </c>
      <c r="U6" s="88">
        <v>96.828242402957443</v>
      </c>
      <c r="V6" s="88">
        <v>44.01676080194374</v>
      </c>
      <c r="W6" s="88">
        <v>163.02727054036475</v>
      </c>
      <c r="X6" s="88">
        <v>126.29030594302775</v>
      </c>
      <c r="Y6" s="88">
        <v>237.76041195784495</v>
      </c>
      <c r="Z6" s="88">
        <v>238.51520853568036</v>
      </c>
      <c r="AA6" s="88">
        <v>56.24660476188491</v>
      </c>
      <c r="AB6" s="88">
        <v>58.511681779622947</v>
      </c>
      <c r="AC6" s="88">
        <v>210.5776120616259</v>
      </c>
      <c r="AD6" s="88">
        <v>106.52427665123412</v>
      </c>
      <c r="AE6" s="88">
        <v>105.78099274638176</v>
      </c>
      <c r="AF6" s="88">
        <v>137.90709671653786</v>
      </c>
      <c r="AG6" s="88">
        <v>32.446705366741341</v>
      </c>
      <c r="AH6" s="88">
        <v>116.57706197693045</v>
      </c>
      <c r="AI6" s="88">
        <v>28.787562786897599</v>
      </c>
      <c r="AJ6" s="88">
        <v>127.88213771312836</v>
      </c>
      <c r="AK6" s="88">
        <v>214.8846996336548</v>
      </c>
      <c r="AL6" s="88">
        <v>169.93085163238018</v>
      </c>
      <c r="AM6" s="88">
        <v>139.06638665561323</v>
      </c>
      <c r="AN6" s="88">
        <v>229.01841904582116</v>
      </c>
      <c r="AO6" s="88">
        <v>178.68822761913174</v>
      </c>
      <c r="AP6" s="88">
        <v>180.3328472052462</v>
      </c>
      <c r="AQ6" s="88">
        <v>127.98809112497142</v>
      </c>
      <c r="AR6" s="88">
        <v>148.28340196350905</v>
      </c>
      <c r="AS6" s="88">
        <v>147.15875248091606</v>
      </c>
      <c r="AT6" s="88">
        <v>58.810020176031884</v>
      </c>
      <c r="AU6" s="88">
        <v>103.35374177837616</v>
      </c>
      <c r="AV6" s="88">
        <v>196.41456555639516</v>
      </c>
      <c r="AW6" s="88">
        <v>76.121206423595353</v>
      </c>
      <c r="AX6" s="88">
        <v>245.01851454279409</v>
      </c>
      <c r="AY6" s="88">
        <v>248.46323687036025</v>
      </c>
      <c r="AZ6" s="88">
        <v>126.02859070130798</v>
      </c>
      <c r="BA6" s="88">
        <v>128.60951893430718</v>
      </c>
      <c r="BB6" s="88">
        <v>84.042665332518425</v>
      </c>
      <c r="BC6" s="88">
        <v>51.011715045562703</v>
      </c>
      <c r="BD6" s="88">
        <v>78.604990847991189</v>
      </c>
      <c r="BE6" s="88">
        <v>203.98614807815588</v>
      </c>
      <c r="BF6" s="88">
        <v>39.893280313985841</v>
      </c>
      <c r="BG6" s="88">
        <v>88.09629439101046</v>
      </c>
      <c r="BH6" s="88">
        <v>105.09942391258862</v>
      </c>
      <c r="BI6" s="88">
        <v>35.089517641089344</v>
      </c>
      <c r="BJ6" s="88">
        <v>191.28108720523724</v>
      </c>
      <c r="BK6" s="88">
        <v>22.753225341422841</v>
      </c>
      <c r="BL6" s="88">
        <v>54.569217199598938</v>
      </c>
      <c r="BM6" s="88">
        <v>136.5565829161313</v>
      </c>
      <c r="BN6" s="88">
        <v>68.376813771577915</v>
      </c>
      <c r="BO6" s="88">
        <v>48.485815282647366</v>
      </c>
      <c r="BP6" s="88">
        <v>226.54801188615266</v>
      </c>
      <c r="BQ6" s="88">
        <v>51.900048314732395</v>
      </c>
      <c r="BR6" s="88">
        <v>148.99990944398212</v>
      </c>
      <c r="BS6" s="88">
        <v>66.824290532608074</v>
      </c>
      <c r="BT6" s="88">
        <v>50.565235763538048</v>
      </c>
      <c r="BU6" s="88">
        <v>40.947097084928913</v>
      </c>
      <c r="BV6" s="88">
        <v>15.782621644639448</v>
      </c>
      <c r="BW6" s="88">
        <v>41.987350455798001</v>
      </c>
      <c r="BX6" s="88">
        <v>112.95461260682717</v>
      </c>
      <c r="BY6" s="88">
        <v>70.026809915768069</v>
      </c>
      <c r="BZ6" s="88">
        <v>69.549147072952636</v>
      </c>
      <c r="CA6" s="88">
        <v>19.373470808801919</v>
      </c>
      <c r="CB6" s="88">
        <v>95.160612470753293</v>
      </c>
      <c r="CC6" s="88">
        <v>265.45655657241878</v>
      </c>
      <c r="CD6" s="88">
        <v>61.695818411240062</v>
      </c>
      <c r="CE6" s="88">
        <v>159.73370666884816</v>
      </c>
      <c r="CF6" s="88">
        <v>173.8611971271861</v>
      </c>
      <c r="CG6" s="88">
        <v>92.451452238180778</v>
      </c>
      <c r="CH6" s="88">
        <v>255.78810998608992</v>
      </c>
      <c r="CI6" s="88">
        <v>76.457972895680356</v>
      </c>
      <c r="CJ6" s="88">
        <v>159.19290349222925</v>
      </c>
      <c r="CK6" s="88">
        <v>90.140196613771039</v>
      </c>
      <c r="CL6" s="88">
        <v>15.497818458423724</v>
      </c>
      <c r="CM6" s="88">
        <v>32.677076391795836</v>
      </c>
      <c r="CN6" s="88">
        <v>158.82779709179053</v>
      </c>
      <c r="CO6" s="88">
        <v>147.41979274216786</v>
      </c>
      <c r="CP6" s="88">
        <v>202.24507969279369</v>
      </c>
      <c r="CQ6" s="88">
        <v>26.751462067291214</v>
      </c>
      <c r="CR6" s="88">
        <v>97.111379189130716</v>
      </c>
      <c r="CS6" s="89">
        <v>72.40132524449271</v>
      </c>
    </row>
    <row r="7" spans="2:97" x14ac:dyDescent="0.3">
      <c r="B7" s="83" t="s">
        <v>64</v>
      </c>
      <c r="C7" s="88">
        <v>33.468456808509536</v>
      </c>
      <c r="D7" s="88">
        <v>142.73910545006089</v>
      </c>
      <c r="E7" s="88">
        <v>233.2730247411277</v>
      </c>
      <c r="F7" s="88">
        <v>72.079917255688628</v>
      </c>
      <c r="G7" s="88">
        <v>0</v>
      </c>
      <c r="H7" s="88">
        <v>64.171250454464698</v>
      </c>
      <c r="I7" s="88">
        <v>51.017181633834326</v>
      </c>
      <c r="J7" s="88">
        <v>120.00874201563498</v>
      </c>
      <c r="K7" s="88">
        <v>254.06333817722023</v>
      </c>
      <c r="L7" s="88">
        <v>108.8106666843788</v>
      </c>
      <c r="M7" s="88">
        <v>181.04247859025622</v>
      </c>
      <c r="N7" s="88">
        <v>263.96917037101173</v>
      </c>
      <c r="O7" s="88">
        <v>57.101338568695461</v>
      </c>
      <c r="P7" s="88">
        <v>108.20076505992319</v>
      </c>
      <c r="Q7" s="88">
        <v>47.950842465975427</v>
      </c>
      <c r="R7" s="88">
        <v>121.45049598785367</v>
      </c>
      <c r="S7" s="88">
        <v>292.29124487793626</v>
      </c>
      <c r="T7" s="88">
        <v>62.762809120516948</v>
      </c>
      <c r="U7" s="88">
        <v>163.29737532801528</v>
      </c>
      <c r="V7" s="88">
        <v>108.66853919103804</v>
      </c>
      <c r="W7" s="88">
        <v>234.79850333805913</v>
      </c>
      <c r="X7" s="88">
        <v>194.50101613875293</v>
      </c>
      <c r="Y7" s="88">
        <v>308.11747638524162</v>
      </c>
      <c r="Z7" s="88">
        <v>310.5951025544656</v>
      </c>
      <c r="AA7" s="88">
        <v>73.845030062730672</v>
      </c>
      <c r="AB7" s="88">
        <v>127.33812032359718</v>
      </c>
      <c r="AC7" s="88">
        <v>281.05948235167222</v>
      </c>
      <c r="AD7" s="88">
        <v>178.08404203170605</v>
      </c>
      <c r="AE7" s="88">
        <v>46.848679869406119</v>
      </c>
      <c r="AF7" s="88">
        <v>69.139910068000077</v>
      </c>
      <c r="AG7" s="88">
        <v>103.06354213542924</v>
      </c>
      <c r="AH7" s="88">
        <v>51.913202057330999</v>
      </c>
      <c r="AI7" s="88">
        <v>78.002215397211671</v>
      </c>
      <c r="AJ7" s="88">
        <v>69.831337297706384</v>
      </c>
      <c r="AK7" s="88">
        <v>286.96025010317709</v>
      </c>
      <c r="AL7" s="88">
        <v>241.93801536403191</v>
      </c>
      <c r="AM7" s="88">
        <v>75.550589182578875</v>
      </c>
      <c r="AN7" s="88">
        <v>300.76462340034453</v>
      </c>
      <c r="AO7" s="88">
        <v>250.32005383298107</v>
      </c>
      <c r="AP7" s="88">
        <v>248.41781678382497</v>
      </c>
      <c r="AQ7" s="88">
        <v>198.98406257879415</v>
      </c>
      <c r="AR7" s="88">
        <v>215.8328531928444</v>
      </c>
      <c r="AS7" s="88">
        <v>216.81781987537244</v>
      </c>
      <c r="AT7" s="88">
        <v>108.07167917156652</v>
      </c>
      <c r="AU7" s="88">
        <v>36.74347269158617</v>
      </c>
      <c r="AV7" s="88">
        <v>127.29970759887755</v>
      </c>
      <c r="AW7" s="88">
        <v>21.139901976262003</v>
      </c>
      <c r="AX7" s="88">
        <v>314.16436592260516</v>
      </c>
      <c r="AY7" s="88">
        <v>319.81297509970551</v>
      </c>
      <c r="AZ7" s="88">
        <v>197.85828318196192</v>
      </c>
      <c r="BA7" s="88">
        <v>200.582291728097</v>
      </c>
      <c r="BB7" s="88">
        <v>154.56758919976951</v>
      </c>
      <c r="BC7" s="88">
        <v>21.912689843161395</v>
      </c>
      <c r="BD7" s="88">
        <v>129.95964786183072</v>
      </c>
      <c r="BE7" s="88">
        <v>275.70766223223404</v>
      </c>
      <c r="BF7" s="88">
        <v>102.95680966275626</v>
      </c>
      <c r="BG7" s="88">
        <v>160.17617207674326</v>
      </c>
      <c r="BH7" s="88">
        <v>176.88884660324234</v>
      </c>
      <c r="BI7" s="88">
        <v>42.889706257250019</v>
      </c>
      <c r="BJ7" s="88">
        <v>263.3150181766373</v>
      </c>
      <c r="BK7" s="88">
        <v>51.278891498673275</v>
      </c>
      <c r="BL7" s="88">
        <v>24.95662534961415</v>
      </c>
      <c r="BM7" s="88">
        <v>200.83907064333872</v>
      </c>
      <c r="BN7" s="88">
        <v>139.60153535693024</v>
      </c>
      <c r="BO7" s="88">
        <v>50.934236492885397</v>
      </c>
      <c r="BP7" s="88">
        <v>295.32989769920846</v>
      </c>
      <c r="BQ7" s="88">
        <v>88.628038858475435</v>
      </c>
      <c r="BR7" s="88">
        <v>220.67886894056539</v>
      </c>
      <c r="BS7" s="88">
        <v>87.91402441532604</v>
      </c>
      <c r="BT7" s="88">
        <v>51.639109943635248</v>
      </c>
      <c r="BU7" s="88">
        <v>93.204756561260567</v>
      </c>
      <c r="BV7" s="88">
        <v>56.31213704153258</v>
      </c>
      <c r="BW7" s="88">
        <v>35.27877431188675</v>
      </c>
      <c r="BX7" s="88">
        <v>174.19308461570304</v>
      </c>
      <c r="BY7" s="88">
        <v>139.99685300948988</v>
      </c>
      <c r="BZ7" s="88">
        <v>60.508552667966434</v>
      </c>
      <c r="CA7" s="88">
        <v>86.260933528226104</v>
      </c>
      <c r="CB7" s="88">
        <v>23.479115114588719</v>
      </c>
      <c r="CC7" s="88">
        <v>337.53366927298941</v>
      </c>
      <c r="CD7" s="88">
        <v>119.99251056334798</v>
      </c>
      <c r="CE7" s="88">
        <v>225.43032779506154</v>
      </c>
      <c r="CF7" s="88">
        <v>106.92472393490952</v>
      </c>
      <c r="CG7" s="88">
        <v>151.42347938794398</v>
      </c>
      <c r="CH7" s="88">
        <v>327.64047525469562</v>
      </c>
      <c r="CI7" s="88">
        <v>133.75364297614789</v>
      </c>
      <c r="CJ7" s="88">
        <v>88.493556135196187</v>
      </c>
      <c r="CK7" s="88">
        <v>41.769954214395476</v>
      </c>
      <c r="CL7" s="88">
        <v>85.644021329043241</v>
      </c>
      <c r="CM7" s="88">
        <v>103.93121741378397</v>
      </c>
      <c r="CN7" s="88">
        <v>90.098542165427688</v>
      </c>
      <c r="CO7" s="88">
        <v>219.40941064864623</v>
      </c>
      <c r="CP7" s="88">
        <v>271.01802415613474</v>
      </c>
      <c r="CQ7" s="88">
        <v>87.241291866090094</v>
      </c>
      <c r="CR7" s="88">
        <v>167.13915012250405</v>
      </c>
      <c r="CS7" s="89">
        <v>136.75249172439527</v>
      </c>
    </row>
    <row r="8" spans="2:97" x14ac:dyDescent="0.3">
      <c r="B8" s="83" t="s">
        <v>65</v>
      </c>
      <c r="C8" s="88">
        <v>76.230991954184191</v>
      </c>
      <c r="D8" s="88">
        <v>93.452142447332236</v>
      </c>
      <c r="E8" s="88">
        <v>190.89320028660336</v>
      </c>
      <c r="F8" s="88">
        <v>36.210573425891695</v>
      </c>
      <c r="G8" s="88">
        <v>64.171250454464698</v>
      </c>
      <c r="H8" s="88">
        <v>0</v>
      </c>
      <c r="I8" s="88">
        <v>95.004642037989044</v>
      </c>
      <c r="J8" s="88">
        <v>81.313264990387111</v>
      </c>
      <c r="K8" s="88">
        <v>209.46143315009496</v>
      </c>
      <c r="L8" s="88">
        <v>172.15454526539637</v>
      </c>
      <c r="M8" s="88">
        <v>146.41186628910501</v>
      </c>
      <c r="N8" s="88">
        <v>212.37345357360417</v>
      </c>
      <c r="O8" s="88">
        <v>113.86468631056859</v>
      </c>
      <c r="P8" s="88">
        <v>103.78956658801457</v>
      </c>
      <c r="Q8" s="88">
        <v>111.2520216379107</v>
      </c>
      <c r="R8" s="88">
        <v>72.299770025736109</v>
      </c>
      <c r="S8" s="88">
        <v>244.89676531942465</v>
      </c>
      <c r="T8" s="88">
        <v>55.536283400030008</v>
      </c>
      <c r="U8" s="88">
        <v>128.76264118135569</v>
      </c>
      <c r="V8" s="88">
        <v>78.991449871445596</v>
      </c>
      <c r="W8" s="88">
        <v>185.53226587222102</v>
      </c>
      <c r="X8" s="88">
        <v>156.04125969209991</v>
      </c>
      <c r="Y8" s="88">
        <v>263.1738095118879</v>
      </c>
      <c r="Z8" s="88">
        <v>257.07884590354723</v>
      </c>
      <c r="AA8" s="88">
        <v>84.783597048438693</v>
      </c>
      <c r="AB8" s="88">
        <v>69.588587848639293</v>
      </c>
      <c r="AC8" s="88">
        <v>236.0150766701025</v>
      </c>
      <c r="AD8" s="88">
        <v>122.81217571091136</v>
      </c>
      <c r="AE8" s="88">
        <v>108.31842023915624</v>
      </c>
      <c r="AF8" s="88">
        <v>133.17185757922118</v>
      </c>
      <c r="AG8" s="88">
        <v>51.271796242388469</v>
      </c>
      <c r="AH8" s="88">
        <v>115.62315911345993</v>
      </c>
      <c r="AI8" s="88">
        <v>17.326335689516881</v>
      </c>
      <c r="AJ8" s="88">
        <v>131.70442619994049</v>
      </c>
      <c r="AK8" s="88">
        <v>233.30261624669163</v>
      </c>
      <c r="AL8" s="88">
        <v>187.68025770559319</v>
      </c>
      <c r="AM8" s="88">
        <v>139.28281315937346</v>
      </c>
      <c r="AN8" s="88">
        <v>250.8522747266511</v>
      </c>
      <c r="AO8" s="88">
        <v>201.55833427074211</v>
      </c>
      <c r="AP8" s="88">
        <v>209.31760165230125</v>
      </c>
      <c r="AQ8" s="88">
        <v>153.64836565755851</v>
      </c>
      <c r="AR8" s="88">
        <v>178.23610902068037</v>
      </c>
      <c r="AS8" s="88">
        <v>174.79239558114583</v>
      </c>
      <c r="AT8" s="88">
        <v>94.884178872859948</v>
      </c>
      <c r="AU8" s="88">
        <v>100.65534758765816</v>
      </c>
      <c r="AV8" s="88">
        <v>190.8827835166133</v>
      </c>
      <c r="AW8" s="88">
        <v>77.727515789104018</v>
      </c>
      <c r="AX8" s="88">
        <v>272.17588261002089</v>
      </c>
      <c r="AY8" s="88">
        <v>271.56349311931444</v>
      </c>
      <c r="AZ8" s="88">
        <v>143.18308000014341</v>
      </c>
      <c r="BA8" s="88">
        <v>150.55565252182578</v>
      </c>
      <c r="BB8" s="88">
        <v>97.648872240737646</v>
      </c>
      <c r="BC8" s="88">
        <v>50.568613933874957</v>
      </c>
      <c r="BD8" s="88">
        <v>114.8019890617513</v>
      </c>
      <c r="BE8" s="88">
        <v>226.17643555796693</v>
      </c>
      <c r="BF8" s="88">
        <v>43.083621555955979</v>
      </c>
      <c r="BG8" s="88">
        <v>109.5418917921338</v>
      </c>
      <c r="BH8" s="88">
        <v>128.85387846613361</v>
      </c>
      <c r="BI8" s="88">
        <v>23.143158279078254</v>
      </c>
      <c r="BJ8" s="88">
        <v>209.08383874356838</v>
      </c>
      <c r="BK8" s="88">
        <v>24.912780959026676</v>
      </c>
      <c r="BL8" s="88">
        <v>39.585165255454847</v>
      </c>
      <c r="BM8" s="88">
        <v>168.96974283932775</v>
      </c>
      <c r="BN8" s="88">
        <v>85.045267718801782</v>
      </c>
      <c r="BO8" s="88">
        <v>68.75439867245322</v>
      </c>
      <c r="BP8" s="88">
        <v>254.29812705656113</v>
      </c>
      <c r="BQ8" s="88">
        <v>85.668230583235299</v>
      </c>
      <c r="BR8" s="88">
        <v>172.15765687381563</v>
      </c>
      <c r="BS8" s="88">
        <v>97.715462850700419</v>
      </c>
      <c r="BT8" s="88">
        <v>19.136877254423794</v>
      </c>
      <c r="BU8" s="88">
        <v>76.903391853891407</v>
      </c>
      <c r="BV8" s="88">
        <v>31.602339582954713</v>
      </c>
      <c r="BW8" s="88">
        <v>51.505521346516147</v>
      </c>
      <c r="BX8" s="88">
        <v>147.09828424769375</v>
      </c>
      <c r="BY8" s="88">
        <v>99.619833975850938</v>
      </c>
      <c r="BZ8" s="88">
        <v>90.231812072557844</v>
      </c>
      <c r="CA8" s="88">
        <v>34.49429055155202</v>
      </c>
      <c r="CB8" s="88">
        <v>86.809353709616175</v>
      </c>
      <c r="CC8" s="88">
        <v>284.15379229924673</v>
      </c>
      <c r="CD8" s="88">
        <v>97.550424596093023</v>
      </c>
      <c r="CE8" s="88">
        <v>190.94504284065229</v>
      </c>
      <c r="CF8" s="88">
        <v>171.07070394729536</v>
      </c>
      <c r="CG8" s="88">
        <v>127.60630944375536</v>
      </c>
      <c r="CH8" s="88">
        <v>276.87449401193533</v>
      </c>
      <c r="CI8" s="88">
        <v>112.20069392427961</v>
      </c>
      <c r="CJ8" s="88">
        <v>151.39186506527602</v>
      </c>
      <c r="CK8" s="88">
        <v>97.018171024705879</v>
      </c>
      <c r="CL8" s="88">
        <v>50.135431906108352</v>
      </c>
      <c r="CM8" s="88">
        <v>63.136209340284374</v>
      </c>
      <c r="CN8" s="88">
        <v>154.018442331633</v>
      </c>
      <c r="CO8" s="88">
        <v>165.3484307813095</v>
      </c>
      <c r="CP8" s="88">
        <v>230.23931170266943</v>
      </c>
      <c r="CQ8" s="88">
        <v>62.959320485240561</v>
      </c>
      <c r="CR8" s="88">
        <v>125.46068774932895</v>
      </c>
      <c r="CS8" s="89">
        <v>106.41297650914316</v>
      </c>
    </row>
    <row r="9" spans="2:97" x14ac:dyDescent="0.3">
      <c r="B9" s="83" t="s">
        <v>66</v>
      </c>
      <c r="C9" s="88">
        <v>19.868811093896227</v>
      </c>
      <c r="D9" s="88">
        <v>142.95430348975543</v>
      </c>
      <c r="E9" s="88">
        <v>219.46505546463848</v>
      </c>
      <c r="F9" s="88">
        <v>81.142016752830585</v>
      </c>
      <c r="G9" s="88">
        <v>51.017181633834326</v>
      </c>
      <c r="H9" s="88">
        <v>95.004642037989044</v>
      </c>
      <c r="I9" s="88">
        <v>0</v>
      </c>
      <c r="J9" s="88">
        <v>114.31559225637709</v>
      </c>
      <c r="K9" s="88">
        <v>241.50526325884917</v>
      </c>
      <c r="L9" s="88">
        <v>112.70867391438198</v>
      </c>
      <c r="M9" s="88">
        <v>163.69073815113128</v>
      </c>
      <c r="N9" s="88">
        <v>258.66513944992943</v>
      </c>
      <c r="O9" s="88">
        <v>27.752276168434033</v>
      </c>
      <c r="P9" s="88">
        <v>78.095738064857628</v>
      </c>
      <c r="Q9" s="88">
        <v>66.146583805756478</v>
      </c>
      <c r="R9" s="88">
        <v>124.73031983704124</v>
      </c>
      <c r="S9" s="88">
        <v>281.31624895480218</v>
      </c>
      <c r="T9" s="88">
        <v>56.729583759517752</v>
      </c>
      <c r="U9" s="88">
        <v>147.56498042028758</v>
      </c>
      <c r="V9" s="88">
        <v>98.265484250355129</v>
      </c>
      <c r="W9" s="88">
        <v>227.96321278046591</v>
      </c>
      <c r="X9" s="88">
        <v>179.39807052191537</v>
      </c>
      <c r="Y9" s="88">
        <v>294.14637185163059</v>
      </c>
      <c r="Z9" s="88">
        <v>306.36231082389139</v>
      </c>
      <c r="AA9" s="88">
        <v>43.552127574180865</v>
      </c>
      <c r="AB9" s="88">
        <v>138.83852477429053</v>
      </c>
      <c r="AC9" s="88">
        <v>267.97914351945985</v>
      </c>
      <c r="AD9" s="88">
        <v>181.63190649776948</v>
      </c>
      <c r="AE9" s="88">
        <v>36.655115488828322</v>
      </c>
      <c r="AF9" s="88">
        <v>74.24723871039221</v>
      </c>
      <c r="AG9" s="88">
        <v>112.50265670139791</v>
      </c>
      <c r="AH9" s="88">
        <v>50.774928697872291</v>
      </c>
      <c r="AI9" s="88">
        <v>101.79730968322137</v>
      </c>
      <c r="AJ9" s="88">
        <v>52.170998850965525</v>
      </c>
      <c r="AK9" s="88">
        <v>283.52581384833786</v>
      </c>
      <c r="AL9" s="88">
        <v>240.78718415684011</v>
      </c>
      <c r="AM9" s="88">
        <v>66.987607220374642</v>
      </c>
      <c r="AN9" s="88">
        <v>292.3540530159799</v>
      </c>
      <c r="AO9" s="88">
        <v>242.26624701811411</v>
      </c>
      <c r="AP9" s="88">
        <v>230.89210691095167</v>
      </c>
      <c r="AQ9" s="88">
        <v>190.00904988503441</v>
      </c>
      <c r="AR9" s="88">
        <v>198.58656359400209</v>
      </c>
      <c r="AS9" s="88">
        <v>203.5370086998193</v>
      </c>
      <c r="AT9" s="88">
        <v>84.766792897552804</v>
      </c>
      <c r="AU9" s="88">
        <v>46.112143455459943</v>
      </c>
      <c r="AV9" s="88">
        <v>127.69792028985445</v>
      </c>
      <c r="AW9" s="88">
        <v>30.702682408127195</v>
      </c>
      <c r="AX9" s="88">
        <v>297.13935229267213</v>
      </c>
      <c r="AY9" s="88">
        <v>309.04055554743314</v>
      </c>
      <c r="AZ9" s="88">
        <v>199.36527703930224</v>
      </c>
      <c r="BA9" s="88">
        <v>196.41250486769755</v>
      </c>
      <c r="BB9" s="88">
        <v>162.12474884685525</v>
      </c>
      <c r="BC9" s="88">
        <v>47.05743772545285</v>
      </c>
      <c r="BD9" s="88">
        <v>103.55039866343809</v>
      </c>
      <c r="BE9" s="88">
        <v>267.60034669881867</v>
      </c>
      <c r="BF9" s="88">
        <v>120.61676809115188</v>
      </c>
      <c r="BG9" s="88">
        <v>159.83611433139151</v>
      </c>
      <c r="BH9" s="88">
        <v>172.30288770079943</v>
      </c>
      <c r="BI9" s="88">
        <v>72.474093399463499</v>
      </c>
      <c r="BJ9" s="88">
        <v>261.35779646731226</v>
      </c>
      <c r="BK9" s="88">
        <v>71.825459864751679</v>
      </c>
      <c r="BL9" s="88">
        <v>66.596182920771383</v>
      </c>
      <c r="BM9" s="88">
        <v>179.70212082523284</v>
      </c>
      <c r="BN9" s="88">
        <v>145.80979975026935</v>
      </c>
      <c r="BO9" s="88">
        <v>33.436400041243402</v>
      </c>
      <c r="BP9" s="88">
        <v>277.91948883092743</v>
      </c>
      <c r="BQ9" s="88">
        <v>63.43778645099259</v>
      </c>
      <c r="BR9" s="88">
        <v>213.71638232105647</v>
      </c>
      <c r="BS9" s="88">
        <v>52.486454837702304</v>
      </c>
      <c r="BT9" s="88">
        <v>91.077332037733726</v>
      </c>
      <c r="BU9" s="88">
        <v>77.085834776403331</v>
      </c>
      <c r="BV9" s="88">
        <v>69.901073767935415</v>
      </c>
      <c r="BW9" s="88">
        <v>43.664149725323561</v>
      </c>
      <c r="BX9" s="88">
        <v>151.3470426191937</v>
      </c>
      <c r="BY9" s="88">
        <v>132.2605082105195</v>
      </c>
      <c r="BZ9" s="88">
        <v>19.75224230378527</v>
      </c>
      <c r="CA9" s="88">
        <v>100.29454095618976</v>
      </c>
      <c r="CB9" s="88">
        <v>55.16071596997989</v>
      </c>
      <c r="CC9" s="88">
        <v>332.52861738905239</v>
      </c>
      <c r="CD9" s="88">
        <v>101.09524475258407</v>
      </c>
      <c r="CE9" s="88">
        <v>204.99330006800801</v>
      </c>
      <c r="CF9" s="88">
        <v>102.75501696564891</v>
      </c>
      <c r="CG9" s="88">
        <v>128.46164159756526</v>
      </c>
      <c r="CH9" s="88">
        <v>319.57373930682894</v>
      </c>
      <c r="CI9" s="88">
        <v>111.57434676037381</v>
      </c>
      <c r="CJ9" s="88">
        <v>97.723748582789284</v>
      </c>
      <c r="CK9" s="88">
        <v>19.095804346086684</v>
      </c>
      <c r="CL9" s="88">
        <v>87.635507389913329</v>
      </c>
      <c r="CM9" s="88">
        <v>103.81872838995709</v>
      </c>
      <c r="CN9" s="88">
        <v>92.191798573530036</v>
      </c>
      <c r="CO9" s="88">
        <v>218.9845517988802</v>
      </c>
      <c r="CP9" s="88">
        <v>254.15010783887035</v>
      </c>
      <c r="CQ9" s="88">
        <v>79.90158639255813</v>
      </c>
      <c r="CR9" s="88">
        <v>157.27982115756984</v>
      </c>
      <c r="CS9" s="89">
        <v>121.01185953640591</v>
      </c>
    </row>
    <row r="10" spans="2:97" x14ac:dyDescent="0.3">
      <c r="B10" s="83" t="s">
        <v>67</v>
      </c>
      <c r="C10" s="88">
        <v>106.30708827084361</v>
      </c>
      <c r="D10" s="88">
        <v>30.186967908346368</v>
      </c>
      <c r="E10" s="88">
        <v>113.620921761053</v>
      </c>
      <c r="F10" s="88">
        <v>50.220259896169615</v>
      </c>
      <c r="G10" s="88">
        <v>120.00874201563498</v>
      </c>
      <c r="H10" s="88">
        <v>81.313264990387111</v>
      </c>
      <c r="I10" s="88">
        <v>114.31559225637709</v>
      </c>
      <c r="J10" s="88">
        <v>0</v>
      </c>
      <c r="K10" s="88">
        <v>134.10021149048876</v>
      </c>
      <c r="L10" s="88">
        <v>222.15251594459303</v>
      </c>
      <c r="M10" s="88">
        <v>65.210090851482221</v>
      </c>
      <c r="N10" s="88">
        <v>145.70667077068831</v>
      </c>
      <c r="O10" s="88">
        <v>141.82151667234686</v>
      </c>
      <c r="P10" s="88">
        <v>58.829520572474237</v>
      </c>
      <c r="Q10" s="88">
        <v>164.73635481403397</v>
      </c>
      <c r="R10" s="88">
        <v>21.977752550789894</v>
      </c>
      <c r="S10" s="88">
        <v>172.34322888849312</v>
      </c>
      <c r="T10" s="88">
        <v>60.290046027436162</v>
      </c>
      <c r="U10" s="88">
        <v>47.460277588394</v>
      </c>
      <c r="V10" s="88">
        <v>17.427175312747234</v>
      </c>
      <c r="W10" s="88">
        <v>115.65809814938225</v>
      </c>
      <c r="X10" s="88">
        <v>76.082556342277954</v>
      </c>
      <c r="Y10" s="88">
        <v>188.20078770531302</v>
      </c>
      <c r="Z10" s="88">
        <v>193.13241931183353</v>
      </c>
      <c r="AA10" s="88">
        <v>74.359505810214856</v>
      </c>
      <c r="AB10" s="88">
        <v>45.171890954311131</v>
      </c>
      <c r="AC10" s="88">
        <v>161.09591124276352</v>
      </c>
      <c r="AD10" s="88">
        <v>68.895301719385373</v>
      </c>
      <c r="AE10" s="88">
        <v>146.10185068643611</v>
      </c>
      <c r="AF10" s="88">
        <v>181.43786359117681</v>
      </c>
      <c r="AG10" s="88">
        <v>34.710369998229751</v>
      </c>
      <c r="AH10" s="88">
        <v>158.63568852897595</v>
      </c>
      <c r="AI10" s="88">
        <v>66.500891189928325</v>
      </c>
      <c r="AJ10" s="88">
        <v>165.81880120321051</v>
      </c>
      <c r="AK10" s="88">
        <v>169.92988150639749</v>
      </c>
      <c r="AL10" s="88">
        <v>126.54301679725539</v>
      </c>
      <c r="AM10" s="88">
        <v>179.24536089066629</v>
      </c>
      <c r="AN10" s="88">
        <v>181.35307523025068</v>
      </c>
      <c r="AO10" s="88">
        <v>130.8307508809431</v>
      </c>
      <c r="AP10" s="88">
        <v>130.11260270868121</v>
      </c>
      <c r="AQ10" s="88">
        <v>79.051837988582776</v>
      </c>
      <c r="AR10" s="88">
        <v>98.121303370634038</v>
      </c>
      <c r="AS10" s="88">
        <v>97.166559163186946</v>
      </c>
      <c r="AT10" s="88">
        <v>43.760924990123513</v>
      </c>
      <c r="AU10" s="88">
        <v>147.18669817375726</v>
      </c>
      <c r="AV10" s="88">
        <v>238.97064644919601</v>
      </c>
      <c r="AW10" s="88">
        <v>119.51664417262648</v>
      </c>
      <c r="AX10" s="88">
        <v>194.94830507658534</v>
      </c>
      <c r="AY10" s="88">
        <v>199.92822965565816</v>
      </c>
      <c r="AZ10" s="88">
        <v>85.370582690604024</v>
      </c>
      <c r="BA10" s="88">
        <v>82.616131900537411</v>
      </c>
      <c r="BB10" s="88">
        <v>54.846893434386651</v>
      </c>
      <c r="BC10" s="88">
        <v>98.164873465727993</v>
      </c>
      <c r="BD10" s="88">
        <v>50.037316977479364</v>
      </c>
      <c r="BE10" s="88">
        <v>156.3051138715164</v>
      </c>
      <c r="BF10" s="88">
        <v>53.031763878383096</v>
      </c>
      <c r="BG10" s="88">
        <v>45.91622667231136</v>
      </c>
      <c r="BH10" s="88">
        <v>58.444938063824452</v>
      </c>
      <c r="BI10" s="88">
        <v>85.292500328878518</v>
      </c>
      <c r="BJ10" s="88">
        <v>147.29513744228643</v>
      </c>
      <c r="BK10" s="88">
        <v>72.956654353783946</v>
      </c>
      <c r="BL10" s="88">
        <v>104.63222816964564</v>
      </c>
      <c r="BM10" s="88">
        <v>87.656747809756567</v>
      </c>
      <c r="BN10" s="88">
        <v>39.851787538735699</v>
      </c>
      <c r="BO10" s="88">
        <v>82.088296136247209</v>
      </c>
      <c r="BP10" s="88">
        <v>176.39635905471252</v>
      </c>
      <c r="BQ10" s="88">
        <v>56.880602509446874</v>
      </c>
      <c r="BR10" s="88">
        <v>101.40226643273006</v>
      </c>
      <c r="BS10" s="88">
        <v>75.529011648055814</v>
      </c>
      <c r="BT10" s="88">
        <v>98.73125203547356</v>
      </c>
      <c r="BU10" s="88">
        <v>39.090360182004993</v>
      </c>
      <c r="BV10" s="88">
        <v>65.246218184758192</v>
      </c>
      <c r="BW10" s="88">
        <v>86.175571040103065</v>
      </c>
      <c r="BX10" s="88">
        <v>66.956499823617449</v>
      </c>
      <c r="BY10" s="88">
        <v>20.019292315794935</v>
      </c>
      <c r="BZ10" s="88">
        <v>96.880620926543131</v>
      </c>
      <c r="CA10" s="88">
        <v>47.427600260437821</v>
      </c>
      <c r="CB10" s="88">
        <v>142.12584680555159</v>
      </c>
      <c r="CC10" s="88">
        <v>219.70477345975829</v>
      </c>
      <c r="CD10" s="88">
        <v>31.065571207856969</v>
      </c>
      <c r="CE10" s="88">
        <v>109.99387292300993</v>
      </c>
      <c r="CF10" s="88">
        <v>215.03485670091337</v>
      </c>
      <c r="CG10" s="88">
        <v>50.751891590785206</v>
      </c>
      <c r="CH10" s="88">
        <v>208.41674756931562</v>
      </c>
      <c r="CI10" s="88">
        <v>40.632876150581112</v>
      </c>
      <c r="CJ10" s="88">
        <v>203.91420979166594</v>
      </c>
      <c r="CK10" s="88">
        <v>128.50681686389126</v>
      </c>
      <c r="CL10" s="88">
        <v>35.009303064256699</v>
      </c>
      <c r="CM10" s="88">
        <v>18.234665601797477</v>
      </c>
      <c r="CN10" s="88">
        <v>201.76971942534399</v>
      </c>
      <c r="CO10" s="88">
        <v>104.66901489531665</v>
      </c>
      <c r="CP10" s="88">
        <v>152.08003333496347</v>
      </c>
      <c r="CQ10" s="88">
        <v>34.898026144316823</v>
      </c>
      <c r="CR10" s="88">
        <v>47.213409786012996</v>
      </c>
      <c r="CS10" s="89">
        <v>27.347329020368758</v>
      </c>
    </row>
    <row r="11" spans="2:97" x14ac:dyDescent="0.3">
      <c r="B11" s="83" t="s">
        <v>68</v>
      </c>
      <c r="C11" s="88">
        <v>237.57850173544355</v>
      </c>
      <c r="D11" s="88">
        <v>116.02696259253845</v>
      </c>
      <c r="E11" s="88">
        <v>22.352799397156065</v>
      </c>
      <c r="F11" s="88">
        <v>183.62774596714152</v>
      </c>
      <c r="G11" s="88">
        <v>254.06333817722023</v>
      </c>
      <c r="H11" s="88">
        <v>209.46143315009496</v>
      </c>
      <c r="I11" s="88">
        <v>241.50526325884917</v>
      </c>
      <c r="J11" s="88">
        <v>134.10021149048876</v>
      </c>
      <c r="K11" s="88">
        <v>0</v>
      </c>
      <c r="L11" s="88">
        <v>353.24862246236387</v>
      </c>
      <c r="M11" s="88">
        <v>78.61205442584027</v>
      </c>
      <c r="N11" s="88">
        <v>39.158413988125311</v>
      </c>
      <c r="O11" s="88">
        <v>269.112686170497</v>
      </c>
      <c r="P11" s="88">
        <v>166.66255042587642</v>
      </c>
      <c r="Q11" s="88">
        <v>297.8788601026306</v>
      </c>
      <c r="R11" s="88">
        <v>137.25787261293848</v>
      </c>
      <c r="S11" s="88">
        <v>40.099684347956199</v>
      </c>
      <c r="T11" s="88">
        <v>192.92763668085055</v>
      </c>
      <c r="U11" s="88">
        <v>93.945069547949103</v>
      </c>
      <c r="V11" s="88">
        <v>146.26456726867806</v>
      </c>
      <c r="W11" s="88">
        <v>31.927687164643913</v>
      </c>
      <c r="X11" s="88">
        <v>62.240725568510882</v>
      </c>
      <c r="Y11" s="88">
        <v>54.135062068923908</v>
      </c>
      <c r="Z11" s="88">
        <v>76.178090707561211</v>
      </c>
      <c r="AA11" s="88">
        <v>198.07836881146429</v>
      </c>
      <c r="AB11" s="88">
        <v>143.99850065562759</v>
      </c>
      <c r="AC11" s="88">
        <v>26.996871481447577</v>
      </c>
      <c r="AD11" s="88">
        <v>95.671430139952292</v>
      </c>
      <c r="AE11" s="88">
        <v>276.33461070372368</v>
      </c>
      <c r="AF11" s="88">
        <v>313.06383340309986</v>
      </c>
      <c r="AG11" s="88">
        <v>158.2284805204992</v>
      </c>
      <c r="AH11" s="88">
        <v>289.68347364860784</v>
      </c>
      <c r="AI11" s="88">
        <v>192.45158677595907</v>
      </c>
      <c r="AJ11" s="88">
        <v>293.59020657730446</v>
      </c>
      <c r="AK11" s="88">
        <v>61.071084817601978</v>
      </c>
      <c r="AL11" s="88">
        <v>55.524615725429122</v>
      </c>
      <c r="AM11" s="88">
        <v>308.41063182277122</v>
      </c>
      <c r="AN11" s="88">
        <v>53.902581828023159</v>
      </c>
      <c r="AO11" s="88">
        <v>22.302134784246093</v>
      </c>
      <c r="AP11" s="88">
        <v>26.118505759616184</v>
      </c>
      <c r="AQ11" s="88">
        <v>55.902792740174284</v>
      </c>
      <c r="AR11" s="88">
        <v>46.246047086899523</v>
      </c>
      <c r="AS11" s="88">
        <v>37.976179050354496</v>
      </c>
      <c r="AT11" s="88">
        <v>157.08488523584515</v>
      </c>
      <c r="AU11" s="88">
        <v>279.52281892580481</v>
      </c>
      <c r="AV11" s="88">
        <v>369.04559954333149</v>
      </c>
      <c r="AW11" s="88">
        <v>252.16163920888945</v>
      </c>
      <c r="AX11" s="88">
        <v>63.306933107581742</v>
      </c>
      <c r="AY11" s="88">
        <v>67.655160477665177</v>
      </c>
      <c r="AZ11" s="88">
        <v>78.934825217614915</v>
      </c>
      <c r="BA11" s="88">
        <v>61.850313499742803</v>
      </c>
      <c r="BB11" s="88">
        <v>119.32509229910389</v>
      </c>
      <c r="BC11" s="88">
        <v>232.18262108469332</v>
      </c>
      <c r="BD11" s="88">
        <v>141.39966646102738</v>
      </c>
      <c r="BE11" s="88">
        <v>33.292399269235595</v>
      </c>
      <c r="BF11" s="88">
        <v>169.23514610214087</v>
      </c>
      <c r="BG11" s="88">
        <v>100.69130117212383</v>
      </c>
      <c r="BH11" s="88">
        <v>80.755472417936517</v>
      </c>
      <c r="BI11" s="88">
        <v>218.22586092932684</v>
      </c>
      <c r="BJ11" s="88">
        <v>55.449151298431261</v>
      </c>
      <c r="BK11" s="88">
        <v>206.28865074192672</v>
      </c>
      <c r="BL11" s="88">
        <v>238.1751286076518</v>
      </c>
      <c r="BM11" s="88">
        <v>69.589872467925503</v>
      </c>
      <c r="BN11" s="88">
        <v>126.65360241542783</v>
      </c>
      <c r="BO11" s="88">
        <v>212.48022936449831</v>
      </c>
      <c r="BP11" s="88">
        <v>47.148619552682788</v>
      </c>
      <c r="BQ11" s="88">
        <v>178.14801924105942</v>
      </c>
      <c r="BR11" s="88">
        <v>40.219319281577299</v>
      </c>
      <c r="BS11" s="88">
        <v>192.21077168986113</v>
      </c>
      <c r="BT11" s="88">
        <v>228.34682279896541</v>
      </c>
      <c r="BU11" s="88">
        <v>165.3641207161867</v>
      </c>
      <c r="BV11" s="88">
        <v>199.07868627084017</v>
      </c>
      <c r="BW11" s="88">
        <v>219.78865687865311</v>
      </c>
      <c r="BX11" s="88">
        <v>95.878416574949128</v>
      </c>
      <c r="BY11" s="88">
        <v>114.08679335449307</v>
      </c>
      <c r="BZ11" s="88">
        <v>222.14160189184409</v>
      </c>
      <c r="CA11" s="88">
        <v>175.4991138408958</v>
      </c>
      <c r="CB11" s="88">
        <v>275.89256690199704</v>
      </c>
      <c r="CC11" s="88">
        <v>97.682505048591779</v>
      </c>
      <c r="CD11" s="88">
        <v>140.41290850265119</v>
      </c>
      <c r="CE11" s="88">
        <v>49.907229068851137</v>
      </c>
      <c r="CF11" s="88">
        <v>344.24864333912092</v>
      </c>
      <c r="CG11" s="88">
        <v>116.02341006782402</v>
      </c>
      <c r="CH11" s="88">
        <v>80.255046051130051</v>
      </c>
      <c r="CI11" s="88">
        <v>131.05565158266006</v>
      </c>
      <c r="CJ11" s="88">
        <v>336.0927431253611</v>
      </c>
      <c r="CK11" s="88">
        <v>258.15472796151931</v>
      </c>
      <c r="CL11" s="88">
        <v>168.89606746668755</v>
      </c>
      <c r="CM11" s="88">
        <v>150.95786331441036</v>
      </c>
      <c r="CN11" s="88">
        <v>332.67370963249675</v>
      </c>
      <c r="CO11" s="88">
        <v>62.817742546059947</v>
      </c>
      <c r="CP11" s="88">
        <v>26.953524909153369</v>
      </c>
      <c r="CQ11" s="88">
        <v>167.45015806670577</v>
      </c>
      <c r="CR11" s="88">
        <v>86.924206282233712</v>
      </c>
      <c r="CS11" s="89">
        <v>121.00824075992202</v>
      </c>
    </row>
    <row r="12" spans="2:97" x14ac:dyDescent="0.3">
      <c r="B12" s="83" t="s">
        <v>69</v>
      </c>
      <c r="C12" s="88">
        <v>116.01616776874064</v>
      </c>
      <c r="D12" s="88">
        <v>248.14279194105154</v>
      </c>
      <c r="E12" s="88">
        <v>331.41953247261807</v>
      </c>
      <c r="F12" s="88">
        <v>178.6330711697866</v>
      </c>
      <c r="G12" s="88">
        <v>108.8106666843788</v>
      </c>
      <c r="H12" s="88">
        <v>172.15454526539637</v>
      </c>
      <c r="I12" s="88">
        <v>112.70867391438198</v>
      </c>
      <c r="J12" s="88">
        <v>222.15251594459303</v>
      </c>
      <c r="K12" s="88">
        <v>353.24862246236387</v>
      </c>
      <c r="L12" s="88">
        <v>0</v>
      </c>
      <c r="M12" s="88">
        <v>276.05002453939744</v>
      </c>
      <c r="N12" s="88">
        <v>367.85918482146394</v>
      </c>
      <c r="O12" s="88">
        <v>86.245569042479616</v>
      </c>
      <c r="P12" s="88">
        <v>190.65418629587475</v>
      </c>
      <c r="Q12" s="88">
        <v>60.964386946513663</v>
      </c>
      <c r="R12" s="88">
        <v>227.63844097800242</v>
      </c>
      <c r="S12" s="88">
        <v>392.76545378693379</v>
      </c>
      <c r="T12" s="88">
        <v>161.86278042926401</v>
      </c>
      <c r="U12" s="88">
        <v>259.52103773020997</v>
      </c>
      <c r="V12" s="88">
        <v>207.74886557980187</v>
      </c>
      <c r="W12" s="88">
        <v>337.68037060578519</v>
      </c>
      <c r="X12" s="88">
        <v>291.438737492401</v>
      </c>
      <c r="Y12" s="88">
        <v>406.35210172028587</v>
      </c>
      <c r="Z12" s="88">
        <v>415.23134593997884</v>
      </c>
      <c r="AA12" s="88">
        <v>156.13408662131482</v>
      </c>
      <c r="AB12" s="88">
        <v>235.71293359657028</v>
      </c>
      <c r="AC12" s="88">
        <v>379.93543210358911</v>
      </c>
      <c r="AD12" s="88">
        <v>285.10641891585351</v>
      </c>
      <c r="AE12" s="88">
        <v>76.938261875159739</v>
      </c>
      <c r="AF12" s="88">
        <v>40.822210736775496</v>
      </c>
      <c r="AG12" s="88">
        <v>210.69422805329114</v>
      </c>
      <c r="AH12" s="88">
        <v>63.648848350341872</v>
      </c>
      <c r="AI12" s="88">
        <v>186.74437417554697</v>
      </c>
      <c r="AJ12" s="88">
        <v>62.8728652203596</v>
      </c>
      <c r="AK12" s="88">
        <v>391.90324980208504</v>
      </c>
      <c r="AL12" s="88">
        <v>347.69757714686591</v>
      </c>
      <c r="AM12" s="88">
        <v>46.57988850168293</v>
      </c>
      <c r="AN12" s="88">
        <v>402.98936845962425</v>
      </c>
      <c r="AO12" s="88">
        <v>352.55962919109692</v>
      </c>
      <c r="AP12" s="88">
        <v>343.47617169804386</v>
      </c>
      <c r="AQ12" s="88">
        <v>300.32649110516581</v>
      </c>
      <c r="AR12" s="88">
        <v>311.06620716691805</v>
      </c>
      <c r="AS12" s="88">
        <v>315.29380118982311</v>
      </c>
      <c r="AT12" s="88">
        <v>197.29816096870999</v>
      </c>
      <c r="AU12" s="88">
        <v>75.384505134664821</v>
      </c>
      <c r="AV12" s="88">
        <v>18.9802879068083</v>
      </c>
      <c r="AW12" s="88">
        <v>103.0055282438656</v>
      </c>
      <c r="AX12" s="88">
        <v>409.76302092470041</v>
      </c>
      <c r="AY12" s="88">
        <v>420.50993864393729</v>
      </c>
      <c r="AZ12" s="88">
        <v>304.36111736367724</v>
      </c>
      <c r="BA12" s="88">
        <v>304.66402623447237</v>
      </c>
      <c r="BB12" s="88">
        <v>262.45097830221943</v>
      </c>
      <c r="BC12" s="88">
        <v>127.94454663823528</v>
      </c>
      <c r="BD12" s="88">
        <v>216.22006591878269</v>
      </c>
      <c r="BE12" s="88">
        <v>378.02917746990141</v>
      </c>
      <c r="BF12" s="88">
        <v>211.74560356571308</v>
      </c>
      <c r="BG12" s="88">
        <v>265.59620174125121</v>
      </c>
      <c r="BH12" s="88">
        <v>280.53433245431984</v>
      </c>
      <c r="BI12" s="88">
        <v>151.68744381612845</v>
      </c>
      <c r="BJ12" s="88">
        <v>368.83639112135853</v>
      </c>
      <c r="BK12" s="88">
        <v>159.57890170077863</v>
      </c>
      <c r="BL12" s="88">
        <v>132.61575130307196</v>
      </c>
      <c r="BM12" s="88">
        <v>292.41001185025965</v>
      </c>
      <c r="BN12" s="88">
        <v>246.99287261787987</v>
      </c>
      <c r="BO12" s="88">
        <v>140.90774613816615</v>
      </c>
      <c r="BP12" s="88">
        <v>390.55479054756552</v>
      </c>
      <c r="BQ12" s="88">
        <v>175.8770211948239</v>
      </c>
      <c r="BR12" s="88">
        <v>323.39843708065212</v>
      </c>
      <c r="BS12" s="88">
        <v>164.77831749965043</v>
      </c>
      <c r="BT12" s="88">
        <v>156.85437031536529</v>
      </c>
      <c r="BU12" s="88">
        <v>187.89938924225891</v>
      </c>
      <c r="BV12" s="88">
        <v>163.31749524250333</v>
      </c>
      <c r="BW12" s="88">
        <v>137.19418851776251</v>
      </c>
      <c r="BX12" s="88">
        <v>264.05075851696591</v>
      </c>
      <c r="BY12" s="88">
        <v>241.40081184989214</v>
      </c>
      <c r="BZ12" s="88">
        <v>132.45234520987415</v>
      </c>
      <c r="CA12" s="88">
        <v>194.49034396337629</v>
      </c>
      <c r="CB12" s="88">
        <v>85.514856399801559</v>
      </c>
      <c r="CC12" s="88">
        <v>441.85468657904238</v>
      </c>
      <c r="CD12" s="88">
        <v>213.18234483921856</v>
      </c>
      <c r="CE12" s="88">
        <v>317.70092397491277</v>
      </c>
      <c r="CF12" s="88">
        <v>18.095106384922556</v>
      </c>
      <c r="CG12" s="88">
        <v>241.16731113967066</v>
      </c>
      <c r="CH12" s="88">
        <v>430.16503555611013</v>
      </c>
      <c r="CI12" s="88">
        <v>224.20105530739716</v>
      </c>
      <c r="CJ12" s="88">
        <v>21.132023831668967</v>
      </c>
      <c r="CK12" s="88">
        <v>95.17434541413084</v>
      </c>
      <c r="CL12" s="88">
        <v>190.27270547828047</v>
      </c>
      <c r="CM12" s="88">
        <v>208.34393697976668</v>
      </c>
      <c r="CN12" s="88">
        <v>20.587155256484394</v>
      </c>
      <c r="CO12" s="88">
        <v>325.33219038930326</v>
      </c>
      <c r="CP12" s="88">
        <v>366.70699727353451</v>
      </c>
      <c r="CQ12" s="88">
        <v>187.34723334203042</v>
      </c>
      <c r="CR12" s="88">
        <v>267.61789395272694</v>
      </c>
      <c r="CS12" s="89">
        <v>232.86755468373758</v>
      </c>
    </row>
    <row r="13" spans="2:97" x14ac:dyDescent="0.3">
      <c r="B13" s="83" t="s">
        <v>70</v>
      </c>
      <c r="C13" s="88">
        <v>161.25844516407707</v>
      </c>
      <c r="D13" s="88">
        <v>62.423531651812581</v>
      </c>
      <c r="E13" s="88">
        <v>56.287222446241536</v>
      </c>
      <c r="F13" s="88">
        <v>114.78755159032615</v>
      </c>
      <c r="G13" s="88">
        <v>181.04247859025622</v>
      </c>
      <c r="H13" s="88">
        <v>146.41186628910501</v>
      </c>
      <c r="I13" s="88">
        <v>163.69073815113128</v>
      </c>
      <c r="J13" s="88">
        <v>65.210090851482221</v>
      </c>
      <c r="K13" s="88">
        <v>78.61205442584027</v>
      </c>
      <c r="L13" s="88">
        <v>276.05002453939744</v>
      </c>
      <c r="M13" s="88">
        <v>0</v>
      </c>
      <c r="N13" s="88">
        <v>103.25043379092911</v>
      </c>
      <c r="O13" s="88">
        <v>191.12385727740414</v>
      </c>
      <c r="P13" s="88">
        <v>88.053116850146196</v>
      </c>
      <c r="Q13" s="88">
        <v>222.4679849311982</v>
      </c>
      <c r="R13" s="88">
        <v>77.696849254334452</v>
      </c>
      <c r="S13" s="88">
        <v>118.70969692056562</v>
      </c>
      <c r="T13" s="88">
        <v>118.46662301216604</v>
      </c>
      <c r="U13" s="88">
        <v>17.979707976726427</v>
      </c>
      <c r="V13" s="88">
        <v>72.591128265956215</v>
      </c>
      <c r="W13" s="88">
        <v>73.008338512901972</v>
      </c>
      <c r="X13" s="88">
        <v>16.913727560870861</v>
      </c>
      <c r="Y13" s="88">
        <v>130.46984397610842</v>
      </c>
      <c r="Z13" s="88">
        <v>149.73209846134986</v>
      </c>
      <c r="AA13" s="88">
        <v>120.14323248228017</v>
      </c>
      <c r="AB13" s="88">
        <v>94.569668225347414</v>
      </c>
      <c r="AC13" s="88">
        <v>104.55143584782357</v>
      </c>
      <c r="AD13" s="88">
        <v>73.184184813426612</v>
      </c>
      <c r="AE13" s="88">
        <v>199.14605443262158</v>
      </c>
      <c r="AF13" s="88">
        <v>236.31855231521251</v>
      </c>
      <c r="AG13" s="88">
        <v>97.287470273144436</v>
      </c>
      <c r="AH13" s="88">
        <v>212.76615715059881</v>
      </c>
      <c r="AI13" s="88">
        <v>131.04760288215081</v>
      </c>
      <c r="AJ13" s="88">
        <v>215.57916008650744</v>
      </c>
      <c r="AK13" s="88">
        <v>129.29145963236741</v>
      </c>
      <c r="AL13" s="88">
        <v>95.747787991969702</v>
      </c>
      <c r="AM13" s="88">
        <v>230.6783443238777</v>
      </c>
      <c r="AN13" s="88">
        <v>131.46650583383061</v>
      </c>
      <c r="AO13" s="88">
        <v>83.938346617318388</v>
      </c>
      <c r="AP13" s="88">
        <v>67.766840107234458</v>
      </c>
      <c r="AQ13" s="88">
        <v>38.282692525298799</v>
      </c>
      <c r="AR13" s="88">
        <v>35.130754702609181</v>
      </c>
      <c r="AS13" s="88">
        <v>41.308398351093075</v>
      </c>
      <c r="AT13" s="88">
        <v>78.948441516490647</v>
      </c>
      <c r="AU13" s="88">
        <v>203.47640523253801</v>
      </c>
      <c r="AV13" s="88">
        <v>291.38768774346011</v>
      </c>
      <c r="AW13" s="88">
        <v>176.63486624397382</v>
      </c>
      <c r="AX13" s="88">
        <v>134.03266463621159</v>
      </c>
      <c r="AY13" s="88">
        <v>146.22198964198094</v>
      </c>
      <c r="AZ13" s="88">
        <v>74.118604517328492</v>
      </c>
      <c r="BA13" s="88">
        <v>55.53408941561073</v>
      </c>
      <c r="BB13" s="88">
        <v>82.260373665057656</v>
      </c>
      <c r="BC13" s="88">
        <v>159.21825997867924</v>
      </c>
      <c r="BD13" s="88">
        <v>62.84873441247035</v>
      </c>
      <c r="BE13" s="88">
        <v>107.81758869650176</v>
      </c>
      <c r="BF13" s="88">
        <v>113.38008763387816</v>
      </c>
      <c r="BG13" s="88">
        <v>57.590719745170666</v>
      </c>
      <c r="BH13" s="88">
        <v>44.486704183950955</v>
      </c>
      <c r="BI13" s="88">
        <v>149.79220821500473</v>
      </c>
      <c r="BJ13" s="88">
        <v>111.68546523916642</v>
      </c>
      <c r="BK13" s="88">
        <v>137.27714469735218</v>
      </c>
      <c r="BL13" s="88">
        <v>168.37943576721017</v>
      </c>
      <c r="BM13" s="88">
        <v>23.149892567555721</v>
      </c>
      <c r="BN13" s="88">
        <v>78.807105388847546</v>
      </c>
      <c r="BO13" s="88">
        <v>136.10714354383467</v>
      </c>
      <c r="BP13" s="88">
        <v>114.931700578697</v>
      </c>
      <c r="BQ13" s="88">
        <v>100.26159770121731</v>
      </c>
      <c r="BR13" s="88">
        <v>60.72206578717639</v>
      </c>
      <c r="BS13" s="88">
        <v>113.67327655465242</v>
      </c>
      <c r="BT13" s="88">
        <v>163.93937582826072</v>
      </c>
      <c r="BU13" s="88">
        <v>89.073638324799489</v>
      </c>
      <c r="BV13" s="88">
        <v>129.01707256457746</v>
      </c>
      <c r="BW13" s="88">
        <v>145.92627328845799</v>
      </c>
      <c r="BX13" s="88">
        <v>21.857423080116302</v>
      </c>
      <c r="BY13" s="88">
        <v>47.26288962448254</v>
      </c>
      <c r="BZ13" s="88">
        <v>144.14044720528423</v>
      </c>
      <c r="CA13" s="88">
        <v>112.18109530779761</v>
      </c>
      <c r="CB13" s="88">
        <v>201.65305752554059</v>
      </c>
      <c r="CC13" s="88">
        <v>174.04625112599246</v>
      </c>
      <c r="CD13" s="88">
        <v>62.930714683866988</v>
      </c>
      <c r="CE13" s="88">
        <v>44.952654641165587</v>
      </c>
      <c r="CF13" s="88">
        <v>266.39957618883659</v>
      </c>
      <c r="CG13" s="88">
        <v>37.68354180058892</v>
      </c>
      <c r="CH13" s="88">
        <v>158.40532308243098</v>
      </c>
      <c r="CI13" s="88">
        <v>52.522379916257862</v>
      </c>
      <c r="CJ13" s="88">
        <v>259.58874186691583</v>
      </c>
      <c r="CK13" s="88">
        <v>180.88686793311794</v>
      </c>
      <c r="CL13" s="88">
        <v>99.304144653216994</v>
      </c>
      <c r="CM13" s="88">
        <v>83.444247347245735</v>
      </c>
      <c r="CN13" s="88">
        <v>255.46508222953378</v>
      </c>
      <c r="CO13" s="88">
        <v>80.727769694047794</v>
      </c>
      <c r="CP13" s="88">
        <v>90.82565193731844</v>
      </c>
      <c r="CQ13" s="88">
        <v>93.926140701828118</v>
      </c>
      <c r="CR13" s="88">
        <v>27.449482551617113</v>
      </c>
      <c r="CS13" s="89">
        <v>44.647654252536334</v>
      </c>
    </row>
    <row r="14" spans="2:97" x14ac:dyDescent="0.3">
      <c r="B14" s="83" t="s">
        <v>71</v>
      </c>
      <c r="C14" s="88">
        <v>251.96271621228141</v>
      </c>
      <c r="D14" s="88">
        <v>121.33064000655072</v>
      </c>
      <c r="E14" s="88">
        <v>54.179543578598064</v>
      </c>
      <c r="F14" s="88">
        <v>191.94975305612411</v>
      </c>
      <c r="G14" s="88">
        <v>263.96917037101173</v>
      </c>
      <c r="H14" s="88">
        <v>212.37345357360417</v>
      </c>
      <c r="I14" s="88">
        <v>258.66513944992943</v>
      </c>
      <c r="J14" s="88">
        <v>145.70667077068831</v>
      </c>
      <c r="K14" s="88">
        <v>39.158413988125311</v>
      </c>
      <c r="L14" s="88">
        <v>367.85918482146394</v>
      </c>
      <c r="M14" s="88">
        <v>103.25043379092911</v>
      </c>
      <c r="N14" s="88">
        <v>0</v>
      </c>
      <c r="O14" s="88">
        <v>286.40366334415239</v>
      </c>
      <c r="P14" s="88">
        <v>188.38786488153283</v>
      </c>
      <c r="Q14" s="88">
        <v>309.99669570229929</v>
      </c>
      <c r="R14" s="88">
        <v>142.86364989523884</v>
      </c>
      <c r="S14" s="88">
        <v>40.046323493677967</v>
      </c>
      <c r="T14" s="88">
        <v>205.99653154019597</v>
      </c>
      <c r="U14" s="88">
        <v>114.69734735739286</v>
      </c>
      <c r="V14" s="88">
        <v>160.60868598515418</v>
      </c>
      <c r="W14" s="88">
        <v>30.999637715224004</v>
      </c>
      <c r="X14" s="88">
        <v>86.468238591615275</v>
      </c>
      <c r="Y14" s="88">
        <v>62.841906748396589</v>
      </c>
      <c r="Z14" s="88">
        <v>47.728131785556442</v>
      </c>
      <c r="AA14" s="88">
        <v>216.25724193847719</v>
      </c>
      <c r="AB14" s="88">
        <v>143.29017727092545</v>
      </c>
      <c r="AC14" s="88">
        <v>43.539577191277161</v>
      </c>
      <c r="AD14" s="88">
        <v>90.233770372513561</v>
      </c>
      <c r="AE14" s="88">
        <v>291.65667720489483</v>
      </c>
      <c r="AF14" s="88">
        <v>327.13548115607279</v>
      </c>
      <c r="AG14" s="88">
        <v>162.71253030047293</v>
      </c>
      <c r="AH14" s="88">
        <v>304.32458831602617</v>
      </c>
      <c r="AI14" s="88">
        <v>195.0471595509126</v>
      </c>
      <c r="AJ14" s="88">
        <v>310.70507474006763</v>
      </c>
      <c r="AK14" s="88">
        <v>26.041036191805492</v>
      </c>
      <c r="AL14" s="88">
        <v>28.660425513642068</v>
      </c>
      <c r="AM14" s="88">
        <v>324.62122362874538</v>
      </c>
      <c r="AN14" s="88">
        <v>39.299589728061534</v>
      </c>
      <c r="AO14" s="88">
        <v>20.443443560555398</v>
      </c>
      <c r="AP14" s="88">
        <v>65.218513653333645</v>
      </c>
      <c r="AQ14" s="88">
        <v>69.208579369760898</v>
      </c>
      <c r="AR14" s="88">
        <v>77.95730790741105</v>
      </c>
      <c r="AS14" s="88">
        <v>63.500777593575251</v>
      </c>
      <c r="AT14" s="88">
        <v>176.74826352538921</v>
      </c>
      <c r="AU14" s="88">
        <v>292.82212796050698</v>
      </c>
      <c r="AV14" s="88">
        <v>384.61191756789248</v>
      </c>
      <c r="AW14" s="88">
        <v>265.12848674998008</v>
      </c>
      <c r="AX14" s="88">
        <v>80.016879243858</v>
      </c>
      <c r="AY14" s="88">
        <v>61.715487783815014</v>
      </c>
      <c r="AZ14" s="88">
        <v>70.049815815309287</v>
      </c>
      <c r="BA14" s="88">
        <v>63.418567392765048</v>
      </c>
      <c r="BB14" s="88">
        <v>115.75276108287461</v>
      </c>
      <c r="BC14" s="88">
        <v>242.5236822450361</v>
      </c>
      <c r="BD14" s="88">
        <v>164.56693945764488</v>
      </c>
      <c r="BE14" s="88">
        <v>18.043390964451664</v>
      </c>
      <c r="BF14" s="88">
        <v>169.83263902794965</v>
      </c>
      <c r="BG14" s="88">
        <v>104.03026919636959</v>
      </c>
      <c r="BH14" s="88">
        <v>87.393629686497988</v>
      </c>
      <c r="BI14" s="88">
        <v>224.83396913218536</v>
      </c>
      <c r="BJ14" s="88">
        <v>17.237533399806019</v>
      </c>
      <c r="BK14" s="88">
        <v>213.79385039523257</v>
      </c>
      <c r="BL14" s="88">
        <v>245.33353943745055</v>
      </c>
      <c r="BM14" s="88">
        <v>101.20179339248591</v>
      </c>
      <c r="BN14" s="88">
        <v>127.3323374394282</v>
      </c>
      <c r="BO14" s="88">
        <v>227.45452735149811</v>
      </c>
      <c r="BP14" s="88">
        <v>71.260032995733823</v>
      </c>
      <c r="BQ14" s="88">
        <v>196.64549561813749</v>
      </c>
      <c r="BR14" s="88">
        <v>45.050860756766873</v>
      </c>
      <c r="BS14" s="88">
        <v>212.69165812651877</v>
      </c>
      <c r="BT14" s="88">
        <v>231.50808723913832</v>
      </c>
      <c r="BU14" s="88">
        <v>181.58663800652675</v>
      </c>
      <c r="BV14" s="88">
        <v>207.73168636984423</v>
      </c>
      <c r="BW14" s="88">
        <v>231.40969995545274</v>
      </c>
      <c r="BX14" s="88">
        <v>123.66377482251922</v>
      </c>
      <c r="BY14" s="88">
        <v>126.65765657121874</v>
      </c>
      <c r="BZ14" s="88">
        <v>240.07420621517912</v>
      </c>
      <c r="CA14" s="88">
        <v>180.30737654005713</v>
      </c>
      <c r="CB14" s="88">
        <v>286.79183729210121</v>
      </c>
      <c r="CC14" s="88">
        <v>74.007672367083146</v>
      </c>
      <c r="CD14" s="88">
        <v>159.34404200771303</v>
      </c>
      <c r="CE14" s="88">
        <v>86.206449021549588</v>
      </c>
      <c r="CF14" s="88">
        <v>360.49077884914487</v>
      </c>
      <c r="CG14" s="88">
        <v>140.4190604307596</v>
      </c>
      <c r="CH14" s="88">
        <v>64.509512466539306</v>
      </c>
      <c r="CI14" s="88">
        <v>152.85679559326198</v>
      </c>
      <c r="CJ14" s="88">
        <v>349.51294401991743</v>
      </c>
      <c r="CK14" s="88">
        <v>273.869151329087</v>
      </c>
      <c r="CL14" s="88">
        <v>178.55690867917158</v>
      </c>
      <c r="CM14" s="88">
        <v>160.24704111401036</v>
      </c>
      <c r="CN14" s="88">
        <v>347.46871397285264</v>
      </c>
      <c r="CO14" s="88">
        <v>48.159480873367237</v>
      </c>
      <c r="CP14" s="88">
        <v>60.805452899416537</v>
      </c>
      <c r="CQ14" s="88">
        <v>180.5419744474961</v>
      </c>
      <c r="CR14" s="88">
        <v>101.57362271577001</v>
      </c>
      <c r="CS14" s="89">
        <v>139.46700907042472</v>
      </c>
    </row>
    <row r="15" spans="2:97" x14ac:dyDescent="0.3">
      <c r="B15" s="83" t="s">
        <v>72</v>
      </c>
      <c r="C15" s="88">
        <v>39.246821640274213</v>
      </c>
      <c r="D15" s="88">
        <v>170.12858809256511</v>
      </c>
      <c r="E15" s="88">
        <v>247.02775608151441</v>
      </c>
      <c r="F15" s="88">
        <v>105.88153363873704</v>
      </c>
      <c r="G15" s="88">
        <v>57.101338568695461</v>
      </c>
      <c r="H15" s="88">
        <v>113.86468631056859</v>
      </c>
      <c r="I15" s="88">
        <v>27.752276168434033</v>
      </c>
      <c r="J15" s="88">
        <v>141.82151667234686</v>
      </c>
      <c r="K15" s="88">
        <v>269.112686170497</v>
      </c>
      <c r="L15" s="88">
        <v>86.245569042479616</v>
      </c>
      <c r="M15" s="88">
        <v>191.12385727740414</v>
      </c>
      <c r="N15" s="88">
        <v>286.40366334415239</v>
      </c>
      <c r="O15" s="88">
        <v>0</v>
      </c>
      <c r="P15" s="88">
        <v>104.61950180236632</v>
      </c>
      <c r="Q15" s="88">
        <v>48.995425154381849</v>
      </c>
      <c r="R15" s="88">
        <v>151.39038464775925</v>
      </c>
      <c r="S15" s="88">
        <v>308.96745290703899</v>
      </c>
      <c r="T15" s="88">
        <v>83.205827231541036</v>
      </c>
      <c r="U15" s="88">
        <v>175.16836578737383</v>
      </c>
      <c r="V15" s="88">
        <v>125.94047271358893</v>
      </c>
      <c r="W15" s="88">
        <v>255.71253028556359</v>
      </c>
      <c r="X15" s="88">
        <v>206.95514929362528</v>
      </c>
      <c r="Y15" s="88">
        <v>321.59309458061091</v>
      </c>
      <c r="Z15" s="88">
        <v>334.09499717707178</v>
      </c>
      <c r="AA15" s="88">
        <v>71.040260002903054</v>
      </c>
      <c r="AB15" s="88">
        <v>164.26245371913564</v>
      </c>
      <c r="AC15" s="88">
        <v>295.52328382568408</v>
      </c>
      <c r="AD15" s="88">
        <v>208.63167642661116</v>
      </c>
      <c r="AE15" s="88">
        <v>16.725982088414803</v>
      </c>
      <c r="AF15" s="88">
        <v>50.134504020925078</v>
      </c>
      <c r="AG15" s="88">
        <v>137.966372771626</v>
      </c>
      <c r="AH15" s="88">
        <v>28.704007076320746</v>
      </c>
      <c r="AI15" s="88">
        <v>123.3433277056083</v>
      </c>
      <c r="AJ15" s="88">
        <v>24.477552771915541</v>
      </c>
      <c r="AK15" s="88">
        <v>311.22986651537616</v>
      </c>
      <c r="AL15" s="88">
        <v>268.35144600910195</v>
      </c>
      <c r="AM15" s="88">
        <v>39.865321618341191</v>
      </c>
      <c r="AN15" s="88">
        <v>320.08550074322909</v>
      </c>
      <c r="AO15" s="88">
        <v>270.01546377020475</v>
      </c>
      <c r="AP15" s="88">
        <v>258.10422072721678</v>
      </c>
      <c r="AQ15" s="88">
        <v>217.76085085264083</v>
      </c>
      <c r="AR15" s="88">
        <v>225.91559379912448</v>
      </c>
      <c r="AS15" s="88">
        <v>231.15622810839395</v>
      </c>
      <c r="AT15" s="88">
        <v>112.17768352107356</v>
      </c>
      <c r="AU15" s="88">
        <v>32.309788774442445</v>
      </c>
      <c r="AV15" s="88">
        <v>100.45140139273755</v>
      </c>
      <c r="AW15" s="88">
        <v>37.349350913236741</v>
      </c>
      <c r="AX15" s="88">
        <v>324.27456491379348</v>
      </c>
      <c r="AY15" s="88">
        <v>336.68235564001475</v>
      </c>
      <c r="AZ15" s="88">
        <v>226.64291033566107</v>
      </c>
      <c r="BA15" s="88">
        <v>224.07307003507029</v>
      </c>
      <c r="BB15" s="88">
        <v>188.46407888138302</v>
      </c>
      <c r="BC15" s="88">
        <v>63.331290324963334</v>
      </c>
      <c r="BD15" s="88">
        <v>130.29224081320925</v>
      </c>
      <c r="BE15" s="88">
        <v>295.34378711148395</v>
      </c>
      <c r="BF15" s="88">
        <v>144.36202523457172</v>
      </c>
      <c r="BG15" s="88">
        <v>187.14825994391782</v>
      </c>
      <c r="BH15" s="88">
        <v>199.94373733633631</v>
      </c>
      <c r="BI15" s="88">
        <v>90.721862485283637</v>
      </c>
      <c r="BJ15" s="88">
        <v>288.98800801683484</v>
      </c>
      <c r="BK15" s="88">
        <v>93.070191591320324</v>
      </c>
      <c r="BL15" s="88">
        <v>79.276781496040144</v>
      </c>
      <c r="BM15" s="88">
        <v>206.63432931359949</v>
      </c>
      <c r="BN15" s="88">
        <v>172.23729001141086</v>
      </c>
      <c r="BO15" s="88">
        <v>60.119020950711217</v>
      </c>
      <c r="BP15" s="88">
        <v>305.04250692112709</v>
      </c>
      <c r="BQ15" s="88">
        <v>90.969530447400984</v>
      </c>
      <c r="BR15" s="88">
        <v>241.46363425858024</v>
      </c>
      <c r="BS15" s="88">
        <v>78.652316505864377</v>
      </c>
      <c r="BT15" s="88">
        <v>105.98244407696883</v>
      </c>
      <c r="BU15" s="88">
        <v>104.83336544952444</v>
      </c>
      <c r="BV15" s="88">
        <v>92.999120048801515</v>
      </c>
      <c r="BW15" s="88">
        <v>65.223862748466473</v>
      </c>
      <c r="BX15" s="88">
        <v>178.19126994926333</v>
      </c>
      <c r="BY15" s="88">
        <v>159.94583788516638</v>
      </c>
      <c r="BZ15" s="88">
        <v>46.991919928458849</v>
      </c>
      <c r="CA15" s="88">
        <v>124.50184282834782</v>
      </c>
      <c r="CB15" s="88">
        <v>49.011429197089697</v>
      </c>
      <c r="CC15" s="88">
        <v>360.2770302698645</v>
      </c>
      <c r="CD15" s="88">
        <v>128.70688929785464</v>
      </c>
      <c r="CE15" s="88">
        <v>231.9158125929348</v>
      </c>
      <c r="CF15" s="88">
        <v>75.302943733514468</v>
      </c>
      <c r="CG15" s="88">
        <v>155.46585335220948</v>
      </c>
      <c r="CH15" s="88">
        <v>347.30468653249198</v>
      </c>
      <c r="CI15" s="88">
        <v>138.8264359038757</v>
      </c>
      <c r="CJ15" s="88">
        <v>73.091564111127951</v>
      </c>
      <c r="CK15" s="88">
        <v>16.847900611964654</v>
      </c>
      <c r="CL15" s="88">
        <v>113.90896198300868</v>
      </c>
      <c r="CM15" s="88">
        <v>130.6809144423116</v>
      </c>
      <c r="CN15" s="88">
        <v>66.00103779199523</v>
      </c>
      <c r="CO15" s="88">
        <v>246.46765401429735</v>
      </c>
      <c r="CP15" s="88">
        <v>281.38254647228206</v>
      </c>
      <c r="CQ15" s="88">
        <v>107.20370149356646</v>
      </c>
      <c r="CR15" s="88">
        <v>185.03202586358276</v>
      </c>
      <c r="CS15" s="89">
        <v>148.74251624351112</v>
      </c>
    </row>
    <row r="16" spans="2:97" x14ac:dyDescent="0.3">
      <c r="B16" s="83" t="s">
        <v>73</v>
      </c>
      <c r="C16" s="88">
        <v>80.57985105460935</v>
      </c>
      <c r="D16" s="88">
        <v>87.982944581968866</v>
      </c>
      <c r="E16" s="88">
        <v>144.33980620727721</v>
      </c>
      <c r="F16" s="88">
        <v>68.582104285904265</v>
      </c>
      <c r="G16" s="88">
        <v>108.20076505992319</v>
      </c>
      <c r="H16" s="88">
        <v>103.78956658801457</v>
      </c>
      <c r="I16" s="88">
        <v>78.095738064857628</v>
      </c>
      <c r="J16" s="88">
        <v>58.829520572474237</v>
      </c>
      <c r="K16" s="88">
        <v>166.66255042587642</v>
      </c>
      <c r="L16" s="88">
        <v>190.65418629587475</v>
      </c>
      <c r="M16" s="88">
        <v>88.053116850146196</v>
      </c>
      <c r="N16" s="88">
        <v>188.38786488153283</v>
      </c>
      <c r="O16" s="88">
        <v>104.61950180236632</v>
      </c>
      <c r="P16" s="88">
        <v>0</v>
      </c>
      <c r="Q16" s="88">
        <v>141.67590471157749</v>
      </c>
      <c r="R16" s="88">
        <v>79.004265839243118</v>
      </c>
      <c r="S16" s="88">
        <v>206.75680001628581</v>
      </c>
      <c r="T16" s="88">
        <v>51.412824191809435</v>
      </c>
      <c r="U16" s="88">
        <v>73.857941141167046</v>
      </c>
      <c r="V16" s="88">
        <v>42.596061215098295</v>
      </c>
      <c r="W16" s="88">
        <v>157.39923290107581</v>
      </c>
      <c r="X16" s="88">
        <v>104.57091813227392</v>
      </c>
      <c r="Y16" s="88">
        <v>217.99049386385175</v>
      </c>
      <c r="Z16" s="88">
        <v>235.86285104651856</v>
      </c>
      <c r="AA16" s="88">
        <v>35.943314125231822</v>
      </c>
      <c r="AB16" s="88">
        <v>101.16936142594025</v>
      </c>
      <c r="AC16" s="88">
        <v>192.4829586988316</v>
      </c>
      <c r="AD16" s="88">
        <v>125.03912463703311</v>
      </c>
      <c r="AE16" s="88">
        <v>114.62475521536024</v>
      </c>
      <c r="AF16" s="88">
        <v>152.25235232342047</v>
      </c>
      <c r="AG16" s="88">
        <v>80.905500085274866</v>
      </c>
      <c r="AH16" s="88">
        <v>128.67210679899279</v>
      </c>
      <c r="AI16" s="88">
        <v>96.970661952715517</v>
      </c>
      <c r="AJ16" s="88">
        <v>128.83815886338903</v>
      </c>
      <c r="AK16" s="88">
        <v>214.12788488953802</v>
      </c>
      <c r="AL16" s="88">
        <v>174.77626727946705</v>
      </c>
      <c r="AM16" s="88">
        <v>144.4784783574799</v>
      </c>
      <c r="AN16" s="88">
        <v>219.16885192238595</v>
      </c>
      <c r="AO16" s="88">
        <v>170.32552027825753</v>
      </c>
      <c r="AP16" s="88">
        <v>153.9146026412032</v>
      </c>
      <c r="AQ16" s="88">
        <v>119.29609738375409</v>
      </c>
      <c r="AR16" s="88">
        <v>122.13348732663788</v>
      </c>
      <c r="AS16" s="88">
        <v>129.10091281045956</v>
      </c>
      <c r="AT16" s="88">
        <v>15.071920061404578</v>
      </c>
      <c r="AU16" s="88">
        <v>121.72967974147164</v>
      </c>
      <c r="AV16" s="88">
        <v>205.02803851380654</v>
      </c>
      <c r="AW16" s="88">
        <v>97.393072330315334</v>
      </c>
      <c r="AX16" s="88">
        <v>219.88541191524129</v>
      </c>
      <c r="AY16" s="88">
        <v>234.27125383156877</v>
      </c>
      <c r="AZ16" s="88">
        <v>138.60700056521938</v>
      </c>
      <c r="BA16" s="88">
        <v>129.77683008861365</v>
      </c>
      <c r="BB16" s="88">
        <v>113.61868287196447</v>
      </c>
      <c r="BC16" s="88">
        <v>88.86312342518039</v>
      </c>
      <c r="BD16" s="88">
        <v>25.742364174944036</v>
      </c>
      <c r="BE16" s="88">
        <v>195.04115455894856</v>
      </c>
      <c r="BF16" s="88">
        <v>98.275480426596431</v>
      </c>
      <c r="BG16" s="88">
        <v>101.17361311897842</v>
      </c>
      <c r="BH16" s="88">
        <v>107.14610516033953</v>
      </c>
      <c r="BI16" s="88">
        <v>93.421647492334941</v>
      </c>
      <c r="BJ16" s="88">
        <v>193.83746600055002</v>
      </c>
      <c r="BK16" s="88">
        <v>82.484991914538057</v>
      </c>
      <c r="BL16" s="88">
        <v>105.17076812226911</v>
      </c>
      <c r="BM16" s="88">
        <v>102.10899840211323</v>
      </c>
      <c r="BN16" s="88">
        <v>98.611706697924362</v>
      </c>
      <c r="BO16" s="88">
        <v>57.46229203549985</v>
      </c>
      <c r="BP16" s="88">
        <v>200.64849971009414</v>
      </c>
      <c r="BQ16" s="88">
        <v>20.110166450276953</v>
      </c>
      <c r="BR16" s="88">
        <v>143.59434719960615</v>
      </c>
      <c r="BS16" s="88">
        <v>26.019672856458008</v>
      </c>
      <c r="BT16" s="88">
        <v>114.15181974268482</v>
      </c>
      <c r="BU16" s="88">
        <v>28.461234265585375</v>
      </c>
      <c r="BV16" s="88">
        <v>73.687967529291456</v>
      </c>
      <c r="BW16" s="88">
        <v>74.783512213742313</v>
      </c>
      <c r="BX16" s="88">
        <v>73.626612524003392</v>
      </c>
      <c r="BY16" s="88">
        <v>68.983767113236709</v>
      </c>
      <c r="BZ16" s="88">
        <v>58.374916405962267</v>
      </c>
      <c r="CA16" s="88">
        <v>81.814419997942224</v>
      </c>
      <c r="CB16" s="88">
        <v>124.40208730394899</v>
      </c>
      <c r="CC16" s="88">
        <v>261.04870786663378</v>
      </c>
      <c r="CD16" s="88">
        <v>30.939176379513643</v>
      </c>
      <c r="CE16" s="88">
        <v>127.36358995335138</v>
      </c>
      <c r="CF16" s="88">
        <v>179.76566165219327</v>
      </c>
      <c r="CG16" s="88">
        <v>51.178005789915801</v>
      </c>
      <c r="CH16" s="88">
        <v>246.23778047420129</v>
      </c>
      <c r="CI16" s="88">
        <v>35.760375781441013</v>
      </c>
      <c r="CJ16" s="88">
        <v>175.73763245772776</v>
      </c>
      <c r="CK16" s="88">
        <v>96.541867066293577</v>
      </c>
      <c r="CL16" s="88">
        <v>59.265585175483871</v>
      </c>
      <c r="CM16" s="88">
        <v>61.64600946561989</v>
      </c>
      <c r="CN16" s="88">
        <v>170.20087196823303</v>
      </c>
      <c r="CO16" s="88">
        <v>154.77287699496793</v>
      </c>
      <c r="CP16" s="88">
        <v>177.2014956536006</v>
      </c>
      <c r="CQ16" s="88">
        <v>43.418762734287931</v>
      </c>
      <c r="CR16" s="88">
        <v>88.066217649690444</v>
      </c>
      <c r="CS16" s="89">
        <v>50.142016942362638</v>
      </c>
    </row>
    <row r="17" spans="2:97" x14ac:dyDescent="0.3">
      <c r="B17" s="83" t="s">
        <v>74</v>
      </c>
      <c r="C17" s="88">
        <v>61.625288546225967</v>
      </c>
      <c r="D17" s="88">
        <v>189.25523228214092</v>
      </c>
      <c r="E17" s="88">
        <v>276.52456899217219</v>
      </c>
      <c r="F17" s="88">
        <v>118.9544400484002</v>
      </c>
      <c r="G17" s="88">
        <v>47.950842465975427</v>
      </c>
      <c r="H17" s="88">
        <v>111.2520216379107</v>
      </c>
      <c r="I17" s="88">
        <v>66.146583805756478</v>
      </c>
      <c r="J17" s="88">
        <v>164.73635481403397</v>
      </c>
      <c r="K17" s="88">
        <v>297.8788601026306</v>
      </c>
      <c r="L17" s="88">
        <v>60.964386946513663</v>
      </c>
      <c r="M17" s="88">
        <v>222.4679849311982</v>
      </c>
      <c r="N17" s="88">
        <v>309.99669570229929</v>
      </c>
      <c r="O17" s="88">
        <v>48.995425154381849</v>
      </c>
      <c r="P17" s="88">
        <v>141.67590471157749</v>
      </c>
      <c r="Q17" s="88">
        <v>0</v>
      </c>
      <c r="R17" s="88">
        <v>168.30195501506213</v>
      </c>
      <c r="S17" s="88">
        <v>336.79902883619002</v>
      </c>
      <c r="T17" s="88">
        <v>104.96352533533455</v>
      </c>
      <c r="U17" s="88">
        <v>205.216509826139</v>
      </c>
      <c r="V17" s="88">
        <v>151.61430937481694</v>
      </c>
      <c r="W17" s="88">
        <v>280.31378476855502</v>
      </c>
      <c r="X17" s="88">
        <v>236.98597455680951</v>
      </c>
      <c r="Y17" s="88">
        <v>351.6204455721583</v>
      </c>
      <c r="Z17" s="88">
        <v>357.00448130798952</v>
      </c>
      <c r="AA17" s="88">
        <v>105.75944164501419</v>
      </c>
      <c r="AB17" s="88">
        <v>175.19749193885829</v>
      </c>
      <c r="AC17" s="88">
        <v>324.79927894448139</v>
      </c>
      <c r="AD17" s="88">
        <v>225.41814694809631</v>
      </c>
      <c r="AE17" s="88">
        <v>32.506782698858594</v>
      </c>
      <c r="AF17" s="88">
        <v>23.112090083799107</v>
      </c>
      <c r="AG17" s="88">
        <v>150.58624885056429</v>
      </c>
      <c r="AH17" s="88">
        <v>21.717925692896426</v>
      </c>
      <c r="AI17" s="88">
        <v>125.791467816514</v>
      </c>
      <c r="AJ17" s="88">
        <v>41.686069909189705</v>
      </c>
      <c r="AK17" s="88">
        <v>333.4829012111777</v>
      </c>
      <c r="AL17" s="88">
        <v>288.77728149871103</v>
      </c>
      <c r="AM17" s="88">
        <v>36.950512868100816</v>
      </c>
      <c r="AN17" s="88">
        <v>346.08808978259174</v>
      </c>
      <c r="AO17" s="88">
        <v>295.56587653962077</v>
      </c>
      <c r="AP17" s="88">
        <v>290.23401831636789</v>
      </c>
      <c r="AQ17" s="88">
        <v>243.67054425065825</v>
      </c>
      <c r="AR17" s="88">
        <v>257.58346449794266</v>
      </c>
      <c r="AS17" s="88">
        <v>260.16767559378758</v>
      </c>
      <c r="AT17" s="88">
        <v>145.42154795647673</v>
      </c>
      <c r="AU17" s="88">
        <v>20.128516538657891</v>
      </c>
      <c r="AV17" s="88">
        <v>79.631830601512874</v>
      </c>
      <c r="AW17" s="88">
        <v>45.842729107366836</v>
      </c>
      <c r="AX17" s="88">
        <v>356.45415212082986</v>
      </c>
      <c r="AY17" s="88">
        <v>364.47052660964306</v>
      </c>
      <c r="AZ17" s="88">
        <v>244.98235672267151</v>
      </c>
      <c r="BA17" s="88">
        <v>246.59325210506009</v>
      </c>
      <c r="BB17" s="88">
        <v>202.25051672014257</v>
      </c>
      <c r="BC17" s="88">
        <v>67.946983701835649</v>
      </c>
      <c r="BD17" s="88">
        <v>166.12071884068598</v>
      </c>
      <c r="BE17" s="88">
        <v>321.03695120930882</v>
      </c>
      <c r="BF17" s="88">
        <v>150.90066599493778</v>
      </c>
      <c r="BG17" s="88">
        <v>206.74130588925041</v>
      </c>
      <c r="BH17" s="88">
        <v>222.63323129601483</v>
      </c>
      <c r="BI17" s="88">
        <v>90.770959608049935</v>
      </c>
      <c r="BJ17" s="88">
        <v>310.06957811318097</v>
      </c>
      <c r="BK17" s="88">
        <v>99.04590047359396</v>
      </c>
      <c r="BL17" s="88">
        <v>71.682602094589129</v>
      </c>
      <c r="BM17" s="88">
        <v>240.66801091800667</v>
      </c>
      <c r="BN17" s="88">
        <v>187.06036301361632</v>
      </c>
      <c r="BO17" s="88">
        <v>86.54571339094062</v>
      </c>
      <c r="BP17" s="88">
        <v>337.39123927704634</v>
      </c>
      <c r="BQ17" s="88">
        <v>124.26628900039545</v>
      </c>
      <c r="BR17" s="88">
        <v>266.08783382871945</v>
      </c>
      <c r="BS17" s="88">
        <v>117.25464898339213</v>
      </c>
      <c r="BT17" s="88">
        <v>96.450068738276471</v>
      </c>
      <c r="BU17" s="88">
        <v>133.39446037964532</v>
      </c>
      <c r="BV17" s="88">
        <v>103.36920842226071</v>
      </c>
      <c r="BW17" s="88">
        <v>78.615812844230049</v>
      </c>
      <c r="BX17" s="88">
        <v>212.91297328607158</v>
      </c>
      <c r="BY17" s="88">
        <v>184.45628603139804</v>
      </c>
      <c r="BZ17" s="88">
        <v>84.516270813324198</v>
      </c>
      <c r="CA17" s="88">
        <v>134.03852839748535</v>
      </c>
      <c r="CB17" s="88">
        <v>24.558146679286885</v>
      </c>
      <c r="CC17" s="88">
        <v>383.82813312713017</v>
      </c>
      <c r="CD17" s="88">
        <v>159.80479285672075</v>
      </c>
      <c r="CE17" s="88">
        <v>265.77055131596063</v>
      </c>
      <c r="CF17" s="88">
        <v>60.969083119822535</v>
      </c>
      <c r="CG17" s="88">
        <v>189.81701772401863</v>
      </c>
      <c r="CH17" s="88">
        <v>373.1336513831302</v>
      </c>
      <c r="CI17" s="88">
        <v>172.27259359280526</v>
      </c>
      <c r="CJ17" s="88">
        <v>40.547762934908235</v>
      </c>
      <c r="CK17" s="88">
        <v>47.153597475733967</v>
      </c>
      <c r="CL17" s="88">
        <v>131.50810973806668</v>
      </c>
      <c r="CM17" s="88">
        <v>149.78688054690139</v>
      </c>
      <c r="CN17" s="88">
        <v>43.085772662830422</v>
      </c>
      <c r="CO17" s="88">
        <v>266.29807780239236</v>
      </c>
      <c r="CP17" s="88">
        <v>313.22164577755552</v>
      </c>
      <c r="CQ17" s="88">
        <v>130.50655103174668</v>
      </c>
      <c r="CR17" s="88">
        <v>211.26706193232752</v>
      </c>
      <c r="CS17" s="89">
        <v>178.3583881501431</v>
      </c>
    </row>
    <row r="18" spans="2:97" x14ac:dyDescent="0.3">
      <c r="B18" s="83" t="s">
        <v>75</v>
      </c>
      <c r="C18" s="88">
        <v>113.66846756653392</v>
      </c>
      <c r="D18" s="88">
        <v>21.651440962711785</v>
      </c>
      <c r="E18" s="88">
        <v>118.61789221183419</v>
      </c>
      <c r="F18" s="88">
        <v>49.40780409590446</v>
      </c>
      <c r="G18" s="88">
        <v>121.45049598785367</v>
      </c>
      <c r="H18" s="88">
        <v>72.299770025736109</v>
      </c>
      <c r="I18" s="88">
        <v>124.73031983704124</v>
      </c>
      <c r="J18" s="88">
        <v>21.977752550789894</v>
      </c>
      <c r="K18" s="88">
        <v>137.25787261293848</v>
      </c>
      <c r="L18" s="88">
        <v>227.63844097800242</v>
      </c>
      <c r="M18" s="88">
        <v>77.696849254334452</v>
      </c>
      <c r="N18" s="88">
        <v>142.86364989523884</v>
      </c>
      <c r="O18" s="88">
        <v>151.39038464775925</v>
      </c>
      <c r="P18" s="88">
        <v>79.004265839243118</v>
      </c>
      <c r="Q18" s="88">
        <v>168.30195501506213</v>
      </c>
      <c r="R18" s="88">
        <v>0</v>
      </c>
      <c r="S18" s="88">
        <v>173.39154533596107</v>
      </c>
      <c r="T18" s="88">
        <v>68.18701892078316</v>
      </c>
      <c r="U18" s="88">
        <v>61.458609394530797</v>
      </c>
      <c r="V18" s="88">
        <v>36.4082771957885</v>
      </c>
      <c r="W18" s="88">
        <v>114.53858410226279</v>
      </c>
      <c r="X18" s="88">
        <v>84.961734664094507</v>
      </c>
      <c r="Y18" s="88">
        <v>191.12167575282615</v>
      </c>
      <c r="Z18" s="88">
        <v>189.1836363518857</v>
      </c>
      <c r="AA18" s="88">
        <v>88.630345679774109</v>
      </c>
      <c r="AB18" s="88">
        <v>23.194593425867446</v>
      </c>
      <c r="AC18" s="88">
        <v>163.92640073097232</v>
      </c>
      <c r="AD18" s="88">
        <v>57.623537665232185</v>
      </c>
      <c r="AE18" s="88">
        <v>153.42076689335644</v>
      </c>
      <c r="AF18" s="88">
        <v>186.83730244601367</v>
      </c>
      <c r="AG18" s="88">
        <v>21.033513078154453</v>
      </c>
      <c r="AH18" s="88">
        <v>164.96735683905641</v>
      </c>
      <c r="AI18" s="88">
        <v>55.545638908877677</v>
      </c>
      <c r="AJ18" s="88">
        <v>174.58628237235797</v>
      </c>
      <c r="AK18" s="88">
        <v>165.52241338294743</v>
      </c>
      <c r="AL18" s="88">
        <v>120.52340829035198</v>
      </c>
      <c r="AM18" s="88">
        <v>186.83420711054816</v>
      </c>
      <c r="AN18" s="88">
        <v>180.42067271220532</v>
      </c>
      <c r="AO18" s="88">
        <v>130.40946615407273</v>
      </c>
      <c r="AP18" s="88">
        <v>137.398416226324</v>
      </c>
      <c r="AQ18" s="88">
        <v>81.388261693021619</v>
      </c>
      <c r="AR18" s="88">
        <v>107.03849916292398</v>
      </c>
      <c r="AS18" s="88">
        <v>102.58774307055162</v>
      </c>
      <c r="AT18" s="88">
        <v>64.044514622225805</v>
      </c>
      <c r="AU18" s="88">
        <v>152.25845379237938</v>
      </c>
      <c r="AV18" s="88">
        <v>245.18564039343374</v>
      </c>
      <c r="AW18" s="88">
        <v>124.73282896191024</v>
      </c>
      <c r="AX18" s="88">
        <v>199.87762824971344</v>
      </c>
      <c r="AY18" s="88">
        <v>200.43257819903593</v>
      </c>
      <c r="AZ18" s="88">
        <v>76.739483199393604</v>
      </c>
      <c r="BA18" s="88">
        <v>79.762335863054844</v>
      </c>
      <c r="BB18" s="88">
        <v>37.733855317321456</v>
      </c>
      <c r="BC18" s="88">
        <v>100.38938234906449</v>
      </c>
      <c r="BD18" s="88">
        <v>72.00956820793995</v>
      </c>
      <c r="BE18" s="88">
        <v>155.47629612742745</v>
      </c>
      <c r="BF18" s="88">
        <v>35.685133994333157</v>
      </c>
      <c r="BG18" s="88">
        <v>38.839136601379231</v>
      </c>
      <c r="BH18" s="88">
        <v>56.973490347944946</v>
      </c>
      <c r="BI18" s="88">
        <v>82.092280283884989</v>
      </c>
      <c r="BJ18" s="88">
        <v>141.87568121538163</v>
      </c>
      <c r="BK18" s="88">
        <v>70.931606452889582</v>
      </c>
      <c r="BL18" s="88">
        <v>102.52621855388473</v>
      </c>
      <c r="BM18" s="88">
        <v>100.83729773400319</v>
      </c>
      <c r="BN18" s="88">
        <v>21.395562295099801</v>
      </c>
      <c r="BO18" s="88">
        <v>91.39113324902921</v>
      </c>
      <c r="BP18" s="88">
        <v>182.02162685425748</v>
      </c>
      <c r="BQ18" s="88">
        <v>73.594556402623141</v>
      </c>
      <c r="BR18" s="88">
        <v>100.76466011196905</v>
      </c>
      <c r="BS18" s="88">
        <v>92.491427074354434</v>
      </c>
      <c r="BT18" s="88">
        <v>91.09954593081406</v>
      </c>
      <c r="BU18" s="88">
        <v>55.399070093734501</v>
      </c>
      <c r="BV18" s="88">
        <v>65.143354485620947</v>
      </c>
      <c r="BW18" s="88">
        <v>90.469097856079401</v>
      </c>
      <c r="BX18" s="88">
        <v>84.15857577052563</v>
      </c>
      <c r="BY18" s="88">
        <v>30.971488011883203</v>
      </c>
      <c r="BZ18" s="88">
        <v>109.11876725111757</v>
      </c>
      <c r="CA18" s="88">
        <v>38.269587483876833</v>
      </c>
      <c r="CB18" s="88">
        <v>144.56837396236938</v>
      </c>
      <c r="CC18" s="88">
        <v>216.15917689222681</v>
      </c>
      <c r="CD18" s="88">
        <v>52.887128357774429</v>
      </c>
      <c r="CE18" s="88">
        <v>120.73331903373202</v>
      </c>
      <c r="CF18" s="88">
        <v>222.13209170277889</v>
      </c>
      <c r="CG18" s="88">
        <v>70.939334990891595</v>
      </c>
      <c r="CH18" s="88">
        <v>206.98143483262268</v>
      </c>
      <c r="CI18" s="88">
        <v>62.418984088927203</v>
      </c>
      <c r="CJ18" s="88">
        <v>208.43021369023731</v>
      </c>
      <c r="CK18" s="88">
        <v>136.72921775208812</v>
      </c>
      <c r="CL18" s="88">
        <v>37.70625729145619</v>
      </c>
      <c r="CM18" s="88">
        <v>21.10859032733363</v>
      </c>
      <c r="CN18" s="88">
        <v>207.64168188976802</v>
      </c>
      <c r="CO18" s="88">
        <v>98.0162256156258</v>
      </c>
      <c r="CP18" s="88">
        <v>158.00961430238192</v>
      </c>
      <c r="CQ18" s="88">
        <v>45.961943012499013</v>
      </c>
      <c r="CR18" s="88">
        <v>53.945194694356339</v>
      </c>
      <c r="CS18" s="89">
        <v>47.618046010088101</v>
      </c>
    </row>
    <row r="19" spans="2:97" x14ac:dyDescent="0.3">
      <c r="B19" s="83" t="s">
        <v>76</v>
      </c>
      <c r="C19" s="88">
        <v>276.91605721685426</v>
      </c>
      <c r="D19" s="88">
        <v>151.79811082295666</v>
      </c>
      <c r="E19" s="88">
        <v>62.446056700813315</v>
      </c>
      <c r="F19" s="88">
        <v>221.10553390180948</v>
      </c>
      <c r="G19" s="88">
        <v>292.29124487793626</v>
      </c>
      <c r="H19" s="88">
        <v>244.89676531942465</v>
      </c>
      <c r="I19" s="88">
        <v>281.31624895480218</v>
      </c>
      <c r="J19" s="88">
        <v>172.34322888849312</v>
      </c>
      <c r="K19" s="88">
        <v>40.099684347956199</v>
      </c>
      <c r="L19" s="88">
        <v>392.76545378693379</v>
      </c>
      <c r="M19" s="88">
        <v>118.70969692056562</v>
      </c>
      <c r="N19" s="88">
        <v>40.046323493677967</v>
      </c>
      <c r="O19" s="88">
        <v>308.96745290703899</v>
      </c>
      <c r="P19" s="88">
        <v>206.75680001628581</v>
      </c>
      <c r="Q19" s="88">
        <v>336.79902883619002</v>
      </c>
      <c r="R19" s="88">
        <v>173.39154533596107</v>
      </c>
      <c r="S19" s="88">
        <v>0</v>
      </c>
      <c r="T19" s="88">
        <v>231.86070488374133</v>
      </c>
      <c r="U19" s="88">
        <v>133.83661835944125</v>
      </c>
      <c r="V19" s="88">
        <v>185.31566140256584</v>
      </c>
      <c r="W19" s="88">
        <v>59.591161768177969</v>
      </c>
      <c r="X19" s="88">
        <v>102.27515427731458</v>
      </c>
      <c r="Y19" s="88">
        <v>22.866272132907735</v>
      </c>
      <c r="Z19" s="88">
        <v>45.28191517107863</v>
      </c>
      <c r="AA19" s="88">
        <v>237.95946631993002</v>
      </c>
      <c r="AB19" s="88">
        <v>177.26365872322202</v>
      </c>
      <c r="AC19" s="88">
        <v>17.139786182395529</v>
      </c>
      <c r="AD19" s="88">
        <v>125.61085509017448</v>
      </c>
      <c r="AE19" s="88">
        <v>315.90570152725491</v>
      </c>
      <c r="AF19" s="88">
        <v>352.4419634326739</v>
      </c>
      <c r="AG19" s="88">
        <v>194.0660331383786</v>
      </c>
      <c r="AH19" s="88">
        <v>329.14665467832208</v>
      </c>
      <c r="AI19" s="88">
        <v>227.66439931618939</v>
      </c>
      <c r="AJ19" s="88">
        <v>333.44288875220644</v>
      </c>
      <c r="AK19" s="88">
        <v>42.694407325862251</v>
      </c>
      <c r="AL19" s="88">
        <v>68.439725831106728</v>
      </c>
      <c r="AM19" s="88">
        <v>348.15393521016432</v>
      </c>
      <c r="AN19" s="88">
        <v>17.843057224426303</v>
      </c>
      <c r="AO19" s="88">
        <v>43.535681984127265</v>
      </c>
      <c r="AP19" s="88">
        <v>58.901860293427909</v>
      </c>
      <c r="AQ19" s="88">
        <v>93.308337873478251</v>
      </c>
      <c r="AR19" s="88">
        <v>85.851385777394142</v>
      </c>
      <c r="AS19" s="88">
        <v>77.861253951873906</v>
      </c>
      <c r="AT19" s="88">
        <v>197.05436749441421</v>
      </c>
      <c r="AU19" s="88">
        <v>318.69607253039084</v>
      </c>
      <c r="AV19" s="88">
        <v>408.73401081408406</v>
      </c>
      <c r="AW19" s="88">
        <v>291.21389980815076</v>
      </c>
      <c r="AX19" s="88">
        <v>41.086549553292983</v>
      </c>
      <c r="AY19" s="88">
        <v>27.745654034561294</v>
      </c>
      <c r="AZ19" s="88">
        <v>106.3067854462366</v>
      </c>
      <c r="BA19" s="88">
        <v>94.447286703314688</v>
      </c>
      <c r="BB19" s="88">
        <v>150.75623749966388</v>
      </c>
      <c r="BC19" s="88">
        <v>270.48786523564434</v>
      </c>
      <c r="BD19" s="88">
        <v>181.49633813003291</v>
      </c>
      <c r="BE19" s="88">
        <v>22.04505245562585</v>
      </c>
      <c r="BF19" s="88">
        <v>203.36213094418437</v>
      </c>
      <c r="BG19" s="88">
        <v>135.35493032402016</v>
      </c>
      <c r="BH19" s="88">
        <v>116.42667606396985</v>
      </c>
      <c r="BI19" s="88">
        <v>255.22435211298782</v>
      </c>
      <c r="BJ19" s="88">
        <v>54.672796590175899</v>
      </c>
      <c r="BK19" s="88">
        <v>243.57378622769076</v>
      </c>
      <c r="BL19" s="88">
        <v>275.44245055064607</v>
      </c>
      <c r="BM19" s="88">
        <v>108.7163391748241</v>
      </c>
      <c r="BN19" s="88">
        <v>160.43647850984499</v>
      </c>
      <c r="BO19" s="88">
        <v>251.8864747029503</v>
      </c>
      <c r="BP19" s="88">
        <v>37.616231425297102</v>
      </c>
      <c r="BQ19" s="88">
        <v>218.03433693985843</v>
      </c>
      <c r="BR19" s="88">
        <v>72.743122831954977</v>
      </c>
      <c r="BS19" s="88">
        <v>232.27551047610882</v>
      </c>
      <c r="BT19" s="88">
        <v>263.96715860154262</v>
      </c>
      <c r="BU19" s="88">
        <v>204.88297374366988</v>
      </c>
      <c r="BV19" s="88">
        <v>236.73745804611721</v>
      </c>
      <c r="BW19" s="88">
        <v>258.4257346177489</v>
      </c>
      <c r="BX19" s="88">
        <v>135.69263974845285</v>
      </c>
      <c r="BY19" s="88">
        <v>152.44095982807787</v>
      </c>
      <c r="BZ19" s="88">
        <v>262.02536806092559</v>
      </c>
      <c r="CA19" s="88">
        <v>211.58591350132335</v>
      </c>
      <c r="CB19" s="88">
        <v>314.45510400166205</v>
      </c>
      <c r="CC19" s="88">
        <v>60.723460241391841</v>
      </c>
      <c r="CD19" s="88">
        <v>180.26720695620361</v>
      </c>
      <c r="CE19" s="88">
        <v>86.699431065382214</v>
      </c>
      <c r="CF19" s="88">
        <v>384.02136344603804</v>
      </c>
      <c r="CG19" s="88">
        <v>156.10489545319555</v>
      </c>
      <c r="CH19" s="88">
        <v>40.933301337798014</v>
      </c>
      <c r="CI19" s="88">
        <v>171.12985848713103</v>
      </c>
      <c r="CJ19" s="88">
        <v>375.35937216016202</v>
      </c>
      <c r="CK19" s="88">
        <v>297.77048073452511</v>
      </c>
      <c r="CL19" s="88">
        <v>206.75166370251011</v>
      </c>
      <c r="CM19" s="88">
        <v>188.58304602184882</v>
      </c>
      <c r="CN19" s="88">
        <v>372.2074188549139</v>
      </c>
      <c r="CO19" s="88">
        <v>85.652331887864463</v>
      </c>
      <c r="CP19" s="88">
        <v>40.924967606699781</v>
      </c>
      <c r="CQ19" s="88">
        <v>206.29473815531577</v>
      </c>
      <c r="CR19" s="88">
        <v>125.532336085368</v>
      </c>
      <c r="CS19" s="89">
        <v>160.78935308839232</v>
      </c>
    </row>
    <row r="20" spans="2:97" x14ac:dyDescent="0.3">
      <c r="B20" s="83" t="s">
        <v>77</v>
      </c>
      <c r="C20" s="88">
        <v>46.149776270146468</v>
      </c>
      <c r="D20" s="88">
        <v>87.239639854582734</v>
      </c>
      <c r="E20" s="88">
        <v>171.66672478397604</v>
      </c>
      <c r="F20" s="88">
        <v>27.048672261374001</v>
      </c>
      <c r="G20" s="88">
        <v>62.762809120516948</v>
      </c>
      <c r="H20" s="88">
        <v>55.536283400030008</v>
      </c>
      <c r="I20" s="88">
        <v>56.729583759517752</v>
      </c>
      <c r="J20" s="88">
        <v>60.290046027436162</v>
      </c>
      <c r="K20" s="88">
        <v>192.92763668085055</v>
      </c>
      <c r="L20" s="88">
        <v>161.86278042926401</v>
      </c>
      <c r="M20" s="88">
        <v>118.46662301216604</v>
      </c>
      <c r="N20" s="88">
        <v>205.99653154019597</v>
      </c>
      <c r="O20" s="88">
        <v>83.205827231541036</v>
      </c>
      <c r="P20" s="88">
        <v>51.412824191809435</v>
      </c>
      <c r="Q20" s="88">
        <v>104.96352533533455</v>
      </c>
      <c r="R20" s="88">
        <v>68.18701892078316</v>
      </c>
      <c r="S20" s="88">
        <v>231.86070488374133</v>
      </c>
      <c r="T20" s="88">
        <v>0</v>
      </c>
      <c r="U20" s="88">
        <v>100.85413770092367</v>
      </c>
      <c r="V20" s="88">
        <v>46.678072952985445</v>
      </c>
      <c r="W20" s="88">
        <v>175.88651159618061</v>
      </c>
      <c r="X20" s="88">
        <v>132.37056280737764</v>
      </c>
      <c r="Y20" s="88">
        <v>246.73576111644681</v>
      </c>
      <c r="Z20" s="88">
        <v>253.39442274466316</v>
      </c>
      <c r="AA20" s="88">
        <v>29.926320169026461</v>
      </c>
      <c r="AB20" s="88">
        <v>82.4162707759006</v>
      </c>
      <c r="AC20" s="88">
        <v>219.8633101965487</v>
      </c>
      <c r="AD20" s="88">
        <v>125.49726274427229</v>
      </c>
      <c r="AE20" s="88">
        <v>86.044896009230683</v>
      </c>
      <c r="AF20" s="88">
        <v>121.15433550885612</v>
      </c>
      <c r="AG20" s="88">
        <v>56.182031172966198</v>
      </c>
      <c r="AH20" s="88">
        <v>98.374996610253348</v>
      </c>
      <c r="AI20" s="88">
        <v>53.958124761659398</v>
      </c>
      <c r="AJ20" s="88">
        <v>106.56459880125009</v>
      </c>
      <c r="AK20" s="88">
        <v>230.12957616610524</v>
      </c>
      <c r="AL20" s="88">
        <v>186.31011349211192</v>
      </c>
      <c r="AM20" s="88">
        <v>119.35272936021208</v>
      </c>
      <c r="AN20" s="88">
        <v>241.42178930124976</v>
      </c>
      <c r="AO20" s="88">
        <v>190.91986953425405</v>
      </c>
      <c r="AP20" s="88">
        <v>186.04718148978057</v>
      </c>
      <c r="AQ20" s="88">
        <v>138.84295006498655</v>
      </c>
      <c r="AR20" s="88">
        <v>153.40521028505074</v>
      </c>
      <c r="AS20" s="88">
        <v>155.27517556830239</v>
      </c>
      <c r="AT20" s="88">
        <v>47.035326430052621</v>
      </c>
      <c r="AU20" s="88">
        <v>86.983066480505883</v>
      </c>
      <c r="AV20" s="88">
        <v>178.74815612120076</v>
      </c>
      <c r="AW20" s="88">
        <v>59.383249343677541</v>
      </c>
      <c r="AX20" s="88">
        <v>252.04097984440799</v>
      </c>
      <c r="AY20" s="88">
        <v>259.54935396908286</v>
      </c>
      <c r="AZ20" s="88">
        <v>143.81642310421518</v>
      </c>
      <c r="BA20" s="88">
        <v>142.83988078885497</v>
      </c>
      <c r="BB20" s="88">
        <v>105.42106972128136</v>
      </c>
      <c r="BC20" s="88">
        <v>41.210226088115071</v>
      </c>
      <c r="BD20" s="88">
        <v>69.064737242974019</v>
      </c>
      <c r="BE20" s="88">
        <v>216.40346585966725</v>
      </c>
      <c r="BF20" s="88">
        <v>66.651464075044558</v>
      </c>
      <c r="BG20" s="88">
        <v>104.48128581026492</v>
      </c>
      <c r="BH20" s="88">
        <v>118.69014844023718</v>
      </c>
      <c r="BI20" s="88">
        <v>42.114038700452689</v>
      </c>
      <c r="BJ20" s="88">
        <v>207.27620599355922</v>
      </c>
      <c r="BK20" s="88">
        <v>31.942310824900634</v>
      </c>
      <c r="BL20" s="88">
        <v>54.568554134764817</v>
      </c>
      <c r="BM20" s="88">
        <v>138.07627479398784</v>
      </c>
      <c r="BN20" s="88">
        <v>89.129880459654686</v>
      </c>
      <c r="BO20" s="88">
        <v>23.294361782718358</v>
      </c>
      <c r="BP20" s="88">
        <v>233.09291981227787</v>
      </c>
      <c r="BQ20" s="88">
        <v>31.676227935967955</v>
      </c>
      <c r="BR20" s="88">
        <v>161.61423345992361</v>
      </c>
      <c r="BS20" s="88">
        <v>42.199193043523508</v>
      </c>
      <c r="BT20" s="88">
        <v>63.256954292249361</v>
      </c>
      <c r="BU20" s="88">
        <v>30.695477696013299</v>
      </c>
      <c r="BV20" s="88">
        <v>23.956480192695867</v>
      </c>
      <c r="BW20" s="88">
        <v>27.506779656433476</v>
      </c>
      <c r="BX20" s="88">
        <v>111.57613447382495</v>
      </c>
      <c r="BY20" s="88">
        <v>79.688766937262045</v>
      </c>
      <c r="BZ20" s="88">
        <v>43.018482882769135</v>
      </c>
      <c r="CA20" s="88">
        <v>46.199465390585395</v>
      </c>
      <c r="CB20" s="88">
        <v>83.2821007406164</v>
      </c>
      <c r="CC20" s="88">
        <v>279.99263835330618</v>
      </c>
      <c r="CD20" s="88">
        <v>57.341485516172888</v>
      </c>
      <c r="CE20" s="88">
        <v>162.69979770187791</v>
      </c>
      <c r="CF20" s="88">
        <v>155.00524898966208</v>
      </c>
      <c r="CG20" s="88">
        <v>88.98955807371027</v>
      </c>
      <c r="CH20" s="88">
        <v>268.54208447881979</v>
      </c>
      <c r="CI20" s="88">
        <v>71.412569412479456</v>
      </c>
      <c r="CJ20" s="88">
        <v>143.72040452452251</v>
      </c>
      <c r="CK20" s="88">
        <v>68.820188906615982</v>
      </c>
      <c r="CL20" s="88">
        <v>30.90778664395738</v>
      </c>
      <c r="CM20" s="88">
        <v>47.540381001351456</v>
      </c>
      <c r="CN20" s="88">
        <v>141.49125178206225</v>
      </c>
      <c r="CO20" s="88">
        <v>164.1368758064782</v>
      </c>
      <c r="CP20" s="88">
        <v>208.82639906360836</v>
      </c>
      <c r="CQ20" s="88">
        <v>25.592412924956424</v>
      </c>
      <c r="CR20" s="88">
        <v>106.33382448697606</v>
      </c>
      <c r="CS20" s="89">
        <v>74.02054089678974</v>
      </c>
    </row>
    <row r="21" spans="2:97" x14ac:dyDescent="0.3">
      <c r="B21" s="83" t="s">
        <v>78</v>
      </c>
      <c r="C21" s="88">
        <v>144.25065755806921</v>
      </c>
      <c r="D21" s="88">
        <v>48.812153011078877</v>
      </c>
      <c r="E21" s="88">
        <v>71.928122358029086</v>
      </c>
      <c r="F21" s="88">
        <v>96.828242402957443</v>
      </c>
      <c r="G21" s="88">
        <v>163.29737532801528</v>
      </c>
      <c r="H21" s="88">
        <v>128.76264118135569</v>
      </c>
      <c r="I21" s="88">
        <v>147.56498042028758</v>
      </c>
      <c r="J21" s="88">
        <v>47.460277588394</v>
      </c>
      <c r="K21" s="88">
        <v>93.945069547949103</v>
      </c>
      <c r="L21" s="88">
        <v>259.52103773020997</v>
      </c>
      <c r="M21" s="88">
        <v>17.979707976726427</v>
      </c>
      <c r="N21" s="88">
        <v>114.69734735739286</v>
      </c>
      <c r="O21" s="88">
        <v>175.16836578737383</v>
      </c>
      <c r="P21" s="88">
        <v>73.857941141167046</v>
      </c>
      <c r="Q21" s="88">
        <v>205.216509826139</v>
      </c>
      <c r="R21" s="88">
        <v>61.458609394530797</v>
      </c>
      <c r="S21" s="88">
        <v>133.83661835944125</v>
      </c>
      <c r="T21" s="88">
        <v>100.85413770092367</v>
      </c>
      <c r="U21" s="88">
        <v>0</v>
      </c>
      <c r="V21" s="88">
        <v>54.715943150122591</v>
      </c>
      <c r="W21" s="88">
        <v>83.769550750854975</v>
      </c>
      <c r="X21" s="88">
        <v>31.921073846247129</v>
      </c>
      <c r="Y21" s="88">
        <v>146.84706641453366</v>
      </c>
      <c r="Z21" s="88">
        <v>162.05082591203526</v>
      </c>
      <c r="AA21" s="88">
        <v>104.1379355477993</v>
      </c>
      <c r="AB21" s="88">
        <v>80.104689285942811</v>
      </c>
      <c r="AC21" s="88">
        <v>120.45498894924513</v>
      </c>
      <c r="AD21" s="88">
        <v>68.257711294965048</v>
      </c>
      <c r="AE21" s="88">
        <v>182.5828409715445</v>
      </c>
      <c r="AF21" s="88">
        <v>219.54707801257581</v>
      </c>
      <c r="AG21" s="88">
        <v>80.306580382019135</v>
      </c>
      <c r="AH21" s="88">
        <v>196.06449560528904</v>
      </c>
      <c r="AI21" s="88">
        <v>113.65267329820581</v>
      </c>
      <c r="AJ21" s="88">
        <v>199.64591854932448</v>
      </c>
      <c r="AK21" s="88">
        <v>140.56326567561933</v>
      </c>
      <c r="AL21" s="88">
        <v>103.23404093675678</v>
      </c>
      <c r="AM21" s="88">
        <v>214.49272790457508</v>
      </c>
      <c r="AN21" s="88">
        <v>145.56682231209032</v>
      </c>
      <c r="AO21" s="88">
        <v>96.467637527953997</v>
      </c>
      <c r="AP21" s="88">
        <v>85.193105894198823</v>
      </c>
      <c r="AQ21" s="88">
        <v>46.04417194909675</v>
      </c>
      <c r="AR21" s="88">
        <v>52.556116227176531</v>
      </c>
      <c r="AS21" s="88">
        <v>55.991517456491465</v>
      </c>
      <c r="AT21" s="88">
        <v>63.255114061737807</v>
      </c>
      <c r="AU21" s="88">
        <v>186.40668838942165</v>
      </c>
      <c r="AV21" s="88">
        <v>275.1540502471961</v>
      </c>
      <c r="AW21" s="88">
        <v>159.37466384557851</v>
      </c>
      <c r="AX21" s="88">
        <v>151.26777332435512</v>
      </c>
      <c r="AY21" s="88">
        <v>161.53071579930344</v>
      </c>
      <c r="AZ21" s="88">
        <v>74.13491309564921</v>
      </c>
      <c r="BA21" s="88">
        <v>59.486031402233188</v>
      </c>
      <c r="BB21" s="88">
        <v>71.897902409213486</v>
      </c>
      <c r="BC21" s="88">
        <v>141.44220907864874</v>
      </c>
      <c r="BD21" s="88">
        <v>49.957995618772458</v>
      </c>
      <c r="BE21" s="88">
        <v>121.25608088665174</v>
      </c>
      <c r="BF21" s="88">
        <v>97.0324076529824</v>
      </c>
      <c r="BG21" s="88">
        <v>48.390438834500991</v>
      </c>
      <c r="BH21" s="88">
        <v>41.513878200687564</v>
      </c>
      <c r="BI21" s="88">
        <v>131.81896079141399</v>
      </c>
      <c r="BJ21" s="88">
        <v>121.11104461381858</v>
      </c>
      <c r="BK21" s="88">
        <v>119.3001629252533</v>
      </c>
      <c r="BL21" s="88">
        <v>150.40892637792442</v>
      </c>
      <c r="BM21" s="88">
        <v>40.224778334774527</v>
      </c>
      <c r="BN21" s="88">
        <v>65.604544629413795</v>
      </c>
      <c r="BO21" s="88">
        <v>119.08886050431597</v>
      </c>
      <c r="BP21" s="88">
        <v>132.26545093207821</v>
      </c>
      <c r="BQ21" s="88">
        <v>84.208569203742627</v>
      </c>
      <c r="BR21" s="88">
        <v>70.242695835192208</v>
      </c>
      <c r="BS21" s="88">
        <v>98.792182646952227</v>
      </c>
      <c r="BT21" s="88">
        <v>146.13084938657479</v>
      </c>
      <c r="BU21" s="88">
        <v>71.921781375024253</v>
      </c>
      <c r="BV21" s="88">
        <v>111.03896172982218</v>
      </c>
      <c r="BW21" s="88">
        <v>128.25703366478135</v>
      </c>
      <c r="BX21" s="88">
        <v>25.042466938512796</v>
      </c>
      <c r="BY21" s="88">
        <v>30.521615320571041</v>
      </c>
      <c r="BZ21" s="88">
        <v>128.20304804027933</v>
      </c>
      <c r="CA21" s="88">
        <v>94.684687810013841</v>
      </c>
      <c r="CB21" s="88">
        <v>184.11643352105114</v>
      </c>
      <c r="CC21" s="88">
        <v>187.19687019738996</v>
      </c>
      <c r="CD21" s="88">
        <v>46.469823904327818</v>
      </c>
      <c r="CE21" s="88">
        <v>62.928757915685956</v>
      </c>
      <c r="CF21" s="88">
        <v>250.31492560844288</v>
      </c>
      <c r="CG21" s="88">
        <v>27.466388523143319</v>
      </c>
      <c r="CH21" s="88">
        <v>172.71821793199695</v>
      </c>
      <c r="CI21" s="88">
        <v>38.182346565651535</v>
      </c>
      <c r="CJ21" s="88">
        <v>242.7246459912858</v>
      </c>
      <c r="CK21" s="88">
        <v>164.36149628414452</v>
      </c>
      <c r="CL21" s="88">
        <v>81.339863990496809</v>
      </c>
      <c r="CM21" s="88">
        <v>65.682724109162066</v>
      </c>
      <c r="CN21" s="88">
        <v>238.9355874659646</v>
      </c>
      <c r="CO21" s="88">
        <v>85.357011995769568</v>
      </c>
      <c r="CP21" s="88">
        <v>108.03491472364473</v>
      </c>
      <c r="CQ21" s="88">
        <v>76.100173182050384</v>
      </c>
      <c r="CR21" s="88">
        <v>20.073801354803926</v>
      </c>
      <c r="CS21" s="89">
        <v>27.213906400023625</v>
      </c>
    </row>
    <row r="22" spans="2:97" x14ac:dyDescent="0.3">
      <c r="B22" s="83" t="s">
        <v>79</v>
      </c>
      <c r="C22" s="88">
        <v>91.741449333417421</v>
      </c>
      <c r="D22" s="88">
        <v>47.613761167501174</v>
      </c>
      <c r="E22" s="88">
        <v>124.99670968126188</v>
      </c>
      <c r="F22" s="88">
        <v>44.01676080194374</v>
      </c>
      <c r="G22" s="88">
        <v>108.66853919103804</v>
      </c>
      <c r="H22" s="88">
        <v>78.991449871445596</v>
      </c>
      <c r="I22" s="88">
        <v>98.265484250355129</v>
      </c>
      <c r="J22" s="88">
        <v>17.427175312747234</v>
      </c>
      <c r="K22" s="88">
        <v>146.26456726867806</v>
      </c>
      <c r="L22" s="88">
        <v>207.74886557980187</v>
      </c>
      <c r="M22" s="88">
        <v>72.591128265956215</v>
      </c>
      <c r="N22" s="88">
        <v>160.60868598515418</v>
      </c>
      <c r="O22" s="88">
        <v>125.94047271358893</v>
      </c>
      <c r="P22" s="88">
        <v>42.596061215098295</v>
      </c>
      <c r="Q22" s="88">
        <v>151.61430937481694</v>
      </c>
      <c r="R22" s="88">
        <v>36.4082771957885</v>
      </c>
      <c r="S22" s="88">
        <v>185.31566140256584</v>
      </c>
      <c r="T22" s="88">
        <v>46.678072952985445</v>
      </c>
      <c r="U22" s="88">
        <v>54.715943150122591</v>
      </c>
      <c r="V22" s="88">
        <v>0</v>
      </c>
      <c r="W22" s="88">
        <v>130.1085943126829</v>
      </c>
      <c r="X22" s="88">
        <v>85.858716785923662</v>
      </c>
      <c r="Y22" s="88">
        <v>200.05845566757691</v>
      </c>
      <c r="Z22" s="88">
        <v>208.24501325287494</v>
      </c>
      <c r="AA22" s="88">
        <v>57.303497636576793</v>
      </c>
      <c r="AB22" s="88">
        <v>58.79492134336833</v>
      </c>
      <c r="AC22" s="88">
        <v>173.19044038538865</v>
      </c>
      <c r="AD22" s="88">
        <v>86.255545041750977</v>
      </c>
      <c r="AE22" s="88">
        <v>131.17584152973691</v>
      </c>
      <c r="AF22" s="88">
        <v>167.24067873152225</v>
      </c>
      <c r="AG22" s="88">
        <v>41.309288374112143</v>
      </c>
      <c r="AH22" s="88">
        <v>144.10352023251599</v>
      </c>
      <c r="AI22" s="88">
        <v>66.723925445729009</v>
      </c>
      <c r="AJ22" s="88">
        <v>150.15257861000623</v>
      </c>
      <c r="AK22" s="88">
        <v>185.29923056762448</v>
      </c>
      <c r="AL22" s="88">
        <v>142.64428638165433</v>
      </c>
      <c r="AM22" s="88">
        <v>164.02541656402704</v>
      </c>
      <c r="AN22" s="88">
        <v>195.24050354410676</v>
      </c>
      <c r="AO22" s="88">
        <v>144.82719846586309</v>
      </c>
      <c r="AP22" s="88">
        <v>139.75241205755819</v>
      </c>
      <c r="AQ22" s="88">
        <v>92.577635484049281</v>
      </c>
      <c r="AR22" s="88">
        <v>107.18999828556579</v>
      </c>
      <c r="AS22" s="88">
        <v>108.5985207092402</v>
      </c>
      <c r="AT22" s="88">
        <v>27.661213049152291</v>
      </c>
      <c r="AU22" s="88">
        <v>133.3810186309654</v>
      </c>
      <c r="AV22" s="88">
        <v>224.17625993445262</v>
      </c>
      <c r="AW22" s="88">
        <v>105.92229016125125</v>
      </c>
      <c r="AX22" s="88">
        <v>205.54954626644354</v>
      </c>
      <c r="AY22" s="88">
        <v>213.03013228378029</v>
      </c>
      <c r="AZ22" s="88">
        <v>102.3294541654473</v>
      </c>
      <c r="BA22" s="88">
        <v>98.147558459504054</v>
      </c>
      <c r="BB22" s="88">
        <v>71.860941198080155</v>
      </c>
      <c r="BC22" s="88">
        <v>86.782737457882803</v>
      </c>
      <c r="BD22" s="88">
        <v>39.34236482510169</v>
      </c>
      <c r="BE22" s="88">
        <v>170.28790926146516</v>
      </c>
      <c r="BF22" s="88">
        <v>59.917558968479419</v>
      </c>
      <c r="BG22" s="88">
        <v>63.054842133963781</v>
      </c>
      <c r="BH22" s="88">
        <v>74.054003965329258</v>
      </c>
      <c r="BI22" s="88">
        <v>78.186556808327452</v>
      </c>
      <c r="BJ22" s="88">
        <v>163.10804865101832</v>
      </c>
      <c r="BK22" s="88">
        <v>65.60763474899565</v>
      </c>
      <c r="BL22" s="88">
        <v>96.044034442267815</v>
      </c>
      <c r="BM22" s="88">
        <v>93.416084515365171</v>
      </c>
      <c r="BN22" s="88">
        <v>56.358428583843171</v>
      </c>
      <c r="BO22" s="88">
        <v>66.934689210487662</v>
      </c>
      <c r="BP22" s="88">
        <v>186.67494480669052</v>
      </c>
      <c r="BQ22" s="88">
        <v>39.467727809089567</v>
      </c>
      <c r="BR22" s="88">
        <v>115.82603274006189</v>
      </c>
      <c r="BS22" s="88">
        <v>58.103912797125297</v>
      </c>
      <c r="BT22" s="88">
        <v>94.54465062541982</v>
      </c>
      <c r="BU22" s="88">
        <v>21.876664676335707</v>
      </c>
      <c r="BV22" s="88">
        <v>56.97062601520048</v>
      </c>
      <c r="BW22" s="88">
        <v>73.804075964088341</v>
      </c>
      <c r="BX22" s="88">
        <v>68.985010751108376</v>
      </c>
      <c r="BY22" s="88">
        <v>34.007615206451497</v>
      </c>
      <c r="BZ22" s="88">
        <v>80.283335534581099</v>
      </c>
      <c r="CA22" s="88">
        <v>48.244552263746385</v>
      </c>
      <c r="CB22" s="88">
        <v>129.85876373218784</v>
      </c>
      <c r="CC22" s="88">
        <v>234.57714432757325</v>
      </c>
      <c r="CD22" s="88">
        <v>19.922734966138112</v>
      </c>
      <c r="CE22" s="88">
        <v>117.3528509787519</v>
      </c>
      <c r="CF22" s="88">
        <v>199.90947765271756</v>
      </c>
      <c r="CG22" s="88">
        <v>48.628216805848567</v>
      </c>
      <c r="CH22" s="88">
        <v>222.41887906254195</v>
      </c>
      <c r="CI22" s="88">
        <v>33.707816236480468</v>
      </c>
      <c r="CJ22" s="88">
        <v>190.06227842868464</v>
      </c>
      <c r="CK22" s="88">
        <v>113.28840008289966</v>
      </c>
      <c r="CL22" s="88">
        <v>28.935824316914296</v>
      </c>
      <c r="CM22" s="88">
        <v>21.019469548555787</v>
      </c>
      <c r="CN22" s="88">
        <v>187.25144231882737</v>
      </c>
      <c r="CO22" s="88">
        <v>121.0765044495196</v>
      </c>
      <c r="CP22" s="88">
        <v>162.37265949651663</v>
      </c>
      <c r="CQ22" s="88">
        <v>21.427724469855725</v>
      </c>
      <c r="CR22" s="88">
        <v>59.888913973624071</v>
      </c>
      <c r="CS22" s="89">
        <v>108.43890234009608</v>
      </c>
    </row>
    <row r="23" spans="2:97" x14ac:dyDescent="0.3">
      <c r="B23" s="83" t="s">
        <v>159</v>
      </c>
      <c r="C23" s="88">
        <v>221.69116840701125</v>
      </c>
      <c r="D23" s="88">
        <v>92.887203226368555</v>
      </c>
      <c r="E23" s="88">
        <v>32.313130085973995</v>
      </c>
      <c r="F23" s="88">
        <v>163.02727054036475</v>
      </c>
      <c r="G23" s="88">
        <v>234.79850333805913</v>
      </c>
      <c r="H23" s="88">
        <v>185.53226587222102</v>
      </c>
      <c r="I23" s="88">
        <v>227.96321278046591</v>
      </c>
      <c r="J23" s="88">
        <v>115.65809814938225</v>
      </c>
      <c r="K23" s="88">
        <v>31.927687164643913</v>
      </c>
      <c r="L23" s="88">
        <v>337.68037060578519</v>
      </c>
      <c r="M23" s="88">
        <v>73.008338512901972</v>
      </c>
      <c r="N23" s="88">
        <v>30.999637715224004</v>
      </c>
      <c r="O23" s="88">
        <v>255.71253028556359</v>
      </c>
      <c r="P23" s="88">
        <v>157.39923290107581</v>
      </c>
      <c r="Q23" s="88">
        <v>280.31378476855502</v>
      </c>
      <c r="R23" s="88">
        <v>114.53858410226279</v>
      </c>
      <c r="S23" s="88">
        <v>59.591161768177969</v>
      </c>
      <c r="T23" s="88">
        <v>175.88651159618061</v>
      </c>
      <c r="U23" s="88">
        <v>83.769550750854975</v>
      </c>
      <c r="V23" s="88">
        <v>130.1085943126829</v>
      </c>
      <c r="W23" s="88">
        <v>0</v>
      </c>
      <c r="X23" s="88">
        <v>56.500276459607853</v>
      </c>
      <c r="Y23" s="88">
        <v>79.55471757967878</v>
      </c>
      <c r="Z23" s="88">
        <v>78.650022052183303</v>
      </c>
      <c r="AA23" s="88">
        <v>185.39821192189601</v>
      </c>
      <c r="AB23" s="88">
        <v>117.67283747673241</v>
      </c>
      <c r="AC23" s="88">
        <v>53.54746454333619</v>
      </c>
      <c r="AD23" s="88">
        <v>66.486217248800315</v>
      </c>
      <c r="AE23" s="88">
        <v>261.26982888881071</v>
      </c>
      <c r="AF23" s="88">
        <v>297.02833293223523</v>
      </c>
      <c r="AG23" s="88">
        <v>134.96314120916304</v>
      </c>
      <c r="AH23" s="88">
        <v>274.07784513988491</v>
      </c>
      <c r="AI23" s="88">
        <v>168.26120226805125</v>
      </c>
      <c r="AJ23" s="88">
        <v>280.05767900271371</v>
      </c>
      <c r="AK23" s="88">
        <v>56.794229532568679</v>
      </c>
      <c r="AL23" s="88">
        <v>28.241013374676193</v>
      </c>
      <c r="AM23" s="88">
        <v>294.11869451178751</v>
      </c>
      <c r="AN23" s="88">
        <v>65.991331766601931</v>
      </c>
      <c r="AO23" s="88">
        <v>16.06430388116479</v>
      </c>
      <c r="AP23" s="88">
        <v>51.462184340919464</v>
      </c>
      <c r="AQ23" s="88">
        <v>38.222372612697647</v>
      </c>
      <c r="AR23" s="88">
        <v>51.997963513174859</v>
      </c>
      <c r="AS23" s="88">
        <v>35.523956835614911</v>
      </c>
      <c r="AT23" s="88">
        <v>145.76350597277369</v>
      </c>
      <c r="AU23" s="88">
        <v>262.83787933487395</v>
      </c>
      <c r="AV23" s="88">
        <v>354.26411495628054</v>
      </c>
      <c r="AW23" s="88">
        <v>235.17401346284717</v>
      </c>
      <c r="AX23" s="88">
        <v>92.436573302888874</v>
      </c>
      <c r="AY23" s="88">
        <v>86.039632228010859</v>
      </c>
      <c r="AZ23" s="88">
        <v>48.166662638555202</v>
      </c>
      <c r="BA23" s="88">
        <v>34.97705063143065</v>
      </c>
      <c r="BB23" s="88">
        <v>91.337702800205065</v>
      </c>
      <c r="BC23" s="88">
        <v>213.1790848750183</v>
      </c>
      <c r="BD23" s="88">
        <v>133.6888035701499</v>
      </c>
      <c r="BE23" s="88">
        <v>40.968514441012339</v>
      </c>
      <c r="BF23" s="88">
        <v>143.79643961068291</v>
      </c>
      <c r="BG23" s="88">
        <v>76.07473475390681</v>
      </c>
      <c r="BH23" s="88">
        <v>57.932208046943991</v>
      </c>
      <c r="BI23" s="88">
        <v>196.60915288706065</v>
      </c>
      <c r="BJ23" s="88">
        <v>39.075435250436286</v>
      </c>
      <c r="BK23" s="88">
        <v>185.22305650048287</v>
      </c>
      <c r="BL23" s="88">
        <v>216.98269413800043</v>
      </c>
      <c r="BM23" s="88">
        <v>73.842961951451713</v>
      </c>
      <c r="BN23" s="88">
        <v>100.87651456695315</v>
      </c>
      <c r="BO23" s="88">
        <v>197.03162092222186</v>
      </c>
      <c r="BP23" s="88">
        <v>78.079473532733331</v>
      </c>
      <c r="BQ23" s="88">
        <v>165.73849552850299</v>
      </c>
      <c r="BR23" s="88">
        <v>14.285488961696291</v>
      </c>
      <c r="BS23" s="88">
        <v>181.70087066895232</v>
      </c>
      <c r="BT23" s="88">
        <v>204.63559502929621</v>
      </c>
      <c r="BU23" s="88">
        <v>150.8795453270202</v>
      </c>
      <c r="BV23" s="88">
        <v>178.77175663084336</v>
      </c>
      <c r="BW23" s="88">
        <v>201.70061181211238</v>
      </c>
      <c r="BX23" s="88">
        <v>93.990814142497868</v>
      </c>
      <c r="BY23" s="88">
        <v>96.285417043300029</v>
      </c>
      <c r="BZ23" s="88">
        <v>209.26446129850413</v>
      </c>
      <c r="CA23" s="88">
        <v>152.5443933670054</v>
      </c>
      <c r="CB23" s="88">
        <v>257.38835674159787</v>
      </c>
      <c r="CC23" s="88">
        <v>104.56671386864929</v>
      </c>
      <c r="CD23" s="88">
        <v>128.37104268053335</v>
      </c>
      <c r="CE23" s="88">
        <v>63.833104358389107</v>
      </c>
      <c r="CF23" s="88">
        <v>330.01081848444232</v>
      </c>
      <c r="CG23" s="88">
        <v>109.77606112689003</v>
      </c>
      <c r="CH23" s="88">
        <v>92.861594616240922</v>
      </c>
      <c r="CI23" s="88">
        <v>121.90229315600043</v>
      </c>
      <c r="CJ23" s="88">
        <v>319.56974639054619</v>
      </c>
      <c r="CK23" s="88">
        <v>243.3943414292014</v>
      </c>
      <c r="CL23" s="88">
        <v>149.17714718854285</v>
      </c>
      <c r="CM23" s="88">
        <v>130.87219382228938</v>
      </c>
      <c r="CN23" s="88">
        <v>317.23622754621312</v>
      </c>
      <c r="CO23" s="88">
        <v>30.891865911987956</v>
      </c>
      <c r="CP23" s="88">
        <v>58.855768319395196</v>
      </c>
      <c r="CQ23" s="88">
        <v>150.34521759208195</v>
      </c>
      <c r="CR23" s="88">
        <v>70.726228034315412</v>
      </c>
      <c r="CS23" s="89">
        <v>28.672601269495427</v>
      </c>
    </row>
    <row r="24" spans="2:97" x14ac:dyDescent="0.3">
      <c r="B24" s="83" t="s">
        <v>81</v>
      </c>
      <c r="C24" s="88">
        <v>176.13569463566969</v>
      </c>
      <c r="D24" s="88">
        <v>66.70864852544274</v>
      </c>
      <c r="E24" s="88">
        <v>40.072646149663065</v>
      </c>
      <c r="F24" s="88">
        <v>126.29030594302775</v>
      </c>
      <c r="G24" s="88">
        <v>194.50101613875293</v>
      </c>
      <c r="H24" s="88">
        <v>156.04125969209991</v>
      </c>
      <c r="I24" s="88">
        <v>179.39807052191537</v>
      </c>
      <c r="J24" s="88">
        <v>76.082556342277954</v>
      </c>
      <c r="K24" s="88">
        <v>62.240725568510882</v>
      </c>
      <c r="L24" s="88">
        <v>291.438737492401</v>
      </c>
      <c r="M24" s="88">
        <v>16.913727560870861</v>
      </c>
      <c r="N24" s="88">
        <v>86.468238591615275</v>
      </c>
      <c r="O24" s="88">
        <v>206.95514929362528</v>
      </c>
      <c r="P24" s="88">
        <v>104.57091813227392</v>
      </c>
      <c r="Q24" s="88">
        <v>236.98597455680951</v>
      </c>
      <c r="R24" s="88">
        <v>84.961734664094507</v>
      </c>
      <c r="S24" s="88">
        <v>102.27515427731458</v>
      </c>
      <c r="T24" s="88">
        <v>132.37056280737764</v>
      </c>
      <c r="U24" s="88">
        <v>31.921073846247129</v>
      </c>
      <c r="V24" s="88">
        <v>85.858716785923662</v>
      </c>
      <c r="W24" s="88">
        <v>56.500276459607853</v>
      </c>
      <c r="X24" s="88">
        <v>0</v>
      </c>
      <c r="Y24" s="88">
        <v>114.92618343111009</v>
      </c>
      <c r="Z24" s="88">
        <v>132.82529622968474</v>
      </c>
      <c r="AA24" s="88">
        <v>135.91523817595231</v>
      </c>
      <c r="AB24" s="88">
        <v>98.715575731498035</v>
      </c>
      <c r="AC24" s="88">
        <v>88.581473554097371</v>
      </c>
      <c r="AD24" s="88">
        <v>67.832612654826463</v>
      </c>
      <c r="AE24" s="88">
        <v>214.50049426315383</v>
      </c>
      <c r="AF24" s="88">
        <v>251.46296159123335</v>
      </c>
      <c r="AG24" s="88">
        <v>105.54729547345835</v>
      </c>
      <c r="AH24" s="88">
        <v>227.98498530346157</v>
      </c>
      <c r="AI24" s="88">
        <v>139.96115551088161</v>
      </c>
      <c r="AJ24" s="88">
        <v>231.43012718776359</v>
      </c>
      <c r="AK24" s="88">
        <v>112.50474074121925</v>
      </c>
      <c r="AL24" s="88">
        <v>80.38701677012412</v>
      </c>
      <c r="AM24" s="88">
        <v>246.35333841894612</v>
      </c>
      <c r="AN24" s="88">
        <v>114.69512796625577</v>
      </c>
      <c r="AO24" s="88">
        <v>67.043373151971949</v>
      </c>
      <c r="AP24" s="88">
        <v>54.100963984508496</v>
      </c>
      <c r="AQ24" s="88">
        <v>24.751222541231567</v>
      </c>
      <c r="AR24" s="88">
        <v>22.19485762949623</v>
      </c>
      <c r="AS24" s="88">
        <v>24.538433539344215</v>
      </c>
      <c r="AT24" s="88">
        <v>94.859295786996398</v>
      </c>
      <c r="AU24" s="88">
        <v>218.26450115112141</v>
      </c>
      <c r="AV24" s="88">
        <v>307.03072165858072</v>
      </c>
      <c r="AW24" s="88">
        <v>191.15412482692619</v>
      </c>
      <c r="AX24" s="88">
        <v>119.69330235362459</v>
      </c>
      <c r="AY24" s="88">
        <v>129.89396622020143</v>
      </c>
      <c r="AZ24" s="88">
        <v>64.365876462922273</v>
      </c>
      <c r="BA24" s="88">
        <v>43.603382439494005</v>
      </c>
      <c r="BB24" s="88">
        <v>81.885840345887786</v>
      </c>
      <c r="BC24" s="88">
        <v>172.5991926303609</v>
      </c>
      <c r="BD24" s="88">
        <v>79.578666845315695</v>
      </c>
      <c r="BE24" s="88">
        <v>90.930456389760607</v>
      </c>
      <c r="BF24" s="88">
        <v>120.1411743089923</v>
      </c>
      <c r="BG24" s="88">
        <v>57.474651109678291</v>
      </c>
      <c r="BH24" s="88">
        <v>39.936024092797339</v>
      </c>
      <c r="BI24" s="88">
        <v>161.3721924915591</v>
      </c>
      <c r="BJ24" s="88">
        <v>95.410437856947809</v>
      </c>
      <c r="BK24" s="88">
        <v>149.00443216872418</v>
      </c>
      <c r="BL24" s="88">
        <v>180.55234811826409</v>
      </c>
      <c r="BM24" s="88">
        <v>24.067052050952128</v>
      </c>
      <c r="BN24" s="88">
        <v>81.811890541855178</v>
      </c>
      <c r="BO24" s="88">
        <v>150.97793362482778</v>
      </c>
      <c r="BP24" s="88">
        <v>100.8300504091782</v>
      </c>
      <c r="BQ24" s="88">
        <v>115.98783273559849</v>
      </c>
      <c r="BR24" s="88">
        <v>44.857792715653432</v>
      </c>
      <c r="BS24" s="88">
        <v>130.00423436931572</v>
      </c>
      <c r="BT24" s="88">
        <v>174.16214282813127</v>
      </c>
      <c r="BU24" s="88">
        <v>103.79990838682529</v>
      </c>
      <c r="BV24" s="88">
        <v>141.10403094067425</v>
      </c>
      <c r="BW24" s="88">
        <v>159.64818024165436</v>
      </c>
      <c r="BX24" s="88">
        <v>37.510018803427506</v>
      </c>
      <c r="BY24" s="88">
        <v>56.608917880000938</v>
      </c>
      <c r="BZ24" s="88">
        <v>159.96870259301403</v>
      </c>
      <c r="CA24" s="88">
        <v>121.55273863732208</v>
      </c>
      <c r="CB24" s="88">
        <v>215.64736647211629</v>
      </c>
      <c r="CC24" s="88">
        <v>157.15314827940853</v>
      </c>
      <c r="CD24" s="88">
        <v>78.324929521227645</v>
      </c>
      <c r="CE24" s="88">
        <v>36.188654548796698</v>
      </c>
      <c r="CF24" s="88">
        <v>282.15300148269853</v>
      </c>
      <c r="CG24" s="88">
        <v>54.560749531488092</v>
      </c>
      <c r="CH24" s="88">
        <v>141.69917401724004</v>
      </c>
      <c r="CI24" s="88">
        <v>68.877178718176921</v>
      </c>
      <c r="CJ24" s="88">
        <v>274.62771404505725</v>
      </c>
      <c r="CK24" s="88">
        <v>196.27516487511522</v>
      </c>
      <c r="CL24" s="88">
        <v>110.97306116142673</v>
      </c>
      <c r="CM24" s="88">
        <v>94.044663725338495</v>
      </c>
      <c r="CN24" s="88">
        <v>270.85284088576122</v>
      </c>
      <c r="CO24" s="88">
        <v>67.275488917425477</v>
      </c>
      <c r="CP24" s="88">
        <v>76.517669980349424</v>
      </c>
      <c r="CQ24" s="88">
        <v>107.28014634816222</v>
      </c>
      <c r="CR24" s="88">
        <v>31.061450894575813</v>
      </c>
      <c r="CS24" s="89">
        <v>59.145824536139067</v>
      </c>
    </row>
    <row r="25" spans="2:97" x14ac:dyDescent="0.3">
      <c r="B25" s="83" t="s">
        <v>82</v>
      </c>
      <c r="C25" s="88">
        <v>291.00870560712298</v>
      </c>
      <c r="D25" s="88">
        <v>169.73647055249705</v>
      </c>
      <c r="E25" s="88">
        <v>75.101252527814623</v>
      </c>
      <c r="F25" s="88">
        <v>237.76041195784495</v>
      </c>
      <c r="G25" s="88">
        <v>308.11747638524162</v>
      </c>
      <c r="H25" s="88">
        <v>263.1738095118879</v>
      </c>
      <c r="I25" s="88">
        <v>294.14637185163059</v>
      </c>
      <c r="J25" s="88">
        <v>188.20078770531302</v>
      </c>
      <c r="K25" s="88">
        <v>54.135062068923908</v>
      </c>
      <c r="L25" s="88">
        <v>406.35210172028587</v>
      </c>
      <c r="M25" s="88">
        <v>130.46984397610842</v>
      </c>
      <c r="N25" s="88">
        <v>62.841906748396589</v>
      </c>
      <c r="O25" s="88">
        <v>321.59309458061091</v>
      </c>
      <c r="P25" s="88">
        <v>217.99049386385175</v>
      </c>
      <c r="Q25" s="88">
        <v>351.6204455721583</v>
      </c>
      <c r="R25" s="88">
        <v>191.12167575282615</v>
      </c>
      <c r="S25" s="88">
        <v>22.866272132907735</v>
      </c>
      <c r="T25" s="88">
        <v>246.73576111644681</v>
      </c>
      <c r="U25" s="88">
        <v>146.84706641453366</v>
      </c>
      <c r="V25" s="88">
        <v>200.05845566757691</v>
      </c>
      <c r="W25" s="88">
        <v>79.55471757967878</v>
      </c>
      <c r="X25" s="88">
        <v>114.92618343111009</v>
      </c>
      <c r="Y25" s="88">
        <v>0</v>
      </c>
      <c r="Z25" s="88">
        <v>59.52978479187432</v>
      </c>
      <c r="AA25" s="88">
        <v>250.60579577026732</v>
      </c>
      <c r="AB25" s="88">
        <v>196.63550241974679</v>
      </c>
      <c r="AC25" s="88">
        <v>27.212283055165777</v>
      </c>
      <c r="AD25" s="88">
        <v>146.0390382657198</v>
      </c>
      <c r="AE25" s="88">
        <v>329.41532255959578</v>
      </c>
      <c r="AF25" s="88">
        <v>366.38253454246075</v>
      </c>
      <c r="AG25" s="88">
        <v>212.02670800432256</v>
      </c>
      <c r="AH25" s="88">
        <v>342.91105801358901</v>
      </c>
      <c r="AI25" s="88">
        <v>246.06863357124189</v>
      </c>
      <c r="AJ25" s="88">
        <v>346.04563854561945</v>
      </c>
      <c r="AK25" s="88">
        <v>63.416738856906733</v>
      </c>
      <c r="AL25" s="88">
        <v>91.04936142102629</v>
      </c>
      <c r="AM25" s="88">
        <v>361.13197459946053</v>
      </c>
      <c r="AN25" s="88">
        <v>33.663851248460844</v>
      </c>
      <c r="AO25" s="88">
        <v>63.853332071022358</v>
      </c>
      <c r="AP25" s="88">
        <v>64.783514083803283</v>
      </c>
      <c r="AQ25" s="88">
        <v>109.92224026874985</v>
      </c>
      <c r="AR25" s="88">
        <v>95.858082333623969</v>
      </c>
      <c r="AS25" s="88">
        <v>91.460969791666102</v>
      </c>
      <c r="AT25" s="88">
        <v>209.41820103379268</v>
      </c>
      <c r="AU25" s="88">
        <v>333.07972658507174</v>
      </c>
      <c r="AV25" s="88">
        <v>421.83558280511625</v>
      </c>
      <c r="AW25" s="88">
        <v>305.83826282382074</v>
      </c>
      <c r="AX25" s="88">
        <v>19.570262950352973</v>
      </c>
      <c r="AY25" s="88">
        <v>23.925828806481785</v>
      </c>
      <c r="AZ25" s="88">
        <v>127.29658710276443</v>
      </c>
      <c r="BA25" s="88">
        <v>113.66830995796481</v>
      </c>
      <c r="BB25" s="88">
        <v>170.80458616816981</v>
      </c>
      <c r="BC25" s="88">
        <v>286.22467026336517</v>
      </c>
      <c r="BD25" s="88">
        <v>192.35984379021295</v>
      </c>
      <c r="BE25" s="88">
        <v>44.801310609042162</v>
      </c>
      <c r="BF25" s="88">
        <v>222.35911845324853</v>
      </c>
      <c r="BG25" s="88">
        <v>153.89912668613442</v>
      </c>
      <c r="BH25" s="88">
        <v>134.32005045604674</v>
      </c>
      <c r="BI25" s="88">
        <v>272.32630071852066</v>
      </c>
      <c r="BJ25" s="88">
        <v>77.463731981272403</v>
      </c>
      <c r="BK25" s="88">
        <v>260.41404721075412</v>
      </c>
      <c r="BL25" s="88">
        <v>292.30297213459386</v>
      </c>
      <c r="BM25" s="88">
        <v>117.02110107666175</v>
      </c>
      <c r="BN25" s="88">
        <v>179.51604072012748</v>
      </c>
      <c r="BO25" s="88">
        <v>265.86214331047466</v>
      </c>
      <c r="BP25" s="88">
        <v>25.379376088100834</v>
      </c>
      <c r="BQ25" s="88">
        <v>230.70927911858143</v>
      </c>
      <c r="BR25" s="88">
        <v>91.646626119080167</v>
      </c>
      <c r="BS25" s="88">
        <v>243.85769983779903</v>
      </c>
      <c r="BT25" s="88">
        <v>282.13422530804706</v>
      </c>
      <c r="BU25" s="88">
        <v>218.68403123693687</v>
      </c>
      <c r="BV25" s="88">
        <v>253.21294695053149</v>
      </c>
      <c r="BW25" s="88">
        <v>273.72523020977985</v>
      </c>
      <c r="BX25" s="88">
        <v>145.15125018814473</v>
      </c>
      <c r="BY25" s="88">
        <v>168.18265619455144</v>
      </c>
      <c r="BZ25" s="88">
        <v>274.61022067018882</v>
      </c>
      <c r="CA25" s="88">
        <v>229.38963809576413</v>
      </c>
      <c r="CB25" s="88">
        <v>329.83235797681306</v>
      </c>
      <c r="CC25" s="88">
        <v>66.162167261112259</v>
      </c>
      <c r="CD25" s="88">
        <v>193.18464878243503</v>
      </c>
      <c r="CE25" s="88">
        <v>92.847564619230155</v>
      </c>
      <c r="CF25" s="88">
        <v>396.86831443594298</v>
      </c>
      <c r="CG25" s="88">
        <v>166.84396562412303</v>
      </c>
      <c r="CH25" s="88">
        <v>43.295115641714531</v>
      </c>
      <c r="CI25" s="88">
        <v>182.86376538264662</v>
      </c>
      <c r="CJ25" s="88">
        <v>389.522857884811</v>
      </c>
      <c r="CK25" s="88">
        <v>311.18111680314564</v>
      </c>
      <c r="CL25" s="88">
        <v>223.02545847590471</v>
      </c>
      <c r="CM25" s="88">
        <v>205.09206115959643</v>
      </c>
      <c r="CN25" s="88">
        <v>385.76529457570336</v>
      </c>
      <c r="CO25" s="88">
        <v>107.33244171754973</v>
      </c>
      <c r="CP25" s="88">
        <v>42.15519973334488</v>
      </c>
      <c r="CQ25" s="88">
        <v>221.33366869547271</v>
      </c>
      <c r="CR25" s="88">
        <v>140.9998328633136</v>
      </c>
      <c r="CS25" s="89">
        <v>174.24515718764005</v>
      </c>
    </row>
    <row r="26" spans="2:97" x14ac:dyDescent="0.3">
      <c r="B26" s="83" t="s">
        <v>83</v>
      </c>
      <c r="C26" s="88">
        <v>299.43687482553821</v>
      </c>
      <c r="D26" s="88">
        <v>167.8697017017393</v>
      </c>
      <c r="E26" s="88">
        <v>96.635601298178614</v>
      </c>
      <c r="F26" s="88">
        <v>238.51520853568036</v>
      </c>
      <c r="G26" s="88">
        <v>310.5951025544656</v>
      </c>
      <c r="H26" s="88">
        <v>257.07884590354723</v>
      </c>
      <c r="I26" s="88">
        <v>306.36231082389139</v>
      </c>
      <c r="J26" s="88">
        <v>193.13241931183353</v>
      </c>
      <c r="K26" s="88">
        <v>76.178090707561211</v>
      </c>
      <c r="L26" s="88">
        <v>415.23134593997884</v>
      </c>
      <c r="M26" s="88">
        <v>149.73209846134986</v>
      </c>
      <c r="N26" s="88">
        <v>47.728131785556442</v>
      </c>
      <c r="O26" s="88">
        <v>334.09499717707178</v>
      </c>
      <c r="P26" s="88">
        <v>235.86285104651856</v>
      </c>
      <c r="Q26" s="88">
        <v>357.00448130798952</v>
      </c>
      <c r="R26" s="88">
        <v>189.1836363518857</v>
      </c>
      <c r="S26" s="88">
        <v>45.28191517107863</v>
      </c>
      <c r="T26" s="88">
        <v>253.39442274466316</v>
      </c>
      <c r="U26" s="88">
        <v>162.05082591203526</v>
      </c>
      <c r="V26" s="88">
        <v>208.24501325287494</v>
      </c>
      <c r="W26" s="88">
        <v>78.650022052183303</v>
      </c>
      <c r="X26" s="88">
        <v>132.82529622968474</v>
      </c>
      <c r="Y26" s="88">
        <v>59.52978479187432</v>
      </c>
      <c r="Z26" s="88">
        <v>0</v>
      </c>
      <c r="AA26" s="88">
        <v>263.98522447346647</v>
      </c>
      <c r="AB26" s="88">
        <v>187.525959333494</v>
      </c>
      <c r="AC26" s="88">
        <v>61.478637475066563</v>
      </c>
      <c r="AD26" s="88">
        <v>134.26808928372745</v>
      </c>
      <c r="AE26" s="88">
        <v>339.19025813893148</v>
      </c>
      <c r="AF26" s="88">
        <v>374.46709660805021</v>
      </c>
      <c r="AG26" s="88">
        <v>208.48027425517958</v>
      </c>
      <c r="AH26" s="88">
        <v>351.76343128214842</v>
      </c>
      <c r="AI26" s="88">
        <v>239.80292783935337</v>
      </c>
      <c r="AJ26" s="88">
        <v>358.37673203537753</v>
      </c>
      <c r="AK26" s="88">
        <v>23.780921762810184</v>
      </c>
      <c r="AL26" s="88">
        <v>69.39919873711986</v>
      </c>
      <c r="AM26" s="88">
        <v>372.21737054861688</v>
      </c>
      <c r="AN26" s="88">
        <v>27.656072818350754</v>
      </c>
      <c r="AO26" s="88">
        <v>65.815616444091589</v>
      </c>
      <c r="AP26" s="88">
        <v>100.14298368598691</v>
      </c>
      <c r="AQ26" s="88">
        <v>116.86928738733597</v>
      </c>
      <c r="AR26" s="88">
        <v>121.25226190775339</v>
      </c>
      <c r="AS26" s="88">
        <v>108.88454800435473</v>
      </c>
      <c r="AT26" s="88">
        <v>224.40221992251728</v>
      </c>
      <c r="AU26" s="88">
        <v>340.07719705332568</v>
      </c>
      <c r="AV26" s="88">
        <v>432.1011328213184</v>
      </c>
      <c r="AW26" s="88">
        <v>312.37771280683756</v>
      </c>
      <c r="AX26" s="88">
        <v>78.712995842884681</v>
      </c>
      <c r="AY26" s="88">
        <v>40.757485737292861</v>
      </c>
      <c r="AZ26" s="88">
        <v>113.90835619457812</v>
      </c>
      <c r="BA26" s="88">
        <v>110.56788397452142</v>
      </c>
      <c r="BB26" s="88">
        <v>159.52841400337957</v>
      </c>
      <c r="BC26" s="88">
        <v>289.32316558268758</v>
      </c>
      <c r="BD26" s="88">
        <v>211.75609362585035</v>
      </c>
      <c r="BE26" s="88">
        <v>43.082629033518479</v>
      </c>
      <c r="BF26" s="88">
        <v>214.12328109164798</v>
      </c>
      <c r="BG26" s="88">
        <v>150.41929281363309</v>
      </c>
      <c r="BH26" s="88">
        <v>134.70429480602442</v>
      </c>
      <c r="BI26" s="88">
        <v>270.7275164841929</v>
      </c>
      <c r="BJ26" s="88">
        <v>48.037950443150557</v>
      </c>
      <c r="BK26" s="88">
        <v>260.01500620484006</v>
      </c>
      <c r="BL26" s="88">
        <v>291.2817506790355</v>
      </c>
      <c r="BM26" s="88">
        <v>144.86084176641452</v>
      </c>
      <c r="BN26" s="88">
        <v>172.43177790992519</v>
      </c>
      <c r="BO26" s="88">
        <v>275.02753402830581</v>
      </c>
      <c r="BP26" s="88">
        <v>81.545189766439009</v>
      </c>
      <c r="BQ26" s="88">
        <v>244.36595621304591</v>
      </c>
      <c r="BR26" s="88">
        <v>92.773378997179378</v>
      </c>
      <c r="BS26" s="88">
        <v>260.32731613131244</v>
      </c>
      <c r="BT26" s="88">
        <v>276.14744182780049</v>
      </c>
      <c r="BU26" s="88">
        <v>229.29254837945129</v>
      </c>
      <c r="BV26" s="88">
        <v>254.28642906906896</v>
      </c>
      <c r="BW26" s="88">
        <v>278.50596030531358</v>
      </c>
      <c r="BX26" s="88">
        <v>169.34056538820326</v>
      </c>
      <c r="BY26" s="88">
        <v>174.2623511471817</v>
      </c>
      <c r="BZ26" s="88">
        <v>287.79927576099709</v>
      </c>
      <c r="CA26" s="88">
        <v>225.98668597103898</v>
      </c>
      <c r="CB26" s="88">
        <v>333.58698297827164</v>
      </c>
      <c r="CC26" s="88">
        <v>27.079427482193701</v>
      </c>
      <c r="CD26" s="88">
        <v>207.01910396250699</v>
      </c>
      <c r="CE26" s="88">
        <v>126.05218850108292</v>
      </c>
      <c r="CF26" s="88">
        <v>408.06879237515147</v>
      </c>
      <c r="CG26" s="88">
        <v>187.24637468792855</v>
      </c>
      <c r="CH26" s="88">
        <v>28.305200097881261</v>
      </c>
      <c r="CI26" s="88">
        <v>200.23294845140319</v>
      </c>
      <c r="CJ26" s="88">
        <v>396.70988278190691</v>
      </c>
      <c r="CK26" s="88">
        <v>321.45849428629811</v>
      </c>
      <c r="CL26" s="88">
        <v>225.49638729698557</v>
      </c>
      <c r="CM26" s="88">
        <v>207.22763884973179</v>
      </c>
      <c r="CN26" s="88">
        <v>394.88520069626992</v>
      </c>
      <c r="CO26" s="88">
        <v>91.79049460225751</v>
      </c>
      <c r="CP26" s="88">
        <v>85.475323014336936</v>
      </c>
      <c r="CQ26" s="88">
        <v>228.01258153378393</v>
      </c>
      <c r="CR26" s="88">
        <v>149.30063943716507</v>
      </c>
      <c r="CS26" s="89">
        <v>187.21744037094203</v>
      </c>
    </row>
    <row r="27" spans="2:97" x14ac:dyDescent="0.3">
      <c r="B27" s="83" t="s">
        <v>84</v>
      </c>
      <c r="C27" s="88">
        <v>44.693870318324159</v>
      </c>
      <c r="D27" s="88">
        <v>104.2261362263659</v>
      </c>
      <c r="E27" s="88">
        <v>175.98775782133541</v>
      </c>
      <c r="F27" s="88">
        <v>56.24660476188491</v>
      </c>
      <c r="G27" s="88">
        <v>73.845030062730672</v>
      </c>
      <c r="H27" s="88">
        <v>84.783597048438693</v>
      </c>
      <c r="I27" s="88">
        <v>43.552127574180865</v>
      </c>
      <c r="J27" s="88">
        <v>74.359505810214856</v>
      </c>
      <c r="K27" s="88">
        <v>198.07836881146429</v>
      </c>
      <c r="L27" s="88">
        <v>156.13408662131482</v>
      </c>
      <c r="M27" s="88">
        <v>120.14323248228017</v>
      </c>
      <c r="N27" s="88">
        <v>216.25724193847719</v>
      </c>
      <c r="O27" s="88">
        <v>71.040260002903054</v>
      </c>
      <c r="P27" s="88">
        <v>35.943314125231822</v>
      </c>
      <c r="Q27" s="88">
        <v>105.75944164501419</v>
      </c>
      <c r="R27" s="88">
        <v>88.630345679774109</v>
      </c>
      <c r="S27" s="88">
        <v>237.95946631993002</v>
      </c>
      <c r="T27" s="88">
        <v>29.926320169026461</v>
      </c>
      <c r="U27" s="88">
        <v>104.1379355477993</v>
      </c>
      <c r="V27" s="88">
        <v>57.303497636576793</v>
      </c>
      <c r="W27" s="88">
        <v>185.39821192189601</v>
      </c>
      <c r="X27" s="88">
        <v>135.91523817595231</v>
      </c>
      <c r="Y27" s="88">
        <v>250.60579577026732</v>
      </c>
      <c r="Z27" s="88">
        <v>263.98522447346647</v>
      </c>
      <c r="AA27" s="88">
        <v>0</v>
      </c>
      <c r="AB27" s="88">
        <v>106.69235163599488</v>
      </c>
      <c r="AC27" s="88">
        <v>224.48661054642469</v>
      </c>
      <c r="AD27" s="88">
        <v>143.13159287345951</v>
      </c>
      <c r="AE27" s="88">
        <v>79.477029456998793</v>
      </c>
      <c r="AF27" s="88">
        <v>117.01294151017997</v>
      </c>
      <c r="AG27" s="88">
        <v>81.531621145260544</v>
      </c>
      <c r="AH27" s="88">
        <v>93.382228465079933</v>
      </c>
      <c r="AI27" s="88">
        <v>83.858390733918469</v>
      </c>
      <c r="AJ27" s="88">
        <v>95.51632194156393</v>
      </c>
      <c r="AK27" s="88">
        <v>241.42394170464283</v>
      </c>
      <c r="AL27" s="88">
        <v>199.5885653552223</v>
      </c>
      <c r="AM27" s="88">
        <v>110.53760887308626</v>
      </c>
      <c r="AN27" s="88">
        <v>249.2743325394014</v>
      </c>
      <c r="AO27" s="88">
        <v>199.39884989487442</v>
      </c>
      <c r="AP27" s="88">
        <v>187.36827623247117</v>
      </c>
      <c r="AQ27" s="88">
        <v>147.27224822841401</v>
      </c>
      <c r="AR27" s="88">
        <v>155.03723735522496</v>
      </c>
      <c r="AS27" s="88">
        <v>160.12910474109123</v>
      </c>
      <c r="AT27" s="88">
        <v>41.215461014987369</v>
      </c>
      <c r="AU27" s="88">
        <v>85.860624060058669</v>
      </c>
      <c r="AV27" s="88">
        <v>171.24918691614749</v>
      </c>
      <c r="AW27" s="88">
        <v>61.579722717197114</v>
      </c>
      <c r="AX27" s="88">
        <v>253.63711066274666</v>
      </c>
      <c r="AY27" s="88">
        <v>265.66468277933075</v>
      </c>
      <c r="AZ27" s="88">
        <v>159.62229508190887</v>
      </c>
      <c r="BA27" s="88">
        <v>154.7790292864054</v>
      </c>
      <c r="BB27" s="88">
        <v>126.28135754532448</v>
      </c>
      <c r="BC27" s="88">
        <v>56.460394808678366</v>
      </c>
      <c r="BD27" s="88">
        <v>60.608524812718493</v>
      </c>
      <c r="BE27" s="88">
        <v>224.63214636522511</v>
      </c>
      <c r="BF27" s="88">
        <v>94.645417158379672</v>
      </c>
      <c r="BG27" s="88">
        <v>120.26049224562529</v>
      </c>
      <c r="BH27" s="88">
        <v>130.89388513955515</v>
      </c>
      <c r="BI27" s="88">
        <v>68.302951917729871</v>
      </c>
      <c r="BJ27" s="88">
        <v>219.76390340544538</v>
      </c>
      <c r="BK27" s="88">
        <v>60.278362569080755</v>
      </c>
      <c r="BL27" s="88">
        <v>75.089318285227222</v>
      </c>
      <c r="BM27" s="88">
        <v>136.35769294423994</v>
      </c>
      <c r="BN27" s="88">
        <v>110.00763113282409</v>
      </c>
      <c r="BO27" s="88">
        <v>23.15246503934458</v>
      </c>
      <c r="BP27" s="88">
        <v>234.42452041957674</v>
      </c>
      <c r="BQ27" s="88">
        <v>19.930438030615424</v>
      </c>
      <c r="BR27" s="88">
        <v>171.21691838637184</v>
      </c>
      <c r="BS27" s="88">
        <v>14.612357337603038</v>
      </c>
      <c r="BT27" s="88">
        <v>90.015224819404551</v>
      </c>
      <c r="BU27" s="88">
        <v>35.438830793831542</v>
      </c>
      <c r="BV27" s="88">
        <v>53.296245772779592</v>
      </c>
      <c r="BW27" s="88">
        <v>43.285054531214939</v>
      </c>
      <c r="BX27" s="88">
        <v>108.11355124004052</v>
      </c>
      <c r="BY27" s="88">
        <v>90.751878437625052</v>
      </c>
      <c r="BZ27" s="88">
        <v>24.066011998818873</v>
      </c>
      <c r="CA27" s="88">
        <v>74.653441952894823</v>
      </c>
      <c r="CB27" s="88">
        <v>88.701994623667687</v>
      </c>
      <c r="CC27" s="88">
        <v>289.91450390050915</v>
      </c>
      <c r="CD27" s="88">
        <v>57.69432516348504</v>
      </c>
      <c r="CE27" s="88">
        <v>161.63811698444604</v>
      </c>
      <c r="CF27" s="88">
        <v>146.26779142709844</v>
      </c>
      <c r="CG27" s="88">
        <v>85.119043532807851</v>
      </c>
      <c r="CH27" s="88">
        <v>276.48485170368087</v>
      </c>
      <c r="CI27" s="88">
        <v>68.067872722204669</v>
      </c>
      <c r="CJ27" s="88">
        <v>140.46679644416028</v>
      </c>
      <c r="CK27" s="88">
        <v>61.239942273343317</v>
      </c>
      <c r="CL27" s="88">
        <v>55.47754392002976</v>
      </c>
      <c r="CM27" s="88">
        <v>67.681799044285128</v>
      </c>
      <c r="CN27" s="88">
        <v>135.57621340794364</v>
      </c>
      <c r="CO27" s="88">
        <v>178.24700968056132</v>
      </c>
      <c r="CP27" s="88">
        <v>210.61783210914098</v>
      </c>
      <c r="CQ27" s="88">
        <v>42.812121862282808</v>
      </c>
      <c r="CR27" s="88">
        <v>114.68654039408783</v>
      </c>
      <c r="CS27" s="89">
        <v>77.720535197085468</v>
      </c>
    </row>
    <row r="28" spans="2:97" x14ac:dyDescent="0.3">
      <c r="B28" s="83" t="s">
        <v>85</v>
      </c>
      <c r="C28" s="88">
        <v>125.37896708098427</v>
      </c>
      <c r="D28" s="88">
        <v>32.257548851276852</v>
      </c>
      <c r="E28" s="88">
        <v>127.65364826617188</v>
      </c>
      <c r="F28" s="88">
        <v>58.511681779622947</v>
      </c>
      <c r="G28" s="88">
        <v>127.33812032359718</v>
      </c>
      <c r="H28" s="88">
        <v>69.588587848639293</v>
      </c>
      <c r="I28" s="88">
        <v>138.83852477429053</v>
      </c>
      <c r="J28" s="88">
        <v>45.171890954311131</v>
      </c>
      <c r="K28" s="88">
        <v>143.99850065562759</v>
      </c>
      <c r="L28" s="88">
        <v>235.71293359657028</v>
      </c>
      <c r="M28" s="88">
        <v>94.569668225347414</v>
      </c>
      <c r="N28" s="88">
        <v>143.29017727092545</v>
      </c>
      <c r="O28" s="88">
        <v>164.26245371913564</v>
      </c>
      <c r="P28" s="88">
        <v>101.16936142594025</v>
      </c>
      <c r="Q28" s="88">
        <v>175.19749193885829</v>
      </c>
      <c r="R28" s="88">
        <v>23.194593425867446</v>
      </c>
      <c r="S28" s="88">
        <v>177.26365872322202</v>
      </c>
      <c r="T28" s="88">
        <v>82.4162707759006</v>
      </c>
      <c r="U28" s="88">
        <v>80.104689285942811</v>
      </c>
      <c r="V28" s="88">
        <v>58.79492134336833</v>
      </c>
      <c r="W28" s="88">
        <v>117.67283747673241</v>
      </c>
      <c r="X28" s="88">
        <v>98.715575731498035</v>
      </c>
      <c r="Y28" s="88">
        <v>196.63550241974679</v>
      </c>
      <c r="Z28" s="88">
        <v>187.525959333494</v>
      </c>
      <c r="AA28" s="88">
        <v>106.69235163599488</v>
      </c>
      <c r="AB28" s="88">
        <v>0</v>
      </c>
      <c r="AC28" s="88">
        <v>169.77310980117562</v>
      </c>
      <c r="AD28" s="88">
        <v>53.299865642643567</v>
      </c>
      <c r="AE28" s="88">
        <v>164.1869497874105</v>
      </c>
      <c r="AF28" s="88">
        <v>195.26371871615703</v>
      </c>
      <c r="AG28" s="88">
        <v>26.342080472156955</v>
      </c>
      <c r="AH28" s="88">
        <v>174.60850868997593</v>
      </c>
      <c r="AI28" s="88">
        <v>52.379824377672321</v>
      </c>
      <c r="AJ28" s="88">
        <v>186.3922122118864</v>
      </c>
      <c r="AK28" s="88">
        <v>163.75655192639636</v>
      </c>
      <c r="AL28" s="88">
        <v>118.12913874873641</v>
      </c>
      <c r="AM28" s="88">
        <v>197.37616964889838</v>
      </c>
      <c r="AN28" s="88">
        <v>182.11946632599768</v>
      </c>
      <c r="AO28" s="88">
        <v>133.72968626170888</v>
      </c>
      <c r="AP28" s="88">
        <v>148.08841100110197</v>
      </c>
      <c r="AQ28" s="88">
        <v>89.634384130637315</v>
      </c>
      <c r="AR28" s="88">
        <v>119.9858741249797</v>
      </c>
      <c r="AS28" s="88">
        <v>112.58113171985731</v>
      </c>
      <c r="AT28" s="88">
        <v>86.403392667175765</v>
      </c>
      <c r="AU28" s="88">
        <v>160.91351463743243</v>
      </c>
      <c r="AV28" s="88">
        <v>253.83984174277134</v>
      </c>
      <c r="AW28" s="88">
        <v>134.1620604515974</v>
      </c>
      <c r="AX28" s="88">
        <v>207.29653649017121</v>
      </c>
      <c r="AY28" s="88">
        <v>203.34677391072353</v>
      </c>
      <c r="AZ28" s="88">
        <v>73.683088036027812</v>
      </c>
      <c r="BA28" s="88">
        <v>82.990140927541148</v>
      </c>
      <c r="BB28" s="88">
        <v>28.068059648052987</v>
      </c>
      <c r="BC28" s="88">
        <v>107.85434656746594</v>
      </c>
      <c r="BD28" s="88">
        <v>95.203341146929162</v>
      </c>
      <c r="BE28" s="88">
        <v>157.74230449709012</v>
      </c>
      <c r="BF28" s="88">
        <v>26.609385373545528</v>
      </c>
      <c r="BG28" s="88">
        <v>43.669568126429333</v>
      </c>
      <c r="BH28" s="88">
        <v>63.959873979065357</v>
      </c>
      <c r="BI28" s="88">
        <v>85.179903465661027</v>
      </c>
      <c r="BJ28" s="88">
        <v>139.51328330809204</v>
      </c>
      <c r="BK28" s="88">
        <v>76.163678887112681</v>
      </c>
      <c r="BL28" s="88">
        <v>105.55291369482144</v>
      </c>
      <c r="BM28" s="88">
        <v>117.50094100399633</v>
      </c>
      <c r="BN28" s="88">
        <v>17.495716081272025</v>
      </c>
      <c r="BO28" s="88">
        <v>105.52510431038884</v>
      </c>
      <c r="BP28" s="88">
        <v>190.35400443628407</v>
      </c>
      <c r="BQ28" s="88">
        <v>93.715812974997576</v>
      </c>
      <c r="BR28" s="88">
        <v>104.99118601240481</v>
      </c>
      <c r="BS28" s="88">
        <v>112.39264649187872</v>
      </c>
      <c r="BT28" s="88">
        <v>88.626363637824738</v>
      </c>
      <c r="BU28" s="88">
        <v>75.867361422327718</v>
      </c>
      <c r="BV28" s="88">
        <v>72.827972088239775</v>
      </c>
      <c r="BW28" s="88">
        <v>100.34151132212956</v>
      </c>
      <c r="BX28" s="88">
        <v>104.18386084402013</v>
      </c>
      <c r="BY28" s="88">
        <v>50.872452357757759</v>
      </c>
      <c r="BZ28" s="88">
        <v>125.10172427494902</v>
      </c>
      <c r="CA28" s="88">
        <v>41.227555060975938</v>
      </c>
      <c r="CB28" s="88">
        <v>150.81601114037628</v>
      </c>
      <c r="CC28" s="88">
        <v>214.5952420768561</v>
      </c>
      <c r="CD28" s="88">
        <v>76.027111850379171</v>
      </c>
      <c r="CE28" s="88">
        <v>134.89726841240719</v>
      </c>
      <c r="CF28" s="88">
        <v>231.84014136856703</v>
      </c>
      <c r="CG28" s="88">
        <v>93.074169332961404</v>
      </c>
      <c r="CH28" s="88">
        <v>207.78032600182848</v>
      </c>
      <c r="CI28" s="88">
        <v>85.500914933069154</v>
      </c>
      <c r="CJ28" s="88">
        <v>215.72920505729832</v>
      </c>
      <c r="CK28" s="88">
        <v>148.64343029062888</v>
      </c>
      <c r="CL28" s="88">
        <v>51.872513969716742</v>
      </c>
      <c r="CM28" s="88">
        <v>40.241322559623285</v>
      </c>
      <c r="CN28" s="88">
        <v>216.28926727180479</v>
      </c>
      <c r="CO28" s="88">
        <v>95.873288265734587</v>
      </c>
      <c r="CP28" s="88">
        <v>167.01097359338075</v>
      </c>
      <c r="CQ28" s="88">
        <v>64.174263774777273</v>
      </c>
      <c r="CR28" s="88">
        <v>68.241061669744312</v>
      </c>
      <c r="CS28" s="89">
        <v>70.118128950394834</v>
      </c>
    </row>
    <row r="29" spans="2:97" x14ac:dyDescent="0.3">
      <c r="B29" s="83" t="s">
        <v>86</v>
      </c>
      <c r="C29" s="88">
        <v>264.38181060366855</v>
      </c>
      <c r="D29" s="88">
        <v>142.56722202035141</v>
      </c>
      <c r="E29" s="88">
        <v>48.526960646868929</v>
      </c>
      <c r="F29" s="88">
        <v>210.5776120616259</v>
      </c>
      <c r="G29" s="88">
        <v>281.05948235167222</v>
      </c>
      <c r="H29" s="88">
        <v>236.0150766701025</v>
      </c>
      <c r="I29" s="88">
        <v>267.97914351945985</v>
      </c>
      <c r="J29" s="88">
        <v>161.09591124276352</v>
      </c>
      <c r="K29" s="88">
        <v>26.996871481447577</v>
      </c>
      <c r="L29" s="88">
        <v>379.93543210358911</v>
      </c>
      <c r="M29" s="88">
        <v>104.55143584782357</v>
      </c>
      <c r="N29" s="88">
        <v>43.539577191277161</v>
      </c>
      <c r="O29" s="88">
        <v>295.52328382568408</v>
      </c>
      <c r="P29" s="88">
        <v>192.4829586988316</v>
      </c>
      <c r="Q29" s="88">
        <v>324.79927894448139</v>
      </c>
      <c r="R29" s="88">
        <v>163.92640073097232</v>
      </c>
      <c r="S29" s="88">
        <v>17.139786182395529</v>
      </c>
      <c r="T29" s="88">
        <v>219.8633101965487</v>
      </c>
      <c r="U29" s="88">
        <v>120.45498894924513</v>
      </c>
      <c r="V29" s="88">
        <v>173.19044038538865</v>
      </c>
      <c r="W29" s="88">
        <v>53.54746454333619</v>
      </c>
      <c r="X29" s="88">
        <v>88.581473554097371</v>
      </c>
      <c r="Y29" s="88">
        <v>27.212283055165777</v>
      </c>
      <c r="Z29" s="88">
        <v>61.478637475066563</v>
      </c>
      <c r="AA29" s="88">
        <v>224.48661054642469</v>
      </c>
      <c r="AB29" s="88">
        <v>169.77310980117562</v>
      </c>
      <c r="AC29" s="88">
        <v>0</v>
      </c>
      <c r="AD29" s="88">
        <v>119.84587520863172</v>
      </c>
      <c r="AE29" s="88">
        <v>303.00306729585265</v>
      </c>
      <c r="AF29" s="88">
        <v>339.83202251670798</v>
      </c>
      <c r="AG29" s="88">
        <v>184.84502298504663</v>
      </c>
      <c r="AH29" s="88">
        <v>316.41331636140154</v>
      </c>
      <c r="AI29" s="88">
        <v>218.93183806672508</v>
      </c>
      <c r="AJ29" s="88">
        <v>319.99558324853825</v>
      </c>
      <c r="AK29" s="88">
        <v>54.642983701995306</v>
      </c>
      <c r="AL29" s="88">
        <v>69.281424299315006</v>
      </c>
      <c r="AM29" s="88">
        <v>334.9335470364154</v>
      </c>
      <c r="AN29" s="88">
        <v>34.66772051298382</v>
      </c>
      <c r="AO29" s="88">
        <v>38.583638996788544</v>
      </c>
      <c r="AP29" s="88">
        <v>42.12268733352829</v>
      </c>
      <c r="AQ29" s="88">
        <v>82.710502640612717</v>
      </c>
      <c r="AR29" s="88">
        <v>70.665036140180163</v>
      </c>
      <c r="AS29" s="88">
        <v>64.691298110276094</v>
      </c>
      <c r="AT29" s="88">
        <v>183.38044763189282</v>
      </c>
      <c r="AU29" s="88">
        <v>306.37817328529366</v>
      </c>
      <c r="AV29" s="88">
        <v>395.60571184178673</v>
      </c>
      <c r="AW29" s="88">
        <v>279.05761598308658</v>
      </c>
      <c r="AX29" s="88">
        <v>39.043105951457854</v>
      </c>
      <c r="AY29" s="88">
        <v>42.314299560244613</v>
      </c>
      <c r="AZ29" s="88">
        <v>101.6878193681513</v>
      </c>
      <c r="BA29" s="88">
        <v>86.923935750286603</v>
      </c>
      <c r="BB29" s="88">
        <v>144.29506320050902</v>
      </c>
      <c r="BC29" s="88">
        <v>259.17757405066243</v>
      </c>
      <c r="BD29" s="88">
        <v>167.00612248159914</v>
      </c>
      <c r="BE29" s="88">
        <v>27.339446044036475</v>
      </c>
      <c r="BF29" s="88">
        <v>195.3568672312424</v>
      </c>
      <c r="BG29" s="88">
        <v>126.84352181596134</v>
      </c>
      <c r="BH29" s="88">
        <v>107.16987849031709</v>
      </c>
      <c r="BI29" s="88">
        <v>245.12010070510428</v>
      </c>
      <c r="BJ29" s="88">
        <v>60.366385577242355</v>
      </c>
      <c r="BK29" s="88">
        <v>233.22065019082544</v>
      </c>
      <c r="BL29" s="88">
        <v>265.11159944864545</v>
      </c>
      <c r="BM29" s="88">
        <v>92.962639232015462</v>
      </c>
      <c r="BN29" s="88">
        <v>152.57355192912738</v>
      </c>
      <c r="BO29" s="88">
        <v>239.26073334515587</v>
      </c>
      <c r="BP29" s="88">
        <v>27.725049620462798</v>
      </c>
      <c r="BQ29" s="88">
        <v>204.56235399697573</v>
      </c>
      <c r="BR29" s="88">
        <v>64.892313169769935</v>
      </c>
      <c r="BS29" s="88">
        <v>218.2064172884175</v>
      </c>
      <c r="BT29" s="88">
        <v>254.95941753477325</v>
      </c>
      <c r="BU29" s="88">
        <v>192.10857547832842</v>
      </c>
      <c r="BV29" s="88">
        <v>226.0500077010648</v>
      </c>
      <c r="BW29" s="88">
        <v>246.76318815856621</v>
      </c>
      <c r="BX29" s="88">
        <v>120.47547458593215</v>
      </c>
      <c r="BY29" s="88">
        <v>141.08323292118612</v>
      </c>
      <c r="BZ29" s="88">
        <v>248.53281179967371</v>
      </c>
      <c r="CA29" s="88">
        <v>202.19224522223666</v>
      </c>
      <c r="CB29" s="88">
        <v>302.8693666743884</v>
      </c>
      <c r="CC29" s="88">
        <v>77.854095041773206</v>
      </c>
      <c r="CD29" s="88">
        <v>166.90223431326942</v>
      </c>
      <c r="CE29" s="88">
        <v>70.191401170822516</v>
      </c>
      <c r="CF29" s="88">
        <v>370.73386122914008</v>
      </c>
      <c r="CG29" s="88">
        <v>141.51128582476741</v>
      </c>
      <c r="CH29" s="88">
        <v>57.6298835100961</v>
      </c>
      <c r="CI29" s="88">
        <v>157.07137447440326</v>
      </c>
      <c r="CJ29" s="88">
        <v>362.90530127593746</v>
      </c>
      <c r="CK29" s="88">
        <v>284.7976524090322</v>
      </c>
      <c r="CL29" s="88">
        <v>195.87796677368081</v>
      </c>
      <c r="CM29" s="88">
        <v>177.91476462637462</v>
      </c>
      <c r="CN29" s="88">
        <v>359.35369683569144</v>
      </c>
      <c r="CO29" s="88">
        <v>82.809589528924036</v>
      </c>
      <c r="CP29" s="88">
        <v>24.030516994400731</v>
      </c>
      <c r="CQ29" s="88">
        <v>194.40737106726681</v>
      </c>
      <c r="CR29" s="88">
        <v>113.92054461198228</v>
      </c>
      <c r="CS29" s="89">
        <v>147.70269491358809</v>
      </c>
    </row>
    <row r="30" spans="2:97" x14ac:dyDescent="0.3">
      <c r="B30" s="83" t="s">
        <v>87</v>
      </c>
      <c r="C30" s="88">
        <v>171.23881450644024</v>
      </c>
      <c r="D30" s="88">
        <v>38.924243243473292</v>
      </c>
      <c r="E30" s="88">
        <v>83.390139570618189</v>
      </c>
      <c r="F30" s="88">
        <v>106.52427665123412</v>
      </c>
      <c r="G30" s="88">
        <v>178.08404203170605</v>
      </c>
      <c r="H30" s="88">
        <v>122.81217571091136</v>
      </c>
      <c r="I30" s="88">
        <v>181.63190649776948</v>
      </c>
      <c r="J30" s="88">
        <v>68.895301719385373</v>
      </c>
      <c r="K30" s="88">
        <v>95.671430139952292</v>
      </c>
      <c r="L30" s="88">
        <v>285.10641891585351</v>
      </c>
      <c r="M30" s="88">
        <v>73.184184813426612</v>
      </c>
      <c r="N30" s="88">
        <v>90.233770372513561</v>
      </c>
      <c r="O30" s="88">
        <v>208.63167642661116</v>
      </c>
      <c r="P30" s="88">
        <v>125.03912463703311</v>
      </c>
      <c r="Q30" s="88">
        <v>225.41814694809631</v>
      </c>
      <c r="R30" s="88">
        <v>57.623537665232185</v>
      </c>
      <c r="S30" s="88">
        <v>125.61085509017448</v>
      </c>
      <c r="T30" s="88">
        <v>125.49726274427229</v>
      </c>
      <c r="U30" s="88">
        <v>68.257711294965048</v>
      </c>
      <c r="V30" s="88">
        <v>86.255545041750977</v>
      </c>
      <c r="W30" s="88">
        <v>66.486217248800315</v>
      </c>
      <c r="X30" s="88">
        <v>67.832612654826463</v>
      </c>
      <c r="Y30" s="88">
        <v>146.0390382657198</v>
      </c>
      <c r="Z30" s="88">
        <v>134.26808928372745</v>
      </c>
      <c r="AA30" s="88">
        <v>143.13159287345951</v>
      </c>
      <c r="AB30" s="88">
        <v>53.299865642643567</v>
      </c>
      <c r="AC30" s="88">
        <v>119.84587520863172</v>
      </c>
      <c r="AD30" s="88">
        <v>0</v>
      </c>
      <c r="AE30" s="88">
        <v>211.02975918145157</v>
      </c>
      <c r="AF30" s="88">
        <v>244.33400597309401</v>
      </c>
      <c r="AG30" s="88">
        <v>75.064578073359456</v>
      </c>
      <c r="AH30" s="88">
        <v>222.57767946768877</v>
      </c>
      <c r="AI30" s="88">
        <v>105.53553943538303</v>
      </c>
      <c r="AJ30" s="88">
        <v>232.04485232291447</v>
      </c>
      <c r="AK30" s="88">
        <v>110.49074995215116</v>
      </c>
      <c r="AL30" s="88">
        <v>64.872175436704268</v>
      </c>
      <c r="AM30" s="88">
        <v>244.44194672519075</v>
      </c>
      <c r="AN30" s="88">
        <v>129.3022150296876</v>
      </c>
      <c r="AO30" s="88">
        <v>82.290431622214768</v>
      </c>
      <c r="AP30" s="88">
        <v>105.45228901646948</v>
      </c>
      <c r="AQ30" s="88">
        <v>48.274803443344929</v>
      </c>
      <c r="AR30" s="88">
        <v>84.047579088600216</v>
      </c>
      <c r="AS30" s="88">
        <v>71.295181573037084</v>
      </c>
      <c r="AT30" s="88">
        <v>110.4600901432989</v>
      </c>
      <c r="AU30" s="88">
        <v>209.75541264421511</v>
      </c>
      <c r="AV30" s="88">
        <v>302.74702501041884</v>
      </c>
      <c r="AW30" s="88">
        <v>182.29603357450307</v>
      </c>
      <c r="AX30" s="88">
        <v>158.41686667607402</v>
      </c>
      <c r="AY30" s="88">
        <v>150.95661766053524</v>
      </c>
      <c r="AZ30" s="88">
        <v>20.38327405390088</v>
      </c>
      <c r="BA30" s="88">
        <v>34.209201225218003</v>
      </c>
      <c r="BB30" s="88">
        <v>25.520344322332569</v>
      </c>
      <c r="BC30" s="88">
        <v>157.48153796389633</v>
      </c>
      <c r="BD30" s="88">
        <v>108.34522361508685</v>
      </c>
      <c r="BE30" s="88">
        <v>105.31520046202073</v>
      </c>
      <c r="BF30" s="88">
        <v>79.909233223494965</v>
      </c>
      <c r="BG30" s="88">
        <v>23.882907256208362</v>
      </c>
      <c r="BH30" s="88">
        <v>28.741085337906725</v>
      </c>
      <c r="BI30" s="88">
        <v>137.06842189003774</v>
      </c>
      <c r="BJ30" s="88">
        <v>86.293942157962377</v>
      </c>
      <c r="BK30" s="88">
        <v>126.93026460188007</v>
      </c>
      <c r="BL30" s="88">
        <v>157.61715966038258</v>
      </c>
      <c r="BM30" s="88">
        <v>91.505407662525684</v>
      </c>
      <c r="BN30" s="88">
        <v>38.552074172011189</v>
      </c>
      <c r="BO30" s="88">
        <v>148.51847244851737</v>
      </c>
      <c r="BP30" s="88">
        <v>142.8139609606518</v>
      </c>
      <c r="BQ30" s="88">
        <v>125.71133841511605</v>
      </c>
      <c r="BR30" s="88">
        <v>55.462813637467377</v>
      </c>
      <c r="BS30" s="88">
        <v>144.19972678240069</v>
      </c>
      <c r="BT30" s="88">
        <v>141.89051233665271</v>
      </c>
      <c r="BU30" s="88">
        <v>107.98127643368821</v>
      </c>
      <c r="BV30" s="88">
        <v>122.04896260502728</v>
      </c>
      <c r="BW30" s="88">
        <v>148.0204103277147</v>
      </c>
      <c r="BX30" s="88">
        <v>91.844237458489246</v>
      </c>
      <c r="BY30" s="88">
        <v>56.240459568429905</v>
      </c>
      <c r="BZ30" s="88">
        <v>165.1020439368325</v>
      </c>
      <c r="CA30" s="88">
        <v>92.289030631565296</v>
      </c>
      <c r="CB30" s="88">
        <v>201.41529327654035</v>
      </c>
      <c r="CC30" s="88">
        <v>161.34465147671119</v>
      </c>
      <c r="CD30" s="88">
        <v>94.303145967085186</v>
      </c>
      <c r="CE30" s="88">
        <v>100.34820301518248</v>
      </c>
      <c r="CF30" s="88">
        <v>279.7549265360762</v>
      </c>
      <c r="CG30" s="88">
        <v>93.229733638036734</v>
      </c>
      <c r="CH30" s="88">
        <v>154.63955111561452</v>
      </c>
      <c r="CI30" s="88">
        <v>95.760862069580966</v>
      </c>
      <c r="CJ30" s="88">
        <v>265.71393125006165</v>
      </c>
      <c r="CK30" s="88">
        <v>194.23053338516607</v>
      </c>
      <c r="CL30" s="88">
        <v>95.310965530043418</v>
      </c>
      <c r="CM30" s="88">
        <v>77.96264641374681</v>
      </c>
      <c r="CN30" s="88">
        <v>265.18475191536743</v>
      </c>
      <c r="CO30" s="88">
        <v>42.574343321031712</v>
      </c>
      <c r="CP30" s="88">
        <v>120.93139958349624</v>
      </c>
      <c r="CQ30" s="88">
        <v>101.85140679386323</v>
      </c>
      <c r="CR30" s="88">
        <v>48.371477572552685</v>
      </c>
      <c r="CS30" s="89">
        <v>77.834206980432327</v>
      </c>
    </row>
    <row r="31" spans="2:97" x14ac:dyDescent="0.3">
      <c r="B31" s="83" t="s">
        <v>88</v>
      </c>
      <c r="C31" s="88">
        <v>39.904736751473393</v>
      </c>
      <c r="D31" s="88">
        <v>173.16868778992918</v>
      </c>
      <c r="E31" s="88">
        <v>254.48458562504945</v>
      </c>
      <c r="F31" s="88">
        <v>105.78099274638176</v>
      </c>
      <c r="G31" s="88">
        <v>46.848679869406119</v>
      </c>
      <c r="H31" s="88">
        <v>108.31842023915624</v>
      </c>
      <c r="I31" s="88">
        <v>36.655115488828322</v>
      </c>
      <c r="J31" s="88">
        <v>146.10185068643611</v>
      </c>
      <c r="K31" s="88">
        <v>276.33461070372368</v>
      </c>
      <c r="L31" s="88">
        <v>76.938261875159739</v>
      </c>
      <c r="M31" s="88">
        <v>199.14605443262158</v>
      </c>
      <c r="N31" s="88">
        <v>291.65667720489483</v>
      </c>
      <c r="O31" s="88">
        <v>16.725982088414803</v>
      </c>
      <c r="P31" s="88">
        <v>114.62475521536024</v>
      </c>
      <c r="Q31" s="88">
        <v>32.506782698858594</v>
      </c>
      <c r="R31" s="88">
        <v>153.42076689335644</v>
      </c>
      <c r="S31" s="88">
        <v>315.90570152725491</v>
      </c>
      <c r="T31" s="88">
        <v>86.044896009230683</v>
      </c>
      <c r="U31" s="88">
        <v>182.5828409715445</v>
      </c>
      <c r="V31" s="88">
        <v>131.17584152973691</v>
      </c>
      <c r="W31" s="88">
        <v>261.26982888881071</v>
      </c>
      <c r="X31" s="88">
        <v>214.50049426315383</v>
      </c>
      <c r="Y31" s="88">
        <v>329.41532255959578</v>
      </c>
      <c r="Z31" s="88">
        <v>339.19025813893148</v>
      </c>
      <c r="AA31" s="88">
        <v>79.477029456998793</v>
      </c>
      <c r="AB31" s="88">
        <v>164.1869497874105</v>
      </c>
      <c r="AC31" s="88">
        <v>303.00306729585265</v>
      </c>
      <c r="AD31" s="88">
        <v>211.02975918145157</v>
      </c>
      <c r="AE31" s="88">
        <v>0</v>
      </c>
      <c r="AF31" s="88">
        <v>37.628136495165791</v>
      </c>
      <c r="AG31" s="88">
        <v>138.22573601308645</v>
      </c>
      <c r="AH31" s="88">
        <v>14.131049279617573</v>
      </c>
      <c r="AI31" s="88">
        <v>119.70946679995346</v>
      </c>
      <c r="AJ31" s="88">
        <v>23.39436289689943</v>
      </c>
      <c r="AK31" s="88">
        <v>316.03118390775859</v>
      </c>
      <c r="AL31" s="88">
        <v>272.35388396675688</v>
      </c>
      <c r="AM31" s="88">
        <v>33.413520169485139</v>
      </c>
      <c r="AN31" s="88">
        <v>326.33512126418537</v>
      </c>
      <c r="AO31" s="88">
        <v>275.98020021156424</v>
      </c>
      <c r="AP31" s="88">
        <v>266.64931066251609</v>
      </c>
      <c r="AQ31" s="88">
        <v>223.69895606502635</v>
      </c>
      <c r="AR31" s="88">
        <v>234.19067921949835</v>
      </c>
      <c r="AS31" s="88">
        <v>238.37274327640625</v>
      </c>
      <c r="AT31" s="88">
        <v>120.51259292363937</v>
      </c>
      <c r="AU31" s="88">
        <v>15.952627111669404</v>
      </c>
      <c r="AV31" s="88">
        <v>93.000683323337498</v>
      </c>
      <c r="AW31" s="88">
        <v>30.830887131825829</v>
      </c>
      <c r="AX31" s="88">
        <v>332.95717974665558</v>
      </c>
      <c r="AY31" s="88">
        <v>343.65135372009894</v>
      </c>
      <c r="AZ31" s="88">
        <v>229.70927581219209</v>
      </c>
      <c r="BA31" s="88">
        <v>228.7171014194293</v>
      </c>
      <c r="BB31" s="88">
        <v>189.62728316141806</v>
      </c>
      <c r="BC31" s="88">
        <v>58.366342689685119</v>
      </c>
      <c r="BD31" s="88">
        <v>139.92795126337009</v>
      </c>
      <c r="BE31" s="88">
        <v>301.42426672370692</v>
      </c>
      <c r="BF31" s="88">
        <v>142.48486142200602</v>
      </c>
      <c r="BG31" s="88">
        <v>190.48341860589062</v>
      </c>
      <c r="BH31" s="88">
        <v>204.54353369934685</v>
      </c>
      <c r="BI31" s="88">
        <v>85.452277721087611</v>
      </c>
      <c r="BJ31" s="88">
        <v>293.29490660419714</v>
      </c>
      <c r="BK31" s="88">
        <v>89.98298322227582</v>
      </c>
      <c r="BL31" s="88">
        <v>71.01208837495372</v>
      </c>
      <c r="BM31" s="88">
        <v>215.83132970691568</v>
      </c>
      <c r="BN31" s="88">
        <v>173.66535087441324</v>
      </c>
      <c r="BO31" s="88">
        <v>64.241380262474522</v>
      </c>
      <c r="BP31" s="88">
        <v>313.76415107584393</v>
      </c>
      <c r="BQ31" s="88">
        <v>99.074016776417864</v>
      </c>
      <c r="BR31" s="88">
        <v>246.98488328741001</v>
      </c>
      <c r="BS31" s="88">
        <v>89.132716751223356</v>
      </c>
      <c r="BT31" s="88">
        <v>98.017475404616278</v>
      </c>
      <c r="BU31" s="88">
        <v>111.02300976444066</v>
      </c>
      <c r="BV31" s="88">
        <v>91.546488390053099</v>
      </c>
      <c r="BW31" s="88">
        <v>63.845525382426118</v>
      </c>
      <c r="BX31" s="88">
        <v>187.58188017864427</v>
      </c>
      <c r="BY31" s="88">
        <v>165.01796486304903</v>
      </c>
      <c r="BZ31" s="88">
        <v>56.264340675088761</v>
      </c>
      <c r="CA31" s="88">
        <v>123.42423688972201</v>
      </c>
      <c r="CB31" s="88">
        <v>33.955776772511896</v>
      </c>
      <c r="CC31" s="88">
        <v>365.65968078116629</v>
      </c>
      <c r="CD31" s="88">
        <v>136.25545668802246</v>
      </c>
      <c r="CE31" s="88">
        <v>241.10775370589263</v>
      </c>
      <c r="CF31" s="88">
        <v>68.962897652984154</v>
      </c>
      <c r="CG31" s="88">
        <v>164.59586249882946</v>
      </c>
      <c r="CH31" s="88">
        <v>353.53423885691313</v>
      </c>
      <c r="CI31" s="88">
        <v>147.46699350375229</v>
      </c>
      <c r="CJ31" s="88">
        <v>61.113555650518769</v>
      </c>
      <c r="CK31" s="88">
        <v>18.269708572416146</v>
      </c>
      <c r="CL31" s="88">
        <v>115.71961865855543</v>
      </c>
      <c r="CM31" s="88">
        <v>133.32887252711441</v>
      </c>
      <c r="CN31" s="88">
        <v>56.352887861631196</v>
      </c>
      <c r="CO31" s="88">
        <v>250.17356824993763</v>
      </c>
      <c r="CP31" s="88">
        <v>289.85772232240527</v>
      </c>
      <c r="CQ31" s="88">
        <v>111.20394002750264</v>
      </c>
      <c r="CR31" s="88">
        <v>190.95027743195399</v>
      </c>
      <c r="CS31" s="89">
        <v>155.80874263190336</v>
      </c>
    </row>
    <row r="32" spans="2:97" x14ac:dyDescent="0.3">
      <c r="B32" s="83" t="s">
        <v>89</v>
      </c>
      <c r="C32" s="88">
        <v>75.527889787114859</v>
      </c>
      <c r="D32" s="88">
        <v>207.32058186878007</v>
      </c>
      <c r="E32" s="88">
        <v>291.35308255910678</v>
      </c>
      <c r="F32" s="88">
        <v>137.90709671653786</v>
      </c>
      <c r="G32" s="88">
        <v>69.139910068000077</v>
      </c>
      <c r="H32" s="88">
        <v>133.17185757922118</v>
      </c>
      <c r="I32" s="88">
        <v>74.24723871039221</v>
      </c>
      <c r="J32" s="88">
        <v>181.43786359117681</v>
      </c>
      <c r="K32" s="88">
        <v>313.06383340309986</v>
      </c>
      <c r="L32" s="88">
        <v>40.822210736775496</v>
      </c>
      <c r="M32" s="88">
        <v>236.31855231521251</v>
      </c>
      <c r="N32" s="88">
        <v>327.13548115607279</v>
      </c>
      <c r="O32" s="88">
        <v>50.134504020925078</v>
      </c>
      <c r="P32" s="88">
        <v>152.25235232342047</v>
      </c>
      <c r="Q32" s="88">
        <v>23.112090083799107</v>
      </c>
      <c r="R32" s="88">
        <v>186.83730244601367</v>
      </c>
      <c r="S32" s="88">
        <v>352.4419634326739</v>
      </c>
      <c r="T32" s="88">
        <v>121.15433550885612</v>
      </c>
      <c r="U32" s="88">
        <v>219.54707801257581</v>
      </c>
      <c r="V32" s="88">
        <v>167.24067873152225</v>
      </c>
      <c r="W32" s="88">
        <v>297.02833293223523</v>
      </c>
      <c r="X32" s="88">
        <v>251.46296159123335</v>
      </c>
      <c r="Y32" s="88">
        <v>366.38253454246075</v>
      </c>
      <c r="Z32" s="88">
        <v>374.46709660805021</v>
      </c>
      <c r="AA32" s="88">
        <v>117.01294151017997</v>
      </c>
      <c r="AB32" s="88">
        <v>195.26371871615703</v>
      </c>
      <c r="AC32" s="88">
        <v>339.83202251670798</v>
      </c>
      <c r="AD32" s="88">
        <v>244.33400597309401</v>
      </c>
      <c r="AE32" s="88">
        <v>37.628136495165791</v>
      </c>
      <c r="AF32" s="88">
        <v>0</v>
      </c>
      <c r="AG32" s="88">
        <v>170.0592317578984</v>
      </c>
      <c r="AH32" s="88">
        <v>23.631553720042206</v>
      </c>
      <c r="AI32" s="88">
        <v>147.08434880024132</v>
      </c>
      <c r="AJ32" s="88">
        <v>31.874156148839894</v>
      </c>
      <c r="AK32" s="88">
        <v>351.11594098499484</v>
      </c>
      <c r="AL32" s="88">
        <v>306.87703187428434</v>
      </c>
      <c r="AM32" s="88">
        <v>19.167949806890483</v>
      </c>
      <c r="AN32" s="88">
        <v>362.44830550045742</v>
      </c>
      <c r="AO32" s="88">
        <v>311.98304727092864</v>
      </c>
      <c r="AP32" s="88">
        <v>303.9365105506339</v>
      </c>
      <c r="AQ32" s="88">
        <v>259.79547715173453</v>
      </c>
      <c r="AR32" s="88">
        <v>271.41254367951836</v>
      </c>
      <c r="AS32" s="88">
        <v>275.14906372181423</v>
      </c>
      <c r="AT32" s="88">
        <v>157.91930418827417</v>
      </c>
      <c r="AU32" s="88">
        <v>34.580375836526073</v>
      </c>
      <c r="AV32" s="88">
        <v>58.579105366925383</v>
      </c>
      <c r="AW32" s="88">
        <v>62.183730393524158</v>
      </c>
      <c r="AX32" s="88">
        <v>370.25497165263562</v>
      </c>
      <c r="AY32" s="88">
        <v>380.17850169022722</v>
      </c>
      <c r="AZ32" s="88">
        <v>263.5513794848618</v>
      </c>
      <c r="BA32" s="88">
        <v>263.89982097536767</v>
      </c>
      <c r="BB32" s="88">
        <v>221.81876439525587</v>
      </c>
      <c r="BC32" s="88">
        <v>87.411057979846774</v>
      </c>
      <c r="BD32" s="88">
        <v>177.52794699718362</v>
      </c>
      <c r="BE32" s="88">
        <v>337.46151800933143</v>
      </c>
      <c r="BF32" s="88">
        <v>171.69256350774097</v>
      </c>
      <c r="BG32" s="88">
        <v>224.7744515256168</v>
      </c>
      <c r="BH32" s="88">
        <v>239.78361808493284</v>
      </c>
      <c r="BI32" s="88">
        <v>111.94048324853861</v>
      </c>
      <c r="BJ32" s="88">
        <v>328.02223439766931</v>
      </c>
      <c r="BK32" s="88">
        <v>119.24757457858232</v>
      </c>
      <c r="BL32" s="88">
        <v>93.626442265440588</v>
      </c>
      <c r="BM32" s="88">
        <v>253.32290314193048</v>
      </c>
      <c r="BN32" s="88">
        <v>206.28230716103482</v>
      </c>
      <c r="BO32" s="88">
        <v>100.58412247601225</v>
      </c>
      <c r="BP32" s="88">
        <v>351.08260488598881</v>
      </c>
      <c r="BQ32" s="88">
        <v>136.48607788940242</v>
      </c>
      <c r="BR32" s="88">
        <v>282.75131617802424</v>
      </c>
      <c r="BS32" s="88">
        <v>126.73356346670037</v>
      </c>
      <c r="BT32" s="88">
        <v>119.04038009491194</v>
      </c>
      <c r="BU32" s="88">
        <v>147.72425787132991</v>
      </c>
      <c r="BV32" s="88">
        <v>122.68093007076715</v>
      </c>
      <c r="BW32" s="88">
        <v>96.380484081708175</v>
      </c>
      <c r="BX32" s="88">
        <v>225.12477582332841</v>
      </c>
      <c r="BY32" s="88">
        <v>200.77460680862436</v>
      </c>
      <c r="BZ32" s="88">
        <v>93.89134243356709</v>
      </c>
      <c r="CA32" s="88">
        <v>154.03966552235951</v>
      </c>
      <c r="CB32" s="88">
        <v>46.523819995259757</v>
      </c>
      <c r="CC32" s="88">
        <v>401.1193963429568</v>
      </c>
      <c r="CD32" s="88">
        <v>173.38813029755627</v>
      </c>
      <c r="CE32" s="88">
        <v>278.58544539619686</v>
      </c>
      <c r="CF32" s="88">
        <v>38.090233669760515</v>
      </c>
      <c r="CG32" s="88">
        <v>202.10905343513667</v>
      </c>
      <c r="CH32" s="88">
        <v>389.60361562576469</v>
      </c>
      <c r="CI32" s="88">
        <v>184.89674036935136</v>
      </c>
      <c r="CJ32" s="88">
        <v>23.485424710227353</v>
      </c>
      <c r="CK32" s="88">
        <v>55.781734161110727</v>
      </c>
      <c r="CL32" s="88">
        <v>149.45109497292771</v>
      </c>
      <c r="CM32" s="88">
        <v>167.52437811140922</v>
      </c>
      <c r="CN32" s="88">
        <v>21.046387354969486</v>
      </c>
      <c r="CO32" s="88">
        <v>284.50997990536302</v>
      </c>
      <c r="CP32" s="88">
        <v>327.10732878468252</v>
      </c>
      <c r="CQ32" s="88">
        <v>146.68393563251954</v>
      </c>
      <c r="CR32" s="88">
        <v>227.12949333594204</v>
      </c>
      <c r="CS32" s="89">
        <v>192.74985624594433</v>
      </c>
    </row>
    <row r="33" spans="2:97" x14ac:dyDescent="0.3">
      <c r="B33" s="83" t="s">
        <v>90</v>
      </c>
      <c r="C33" s="88">
        <v>99.175680625790832</v>
      </c>
      <c r="D33" s="88">
        <v>42.312666387155716</v>
      </c>
      <c r="E33" s="88">
        <v>139.64973531246099</v>
      </c>
      <c r="F33" s="88">
        <v>32.446705366741341</v>
      </c>
      <c r="G33" s="88">
        <v>103.06354213542924</v>
      </c>
      <c r="H33" s="88">
        <v>51.271796242388469</v>
      </c>
      <c r="I33" s="88">
        <v>112.50265670139791</v>
      </c>
      <c r="J33" s="88">
        <v>34.710369998229751</v>
      </c>
      <c r="K33" s="88">
        <v>158.2284805204992</v>
      </c>
      <c r="L33" s="88">
        <v>210.69422805329114</v>
      </c>
      <c r="M33" s="88">
        <v>97.287470273144436</v>
      </c>
      <c r="N33" s="88">
        <v>162.71253030047293</v>
      </c>
      <c r="O33" s="88">
        <v>137.966372771626</v>
      </c>
      <c r="P33" s="88">
        <v>80.905500085274866</v>
      </c>
      <c r="Q33" s="88">
        <v>150.58624885056429</v>
      </c>
      <c r="R33" s="88">
        <v>21.033513078154453</v>
      </c>
      <c r="S33" s="88">
        <v>194.0660331383786</v>
      </c>
      <c r="T33" s="88">
        <v>56.182031172966198</v>
      </c>
      <c r="U33" s="88">
        <v>80.306580382019135</v>
      </c>
      <c r="V33" s="88">
        <v>41.309288374112143</v>
      </c>
      <c r="W33" s="88">
        <v>134.96314120916304</v>
      </c>
      <c r="X33" s="88">
        <v>105.54729547345835</v>
      </c>
      <c r="Y33" s="88">
        <v>212.02670800432256</v>
      </c>
      <c r="Z33" s="88">
        <v>208.48027425517958</v>
      </c>
      <c r="AA33" s="88">
        <v>81.531621145260544</v>
      </c>
      <c r="AB33" s="88">
        <v>26.342080472156955</v>
      </c>
      <c r="AC33" s="88">
        <v>184.84502298504663</v>
      </c>
      <c r="AD33" s="88">
        <v>75.064578073359456</v>
      </c>
      <c r="AE33" s="88">
        <v>138.22573601308645</v>
      </c>
      <c r="AF33" s="88">
        <v>170.0592317578984</v>
      </c>
      <c r="AG33" s="88">
        <v>0</v>
      </c>
      <c r="AH33" s="88">
        <v>148.96235281531347</v>
      </c>
      <c r="AI33" s="88">
        <v>34.55504103351663</v>
      </c>
      <c r="AJ33" s="88">
        <v>160.24903166709373</v>
      </c>
      <c r="AK33" s="88">
        <v>184.73522195145597</v>
      </c>
      <c r="AL33" s="88">
        <v>139.36707036714142</v>
      </c>
      <c r="AM33" s="88">
        <v>171.51134132343077</v>
      </c>
      <c r="AN33" s="88">
        <v>200.67326167198152</v>
      </c>
      <c r="AO33" s="88">
        <v>150.91465698981185</v>
      </c>
      <c r="AP33" s="88">
        <v>158.32669536302097</v>
      </c>
      <c r="AQ33" s="88">
        <v>102.38664047119525</v>
      </c>
      <c r="AR33" s="88">
        <v>127.69687565129716</v>
      </c>
      <c r="AS33" s="88">
        <v>123.6014452506612</v>
      </c>
      <c r="AT33" s="88">
        <v>67.092688503725597</v>
      </c>
      <c r="AU33" s="88">
        <v>135.56415971898821</v>
      </c>
      <c r="AV33" s="88">
        <v>228.61801890751181</v>
      </c>
      <c r="AW33" s="88">
        <v>108.49279913938341</v>
      </c>
      <c r="AX33" s="88">
        <v>220.90426496837077</v>
      </c>
      <c r="AY33" s="88">
        <v>220.96762846325962</v>
      </c>
      <c r="AZ33" s="88">
        <v>95.01551679756858</v>
      </c>
      <c r="BA33" s="88">
        <v>100.04267800387767</v>
      </c>
      <c r="BB33" s="88">
        <v>51.760541804812391</v>
      </c>
      <c r="BC33" s="88">
        <v>82.773974366715166</v>
      </c>
      <c r="BD33" s="88">
        <v>80.555083316622984</v>
      </c>
      <c r="BE33" s="88">
        <v>175.81651858043315</v>
      </c>
      <c r="BF33" s="88">
        <v>18.769029144646009</v>
      </c>
      <c r="BG33" s="88">
        <v>58.914463148329816</v>
      </c>
      <c r="BH33" s="88">
        <v>77.753943028383532</v>
      </c>
      <c r="BI33" s="88">
        <v>62.247277652476868</v>
      </c>
      <c r="BJ33" s="88">
        <v>160.81071485680545</v>
      </c>
      <c r="BK33" s="88">
        <v>51.866153455986819</v>
      </c>
      <c r="BL33" s="88">
        <v>82.803358419587326</v>
      </c>
      <c r="BM33" s="88">
        <v>120.30136797032914</v>
      </c>
      <c r="BN33" s="88">
        <v>36.541637609978302</v>
      </c>
      <c r="BO33" s="88">
        <v>79.215806353902735</v>
      </c>
      <c r="BP33" s="88">
        <v>203.05406872115944</v>
      </c>
      <c r="BQ33" s="88">
        <v>70.387656895541809</v>
      </c>
      <c r="BR33" s="88">
        <v>121.35102836861981</v>
      </c>
      <c r="BS33" s="88">
        <v>88.527740328505587</v>
      </c>
      <c r="BT33" s="88">
        <v>70.120948909983341</v>
      </c>
      <c r="BU33" s="88">
        <v>53.494235838191948</v>
      </c>
      <c r="BV33" s="88">
        <v>47.380920856438443</v>
      </c>
      <c r="BW33" s="88">
        <v>74.427847015796402</v>
      </c>
      <c r="BX33" s="88">
        <v>101.40157119404243</v>
      </c>
      <c r="BY33" s="88">
        <v>50.026675032996472</v>
      </c>
      <c r="BZ33" s="88">
        <v>99.029341498020187</v>
      </c>
      <c r="CA33" s="88">
        <v>17.605806725627907</v>
      </c>
      <c r="CB33" s="88">
        <v>126.44621496435188</v>
      </c>
      <c r="CC33" s="88">
        <v>235.52791059977713</v>
      </c>
      <c r="CD33" s="88">
        <v>60.95569921532789</v>
      </c>
      <c r="CE33" s="88">
        <v>141.0429443257332</v>
      </c>
      <c r="CF33" s="88">
        <v>206.24362978150489</v>
      </c>
      <c r="CG33" s="88">
        <v>85.285715047970442</v>
      </c>
      <c r="CH33" s="88">
        <v>227.04667788061073</v>
      </c>
      <c r="CI33" s="88">
        <v>73.440444795838644</v>
      </c>
      <c r="CJ33" s="88">
        <v>191.00733695325917</v>
      </c>
      <c r="CK33" s="88">
        <v>122.44441061021033</v>
      </c>
      <c r="CL33" s="88">
        <v>26.101639531760149</v>
      </c>
      <c r="CM33" s="88">
        <v>20.290427759653827</v>
      </c>
      <c r="CN33" s="88">
        <v>191.03167539905277</v>
      </c>
      <c r="CO33" s="88">
        <v>116.83159056370029</v>
      </c>
      <c r="CP33" s="88">
        <v>179.03250968896677</v>
      </c>
      <c r="CQ33" s="88">
        <v>40.064953425685964</v>
      </c>
      <c r="CR33" s="88">
        <v>74.657690656089102</v>
      </c>
      <c r="CS33" s="89">
        <v>62.067381984216269</v>
      </c>
    </row>
    <row r="34" spans="2:97" x14ac:dyDescent="0.3">
      <c r="B34" s="83" t="s">
        <v>91</v>
      </c>
      <c r="C34" s="88">
        <v>52.387456682537447</v>
      </c>
      <c r="D34" s="88">
        <v>185.1070987511612</v>
      </c>
      <c r="E34" s="88">
        <v>267.91484953135904</v>
      </c>
      <c r="F34" s="88">
        <v>116.57706197693045</v>
      </c>
      <c r="G34" s="88">
        <v>51.913202057330999</v>
      </c>
      <c r="H34" s="88">
        <v>115.62315911345993</v>
      </c>
      <c r="I34" s="88">
        <v>50.774928697872291</v>
      </c>
      <c r="J34" s="88">
        <v>158.63568852897595</v>
      </c>
      <c r="K34" s="88">
        <v>289.68347364860784</v>
      </c>
      <c r="L34" s="88">
        <v>63.648848350341872</v>
      </c>
      <c r="M34" s="88">
        <v>212.76615715059881</v>
      </c>
      <c r="N34" s="88">
        <v>304.32458831602617</v>
      </c>
      <c r="O34" s="88">
        <v>28.704007076320746</v>
      </c>
      <c r="P34" s="88">
        <v>128.67210679899279</v>
      </c>
      <c r="Q34" s="88">
        <v>21.717925692896426</v>
      </c>
      <c r="R34" s="88">
        <v>164.96735683905641</v>
      </c>
      <c r="S34" s="88">
        <v>329.14665467832208</v>
      </c>
      <c r="T34" s="88">
        <v>98.374996610253348</v>
      </c>
      <c r="U34" s="88">
        <v>196.06449560528904</v>
      </c>
      <c r="V34" s="88">
        <v>144.10352023251599</v>
      </c>
      <c r="W34" s="88">
        <v>274.07784513988491</v>
      </c>
      <c r="X34" s="88">
        <v>227.98498530346157</v>
      </c>
      <c r="Y34" s="88">
        <v>342.91105801358901</v>
      </c>
      <c r="Z34" s="88">
        <v>351.76343128214842</v>
      </c>
      <c r="AA34" s="88">
        <v>93.382228465079933</v>
      </c>
      <c r="AB34" s="88">
        <v>174.60850868997593</v>
      </c>
      <c r="AC34" s="88">
        <v>316.41331636140154</v>
      </c>
      <c r="AD34" s="88">
        <v>222.57767946768877</v>
      </c>
      <c r="AE34" s="88">
        <v>14.131049279617573</v>
      </c>
      <c r="AF34" s="88">
        <v>23.631553720042206</v>
      </c>
      <c r="AG34" s="88">
        <v>148.96235281531347</v>
      </c>
      <c r="AH34" s="88">
        <v>0</v>
      </c>
      <c r="AI34" s="88">
        <v>128.25298067911868</v>
      </c>
      <c r="AJ34" s="88">
        <v>21.31053007439878</v>
      </c>
      <c r="AK34" s="88">
        <v>328.50267417218839</v>
      </c>
      <c r="AL34" s="88">
        <v>284.53237121971404</v>
      </c>
      <c r="AM34" s="88">
        <v>23.671365935238889</v>
      </c>
      <c r="AN34" s="88">
        <v>339.34336822233547</v>
      </c>
      <c r="AO34" s="88">
        <v>288.92174535034809</v>
      </c>
      <c r="AP34" s="88">
        <v>280.35247283533141</v>
      </c>
      <c r="AQ34" s="88">
        <v>236.68084815014456</v>
      </c>
      <c r="AR34" s="88">
        <v>247.84680046509126</v>
      </c>
      <c r="AS34" s="88">
        <v>251.74564627808064</v>
      </c>
      <c r="AT34" s="88">
        <v>134.29987074426762</v>
      </c>
      <c r="AU34" s="88">
        <v>15.22738901807943</v>
      </c>
      <c r="AV34" s="88">
        <v>80.398128894820445</v>
      </c>
      <c r="AW34" s="88">
        <v>40.47086104320087</v>
      </c>
      <c r="AX34" s="88">
        <v>346.66958369598751</v>
      </c>
      <c r="AY34" s="88">
        <v>356.88945077351974</v>
      </c>
      <c r="AZ34" s="88">
        <v>241.53255183693503</v>
      </c>
      <c r="BA34" s="88">
        <v>241.21441936477802</v>
      </c>
      <c r="BB34" s="88">
        <v>200.61755280991622</v>
      </c>
      <c r="BC34" s="88">
        <v>67.234319451023197</v>
      </c>
      <c r="BD34" s="88">
        <v>153.90939855731636</v>
      </c>
      <c r="BE34" s="88">
        <v>314.38835254415415</v>
      </c>
      <c r="BF34" s="88">
        <v>151.97311270934588</v>
      </c>
      <c r="BG34" s="88">
        <v>202.5057772111924</v>
      </c>
      <c r="BH34" s="88">
        <v>217.06089573944877</v>
      </c>
      <c r="BI34" s="88">
        <v>93.344084854799362</v>
      </c>
      <c r="BJ34" s="88">
        <v>305.58148618400418</v>
      </c>
      <c r="BK34" s="88">
        <v>99.270236155993885</v>
      </c>
      <c r="BL34" s="88">
        <v>76.853345491331964</v>
      </c>
      <c r="BM34" s="88">
        <v>229.69369787526048</v>
      </c>
      <c r="BN34" s="88">
        <v>184.8425050767334</v>
      </c>
      <c r="BO34" s="88">
        <v>77.26717906274321</v>
      </c>
      <c r="BP34" s="88">
        <v>327.49092687375395</v>
      </c>
      <c r="BQ34" s="88">
        <v>112.86422843736982</v>
      </c>
      <c r="BR34" s="88">
        <v>259.79380083687403</v>
      </c>
      <c r="BS34" s="88">
        <v>103.23894098535789</v>
      </c>
      <c r="BT34" s="88">
        <v>103.48417368742507</v>
      </c>
      <c r="BU34" s="88">
        <v>124.3193867789233</v>
      </c>
      <c r="BV34" s="88">
        <v>101.78103315943318</v>
      </c>
      <c r="BW34" s="88">
        <v>74.651817543601794</v>
      </c>
      <c r="BX34" s="88">
        <v>201.4934107475797</v>
      </c>
      <c r="BY34" s="88">
        <v>177.79256158685394</v>
      </c>
      <c r="BZ34" s="88">
        <v>70.339847972411192</v>
      </c>
      <c r="CA34" s="88">
        <v>133.52770969067879</v>
      </c>
      <c r="CB34" s="88">
        <v>33.142553593645246</v>
      </c>
      <c r="CC34" s="88">
        <v>378.33012720737753</v>
      </c>
      <c r="CD34" s="88">
        <v>149.84108172216023</v>
      </c>
      <c r="CE34" s="88">
        <v>254.95806482895927</v>
      </c>
      <c r="CF34" s="88">
        <v>57.284311928922563</v>
      </c>
      <c r="CG34" s="88">
        <v>178.47787765540826</v>
      </c>
      <c r="CH34" s="88">
        <v>366.52194054246587</v>
      </c>
      <c r="CI34" s="88">
        <v>161.27468700003311</v>
      </c>
      <c r="CJ34" s="88">
        <v>47.092588817503817</v>
      </c>
      <c r="CK34" s="88">
        <v>32.158659148078307</v>
      </c>
      <c r="CL34" s="88">
        <v>127.3659290186047</v>
      </c>
      <c r="CM34" s="88">
        <v>145.24598773222789</v>
      </c>
      <c r="CN34" s="88">
        <v>43.158719390065933</v>
      </c>
      <c r="CO34" s="88">
        <v>262.25094813056785</v>
      </c>
      <c r="CP34" s="88">
        <v>303.53526156997054</v>
      </c>
      <c r="CQ34" s="88">
        <v>123.78319339401715</v>
      </c>
      <c r="CR34" s="88">
        <v>203.96924587649067</v>
      </c>
      <c r="CS34" s="89">
        <v>169.25434759774117</v>
      </c>
    </row>
    <row r="35" spans="2:97" x14ac:dyDescent="0.3">
      <c r="B35" s="83" t="s">
        <v>92</v>
      </c>
      <c r="C35" s="88">
        <v>84.452617585143557</v>
      </c>
      <c r="D35" s="88">
        <v>76.427940441932819</v>
      </c>
      <c r="E35" s="88">
        <v>174.13804897889804</v>
      </c>
      <c r="F35" s="88">
        <v>28.787562786897599</v>
      </c>
      <c r="G35" s="88">
        <v>78.002215397211671</v>
      </c>
      <c r="H35" s="88">
        <v>17.326335689516881</v>
      </c>
      <c r="I35" s="88">
        <v>101.79730968322137</v>
      </c>
      <c r="J35" s="88">
        <v>66.500891189928325</v>
      </c>
      <c r="K35" s="88">
        <v>192.45158677595907</v>
      </c>
      <c r="L35" s="88">
        <v>186.74437417554697</v>
      </c>
      <c r="M35" s="88">
        <v>131.04760288215081</v>
      </c>
      <c r="N35" s="88">
        <v>195.0471595509126</v>
      </c>
      <c r="O35" s="88">
        <v>123.3433277056083</v>
      </c>
      <c r="P35" s="88">
        <v>96.970661952715517</v>
      </c>
      <c r="Q35" s="88">
        <v>125.791467816514</v>
      </c>
      <c r="R35" s="88">
        <v>55.545638908877677</v>
      </c>
      <c r="S35" s="88">
        <v>227.66439931618939</v>
      </c>
      <c r="T35" s="88">
        <v>53.958124761659398</v>
      </c>
      <c r="U35" s="88">
        <v>113.65267329820581</v>
      </c>
      <c r="V35" s="88">
        <v>66.723925445729009</v>
      </c>
      <c r="W35" s="88">
        <v>168.26120226805125</v>
      </c>
      <c r="X35" s="88">
        <v>139.96115551088161</v>
      </c>
      <c r="Y35" s="88">
        <v>246.06863357124189</v>
      </c>
      <c r="Z35" s="88">
        <v>239.80292783935337</v>
      </c>
      <c r="AA35" s="88">
        <v>83.858390733918469</v>
      </c>
      <c r="AB35" s="88">
        <v>52.379824377672321</v>
      </c>
      <c r="AC35" s="88">
        <v>218.93183806672508</v>
      </c>
      <c r="AD35" s="88">
        <v>105.53553943538303</v>
      </c>
      <c r="AE35" s="88">
        <v>119.70946679995346</v>
      </c>
      <c r="AF35" s="88">
        <v>147.08434880024132</v>
      </c>
      <c r="AG35" s="88">
        <v>34.55504103351663</v>
      </c>
      <c r="AH35" s="88">
        <v>128.25298067911868</v>
      </c>
      <c r="AI35" s="88">
        <v>0</v>
      </c>
      <c r="AJ35" s="88">
        <v>142.90054973883136</v>
      </c>
      <c r="AK35" s="88">
        <v>216.02444788304697</v>
      </c>
      <c r="AL35" s="88">
        <v>170.40760242741226</v>
      </c>
      <c r="AM35" s="88">
        <v>151.75043595329521</v>
      </c>
      <c r="AN35" s="88">
        <v>233.53578814193418</v>
      </c>
      <c r="AO35" s="88">
        <v>184.29538543661906</v>
      </c>
      <c r="AP35" s="88">
        <v>192.87963304244414</v>
      </c>
      <c r="AQ35" s="88">
        <v>136.71480877712222</v>
      </c>
      <c r="AR35" s="88">
        <v>162.13696193213539</v>
      </c>
      <c r="AS35" s="88">
        <v>158.13324778705984</v>
      </c>
      <c r="AT35" s="88">
        <v>86.211905628598842</v>
      </c>
      <c r="AU35" s="88">
        <v>113.6491159258991</v>
      </c>
      <c r="AV35" s="88">
        <v>205.29368742255468</v>
      </c>
      <c r="AW35" s="88">
        <v>88.880285666135507</v>
      </c>
      <c r="AX35" s="88">
        <v>255.29355291599578</v>
      </c>
      <c r="AY35" s="88">
        <v>254.28341094949153</v>
      </c>
      <c r="AZ35" s="88">
        <v>125.89818900044172</v>
      </c>
      <c r="BA35" s="88">
        <v>133.28750978831494</v>
      </c>
      <c r="BB35" s="88">
        <v>80.447608074613541</v>
      </c>
      <c r="BC35" s="88">
        <v>61.357110584993194</v>
      </c>
      <c r="BD35" s="88">
        <v>104.53914341039891</v>
      </c>
      <c r="BE35" s="88">
        <v>208.874449395445</v>
      </c>
      <c r="BF35" s="88">
        <v>26.055816705073767</v>
      </c>
      <c r="BG35" s="88">
        <v>92.320819627574025</v>
      </c>
      <c r="BH35" s="88">
        <v>111.76311869707901</v>
      </c>
      <c r="BI35" s="88">
        <v>35.14450160113978</v>
      </c>
      <c r="BJ35" s="88">
        <v>191.8216801475331</v>
      </c>
      <c r="BK35" s="88">
        <v>30.29569100917147</v>
      </c>
      <c r="BL35" s="88">
        <v>54.483527040686603</v>
      </c>
      <c r="BM35" s="88">
        <v>153.85803461428478</v>
      </c>
      <c r="BN35" s="88">
        <v>67.719267209010354</v>
      </c>
      <c r="BO35" s="88">
        <v>71.959733207965542</v>
      </c>
      <c r="BP35" s="88">
        <v>237.53369654757785</v>
      </c>
      <c r="BQ35" s="88">
        <v>80.686689854132254</v>
      </c>
      <c r="BR35" s="88">
        <v>154.93572801892688</v>
      </c>
      <c r="BS35" s="88">
        <v>95.259006041774526</v>
      </c>
      <c r="BT35" s="88">
        <v>36.462336332896179</v>
      </c>
      <c r="BU35" s="88">
        <v>68.832735538035791</v>
      </c>
      <c r="BV35" s="88">
        <v>32.498654376932315</v>
      </c>
      <c r="BW35" s="88">
        <v>58.50104971161025</v>
      </c>
      <c r="BX35" s="88">
        <v>133.17363511659227</v>
      </c>
      <c r="BY35" s="88">
        <v>83.911202525979377</v>
      </c>
      <c r="BZ35" s="88">
        <v>93.777912895244896</v>
      </c>
      <c r="CA35" s="88">
        <v>19.101216037754497</v>
      </c>
      <c r="CB35" s="88">
        <v>101.23386502231502</v>
      </c>
      <c r="CC35" s="88">
        <v>266.88003745634376</v>
      </c>
      <c r="CD35" s="88">
        <v>86.180339678454018</v>
      </c>
      <c r="CE35" s="88">
        <v>175.2343966586196</v>
      </c>
      <c r="CF35" s="88">
        <v>184.64335167243414</v>
      </c>
      <c r="CG35" s="88">
        <v>114.79822572370142</v>
      </c>
      <c r="CH35" s="88">
        <v>259.54820354636348</v>
      </c>
      <c r="CI35" s="88">
        <v>100.41655948781938</v>
      </c>
      <c r="CJ35" s="88">
        <v>166.2256745669288</v>
      </c>
      <c r="CK35" s="88">
        <v>106.67102968229042</v>
      </c>
      <c r="CL35" s="88">
        <v>39.086868054867828</v>
      </c>
      <c r="CM35" s="88">
        <v>48.727410193461075</v>
      </c>
      <c r="CN35" s="88">
        <v>168.07958978093416</v>
      </c>
      <c r="CO35" s="88">
        <v>148.05416842999028</v>
      </c>
      <c r="CP35" s="88">
        <v>213.54962254517056</v>
      </c>
      <c r="CQ35" s="88">
        <v>54.008093606807265</v>
      </c>
      <c r="CR35" s="88">
        <v>109.15907836687769</v>
      </c>
      <c r="CS35" s="89">
        <v>92.692295238536076</v>
      </c>
    </row>
    <row r="36" spans="2:97" x14ac:dyDescent="0.3">
      <c r="B36" s="83" t="s">
        <v>93</v>
      </c>
      <c r="C36" s="88">
        <v>61.111574028760387</v>
      </c>
      <c r="D36" s="88">
        <v>193.75720179304778</v>
      </c>
      <c r="E36" s="88">
        <v>271.50277319314557</v>
      </c>
      <c r="F36" s="88">
        <v>127.88213771312836</v>
      </c>
      <c r="G36" s="88">
        <v>69.831337297706384</v>
      </c>
      <c r="H36" s="88">
        <v>131.70442619994049</v>
      </c>
      <c r="I36" s="88">
        <v>52.170998850965525</v>
      </c>
      <c r="J36" s="88">
        <v>165.81880120321051</v>
      </c>
      <c r="K36" s="88">
        <v>293.59020657730446</v>
      </c>
      <c r="L36" s="88">
        <v>62.8728652203596</v>
      </c>
      <c r="M36" s="88">
        <v>215.57916008650744</v>
      </c>
      <c r="N36" s="88">
        <v>310.70507474006763</v>
      </c>
      <c r="O36" s="88">
        <v>24.477552771915541</v>
      </c>
      <c r="P36" s="88">
        <v>128.83815886338903</v>
      </c>
      <c r="Q36" s="88">
        <v>41.686069909189705</v>
      </c>
      <c r="R36" s="88">
        <v>174.58628237235797</v>
      </c>
      <c r="S36" s="88">
        <v>333.44288875220644</v>
      </c>
      <c r="T36" s="88">
        <v>106.56459880125009</v>
      </c>
      <c r="U36" s="88">
        <v>199.64591854932448</v>
      </c>
      <c r="V36" s="88">
        <v>150.15257861000623</v>
      </c>
      <c r="W36" s="88">
        <v>280.05767900271371</v>
      </c>
      <c r="X36" s="88">
        <v>231.43012718776359</v>
      </c>
      <c r="Y36" s="88">
        <v>346.04563854561945</v>
      </c>
      <c r="Z36" s="88">
        <v>358.37673203537753</v>
      </c>
      <c r="AA36" s="88">
        <v>95.51632194156393</v>
      </c>
      <c r="AB36" s="88">
        <v>186.3922122118864</v>
      </c>
      <c r="AC36" s="88">
        <v>319.99558324853825</v>
      </c>
      <c r="AD36" s="88">
        <v>232.04485232291447</v>
      </c>
      <c r="AE36" s="88">
        <v>23.39436289689943</v>
      </c>
      <c r="AF36" s="88">
        <v>31.874156148839894</v>
      </c>
      <c r="AG36" s="88">
        <v>160.24903166709373</v>
      </c>
      <c r="AH36" s="88">
        <v>21.31053007439878</v>
      </c>
      <c r="AI36" s="88">
        <v>142.90054973883136</v>
      </c>
      <c r="AJ36" s="88">
        <v>0</v>
      </c>
      <c r="AK36" s="88">
        <v>335.44769699120212</v>
      </c>
      <c r="AL36" s="88">
        <v>292.35690955510785</v>
      </c>
      <c r="AM36" s="88">
        <v>16.408413342455681</v>
      </c>
      <c r="AN36" s="88">
        <v>344.52469069946926</v>
      </c>
      <c r="AO36" s="88">
        <v>294.41931206773756</v>
      </c>
      <c r="AP36" s="88">
        <v>282.48788336809122</v>
      </c>
      <c r="AQ36" s="88">
        <v>242.15000212854872</v>
      </c>
      <c r="AR36" s="88">
        <v>250.34099550665329</v>
      </c>
      <c r="AS36" s="88">
        <v>255.63366674728849</v>
      </c>
      <c r="AT36" s="88">
        <v>136.63818415236679</v>
      </c>
      <c r="AU36" s="88">
        <v>34.942502903745527</v>
      </c>
      <c r="AV36" s="88">
        <v>76.209157232349725</v>
      </c>
      <c r="AW36" s="88">
        <v>54.103838696969113</v>
      </c>
      <c r="AX36" s="88">
        <v>348.62191223540117</v>
      </c>
      <c r="AY36" s="88">
        <v>361.1588549553345</v>
      </c>
      <c r="AZ36" s="88">
        <v>250.32634398747237</v>
      </c>
      <c r="BA36" s="88">
        <v>248.22758974665842</v>
      </c>
      <c r="BB36" s="88">
        <v>211.29564638614829</v>
      </c>
      <c r="BC36" s="88">
        <v>81.622828608244959</v>
      </c>
      <c r="BD36" s="88">
        <v>154.55204883089425</v>
      </c>
      <c r="BE36" s="88">
        <v>319.76421658098405</v>
      </c>
      <c r="BF36" s="88">
        <v>165.29660125826089</v>
      </c>
      <c r="BG36" s="88">
        <v>210.89811196680887</v>
      </c>
      <c r="BH36" s="88">
        <v>224.07516955527294</v>
      </c>
      <c r="BI36" s="88">
        <v>108.80592927311179</v>
      </c>
      <c r="BJ36" s="88">
        <v>313.08292926138796</v>
      </c>
      <c r="BK36" s="88">
        <v>113.00463099564207</v>
      </c>
      <c r="BL36" s="88">
        <v>94.276389943925722</v>
      </c>
      <c r="BM36" s="88">
        <v>230.92189392776712</v>
      </c>
      <c r="BN36" s="88">
        <v>195.18193416244409</v>
      </c>
      <c r="BO36" s="88">
        <v>83.811433989182319</v>
      </c>
      <c r="BP36" s="88">
        <v>329.38702206667313</v>
      </c>
      <c r="BQ36" s="88">
        <v>115.44609670468822</v>
      </c>
      <c r="BR36" s="88">
        <v>265.7993275096515</v>
      </c>
      <c r="BS36" s="88">
        <v>102.82825700495306</v>
      </c>
      <c r="BT36" s="88">
        <v>121.25908765082271</v>
      </c>
      <c r="BU36" s="88">
        <v>129.1887738540243</v>
      </c>
      <c r="BV36" s="88">
        <v>114.1094793835444</v>
      </c>
      <c r="BW36" s="88">
        <v>86.235663184107452</v>
      </c>
      <c r="BX36" s="88">
        <v>202.45559520061232</v>
      </c>
      <c r="BY36" s="88">
        <v>184.15778304868891</v>
      </c>
      <c r="BZ36" s="88">
        <v>71.462817674339064</v>
      </c>
      <c r="CA36" s="88">
        <v>145.94612897776705</v>
      </c>
      <c r="CB36" s="88">
        <v>53.734272297376101</v>
      </c>
      <c r="CC36" s="88">
        <v>384.6130843713733</v>
      </c>
      <c r="CD36" s="88">
        <v>153.18408437080748</v>
      </c>
      <c r="CE36" s="88">
        <v>256.19159117095722</v>
      </c>
      <c r="CF36" s="88">
        <v>50.932815927713079</v>
      </c>
      <c r="CG36" s="88">
        <v>179.80113694691315</v>
      </c>
      <c r="CH36" s="88">
        <v>371.74442997547953</v>
      </c>
      <c r="CI36" s="88">
        <v>163.24530984703773</v>
      </c>
      <c r="CJ36" s="88">
        <v>52.372998482953562</v>
      </c>
      <c r="CK36" s="88">
        <v>37.886195494658722</v>
      </c>
      <c r="CL36" s="88">
        <v>136.93226571393376</v>
      </c>
      <c r="CM36" s="88">
        <v>154.10260556918291</v>
      </c>
      <c r="CN36" s="88">
        <v>43.289636603356513</v>
      </c>
      <c r="CO36" s="88">
        <v>270.37597933401662</v>
      </c>
      <c r="CP36" s="88">
        <v>305.77093106200533</v>
      </c>
      <c r="CQ36" s="88">
        <v>131.05747511674511</v>
      </c>
      <c r="CR36" s="88">
        <v>209.40747437585492</v>
      </c>
      <c r="CS36" s="89">
        <v>173.25015493596075</v>
      </c>
    </row>
    <row r="37" spans="2:97" x14ac:dyDescent="0.3">
      <c r="B37" s="83" t="s">
        <v>94</v>
      </c>
      <c r="C37" s="88">
        <v>276.22385313738533</v>
      </c>
      <c r="D37" s="88">
        <v>144.27243807338849</v>
      </c>
      <c r="E37" s="88">
        <v>79.022628390549897</v>
      </c>
      <c r="F37" s="88">
        <v>214.8846996336548</v>
      </c>
      <c r="G37" s="88">
        <v>286.96025010317709</v>
      </c>
      <c r="H37" s="88">
        <v>233.30261624669163</v>
      </c>
      <c r="I37" s="88">
        <v>283.52581384833786</v>
      </c>
      <c r="J37" s="88">
        <v>169.92988150639749</v>
      </c>
      <c r="K37" s="88">
        <v>61.071084817601978</v>
      </c>
      <c r="L37" s="88">
        <v>391.90324980208504</v>
      </c>
      <c r="M37" s="88">
        <v>129.29145963236741</v>
      </c>
      <c r="N37" s="88">
        <v>26.041036191805492</v>
      </c>
      <c r="O37" s="88">
        <v>311.22986651537616</v>
      </c>
      <c r="P37" s="88">
        <v>214.12788488953802</v>
      </c>
      <c r="Q37" s="88">
        <v>333.4829012111777</v>
      </c>
      <c r="R37" s="88">
        <v>165.52241338294743</v>
      </c>
      <c r="S37" s="88">
        <v>42.694407325862251</v>
      </c>
      <c r="T37" s="88">
        <v>230.12957616610524</v>
      </c>
      <c r="U37" s="88">
        <v>140.56326567561933</v>
      </c>
      <c r="V37" s="88">
        <v>185.29923056762448</v>
      </c>
      <c r="W37" s="88">
        <v>56.794229532568679</v>
      </c>
      <c r="X37" s="88">
        <v>112.50474074121925</v>
      </c>
      <c r="Y37" s="88">
        <v>63.416738856906733</v>
      </c>
      <c r="Z37" s="88">
        <v>23.780921762810184</v>
      </c>
      <c r="AA37" s="88">
        <v>241.42394170464283</v>
      </c>
      <c r="AB37" s="88">
        <v>163.75655192639636</v>
      </c>
      <c r="AC37" s="88">
        <v>54.642983701995306</v>
      </c>
      <c r="AD37" s="88">
        <v>110.49074995215116</v>
      </c>
      <c r="AE37" s="88">
        <v>316.03118390775859</v>
      </c>
      <c r="AF37" s="88">
        <v>351.11594098499484</v>
      </c>
      <c r="AG37" s="88">
        <v>184.73522195145597</v>
      </c>
      <c r="AH37" s="88">
        <v>328.50267417218839</v>
      </c>
      <c r="AI37" s="88">
        <v>216.02444788304697</v>
      </c>
      <c r="AJ37" s="88">
        <v>335.44769699120212</v>
      </c>
      <c r="AK37" s="88">
        <v>0</v>
      </c>
      <c r="AL37" s="88">
        <v>45.627441073589836</v>
      </c>
      <c r="AM37" s="88">
        <v>349.13612247259545</v>
      </c>
      <c r="AN37" s="88">
        <v>30.71320773533143</v>
      </c>
      <c r="AO37" s="88">
        <v>45.973234423904984</v>
      </c>
      <c r="AP37" s="88">
        <v>86.815413133530527</v>
      </c>
      <c r="AQ37" s="88">
        <v>94.838673884717508</v>
      </c>
      <c r="AR37" s="88">
        <v>103.28015662735309</v>
      </c>
      <c r="AS37" s="88">
        <v>89.366210318041894</v>
      </c>
      <c r="AT37" s="88">
        <v>202.26684354163288</v>
      </c>
      <c r="AU37" s="88">
        <v>316.68269407441824</v>
      </c>
      <c r="AV37" s="88">
        <v>408.87475407838394</v>
      </c>
      <c r="AW37" s="88">
        <v>288.98643669019822</v>
      </c>
      <c r="AX37" s="88">
        <v>82.808125787924951</v>
      </c>
      <c r="AY37" s="88">
        <v>52.405099509032759</v>
      </c>
      <c r="AZ37" s="88">
        <v>90.128354778440666</v>
      </c>
      <c r="BA37" s="88">
        <v>87.31408501643115</v>
      </c>
      <c r="BB37" s="88">
        <v>135.77049708079909</v>
      </c>
      <c r="BC37" s="88">
        <v>265.74155189621484</v>
      </c>
      <c r="BD37" s="88">
        <v>190.47962452345362</v>
      </c>
      <c r="BE37" s="88">
        <v>29.044519637032558</v>
      </c>
      <c r="BF37" s="88">
        <v>190.35699429205144</v>
      </c>
      <c r="BG37" s="88">
        <v>126.80330569088881</v>
      </c>
      <c r="BH37" s="88">
        <v>111.48835418519852</v>
      </c>
      <c r="BI37" s="88">
        <v>246.98181045181877</v>
      </c>
      <c r="BJ37" s="88">
        <v>24.333561527247827</v>
      </c>
      <c r="BK37" s="88">
        <v>236.31134943356619</v>
      </c>
      <c r="BL37" s="88">
        <v>267.53853113352591</v>
      </c>
      <c r="BM37" s="88">
        <v>126.71925886574664</v>
      </c>
      <c r="BN37" s="88">
        <v>148.65644897865218</v>
      </c>
      <c r="BO37" s="88">
        <v>251.94011053907593</v>
      </c>
      <c r="BP37" s="88">
        <v>79.983466460679495</v>
      </c>
      <c r="BQ37" s="88">
        <v>221.92596536393208</v>
      </c>
      <c r="BR37" s="88">
        <v>70.553521110909443</v>
      </c>
      <c r="BS37" s="88">
        <v>238.22831234714542</v>
      </c>
      <c r="BT37" s="88">
        <v>252.37464490175887</v>
      </c>
      <c r="BU37" s="88">
        <v>206.52547848429973</v>
      </c>
      <c r="BV37" s="88">
        <v>230.64816465226355</v>
      </c>
      <c r="BW37" s="88">
        <v>255.04244663730486</v>
      </c>
      <c r="BX37" s="88">
        <v>149.65483775449931</v>
      </c>
      <c r="BY37" s="88">
        <v>151.29183276518364</v>
      </c>
      <c r="BZ37" s="88">
        <v>265.13193922650572</v>
      </c>
      <c r="CA37" s="88">
        <v>202.23043780254028</v>
      </c>
      <c r="CB37" s="88">
        <v>309.99437104118414</v>
      </c>
      <c r="CC37" s="88">
        <v>50.860348992061354</v>
      </c>
      <c r="CD37" s="88">
        <v>184.82547952502273</v>
      </c>
      <c r="CE37" s="88">
        <v>110.29476463391742</v>
      </c>
      <c r="CF37" s="88">
        <v>384.95377420853208</v>
      </c>
      <c r="CG37" s="88">
        <v>166.42974288603298</v>
      </c>
      <c r="CH37" s="88">
        <v>47.448679187507935</v>
      </c>
      <c r="CI37" s="88">
        <v>178.68463531892314</v>
      </c>
      <c r="CJ37" s="88">
        <v>373.27117290102166</v>
      </c>
      <c r="CK37" s="88">
        <v>298.37917385599673</v>
      </c>
      <c r="CL37" s="88">
        <v>201.98686970840384</v>
      </c>
      <c r="CM37" s="88">
        <v>183.7449871329259</v>
      </c>
      <c r="CN37" s="88">
        <v>371.59631303743572</v>
      </c>
      <c r="CO37" s="88">
        <v>68.011208802356833</v>
      </c>
      <c r="CP37" s="88">
        <v>76.932923391527311</v>
      </c>
      <c r="CQ37" s="88">
        <v>204.82738996602734</v>
      </c>
      <c r="CR37" s="88">
        <v>126.86497038639834</v>
      </c>
      <c r="CS37" s="89">
        <v>165.01686673650215</v>
      </c>
    </row>
    <row r="38" spans="2:97" x14ac:dyDescent="0.3">
      <c r="B38" s="83" t="s">
        <v>95</v>
      </c>
      <c r="C38" s="88">
        <v>232.45878750864259</v>
      </c>
      <c r="D38" s="88">
        <v>99.584739812309081</v>
      </c>
      <c r="E38" s="88">
        <v>60.503705060528958</v>
      </c>
      <c r="F38" s="88">
        <v>169.93085163238018</v>
      </c>
      <c r="G38" s="88">
        <v>241.93801536403191</v>
      </c>
      <c r="H38" s="88">
        <v>187.68025770559319</v>
      </c>
      <c r="I38" s="88">
        <v>240.78718415684011</v>
      </c>
      <c r="J38" s="88">
        <v>126.54301679725539</v>
      </c>
      <c r="K38" s="88">
        <v>55.524615725429122</v>
      </c>
      <c r="L38" s="88">
        <v>347.69757714686591</v>
      </c>
      <c r="M38" s="88">
        <v>95.747787991969702</v>
      </c>
      <c r="N38" s="88">
        <v>28.660425513642068</v>
      </c>
      <c r="O38" s="88">
        <v>268.35144600910195</v>
      </c>
      <c r="P38" s="88">
        <v>174.77626727946705</v>
      </c>
      <c r="Q38" s="88">
        <v>288.77728149871103</v>
      </c>
      <c r="R38" s="88">
        <v>120.52340829035198</v>
      </c>
      <c r="S38" s="88">
        <v>68.439725831106728</v>
      </c>
      <c r="T38" s="88">
        <v>186.31011349211192</v>
      </c>
      <c r="U38" s="88">
        <v>103.23404093675678</v>
      </c>
      <c r="V38" s="88">
        <v>142.64428638165433</v>
      </c>
      <c r="W38" s="88">
        <v>28.241013374676193</v>
      </c>
      <c r="X38" s="88">
        <v>80.38701677012412</v>
      </c>
      <c r="Y38" s="88">
        <v>91.04936142102629</v>
      </c>
      <c r="Z38" s="88">
        <v>69.39919873711986</v>
      </c>
      <c r="AA38" s="88">
        <v>199.5885653552223</v>
      </c>
      <c r="AB38" s="88">
        <v>118.12913874873641</v>
      </c>
      <c r="AC38" s="88">
        <v>69.281424299315006</v>
      </c>
      <c r="AD38" s="88">
        <v>64.872175436704268</v>
      </c>
      <c r="AE38" s="88">
        <v>272.35388396675688</v>
      </c>
      <c r="AF38" s="88">
        <v>306.87703187428434</v>
      </c>
      <c r="AG38" s="88">
        <v>139.36707036714142</v>
      </c>
      <c r="AH38" s="88">
        <v>284.53237121971404</v>
      </c>
      <c r="AI38" s="88">
        <v>170.40760242741226</v>
      </c>
      <c r="AJ38" s="88">
        <v>292.35690955510785</v>
      </c>
      <c r="AK38" s="88">
        <v>45.627441073589836</v>
      </c>
      <c r="AL38" s="88">
        <v>0</v>
      </c>
      <c r="AM38" s="88">
        <v>305.62466365162948</v>
      </c>
      <c r="AN38" s="88">
        <v>67.337117107101363</v>
      </c>
      <c r="AO38" s="88">
        <v>33.472620212050856</v>
      </c>
      <c r="AP38" s="88">
        <v>78.516064224389851</v>
      </c>
      <c r="AQ38" s="88">
        <v>57.799609703748132</v>
      </c>
      <c r="AR38" s="88">
        <v>79.518723933891479</v>
      </c>
      <c r="AS38" s="88">
        <v>62.514553068991169</v>
      </c>
      <c r="AT38" s="88">
        <v>161.89757228106538</v>
      </c>
      <c r="AU38" s="88">
        <v>272.35253226187706</v>
      </c>
      <c r="AV38" s="88">
        <v>364.92634932302923</v>
      </c>
      <c r="AW38" s="88">
        <v>244.69387185772115</v>
      </c>
      <c r="AX38" s="88">
        <v>107.41153184740271</v>
      </c>
      <c r="AY38" s="88">
        <v>90.088344411059225</v>
      </c>
      <c r="AZ38" s="88">
        <v>44.528297623485265</v>
      </c>
      <c r="BA38" s="88">
        <v>45.063413845226755</v>
      </c>
      <c r="BB38" s="88">
        <v>90.149264475311355</v>
      </c>
      <c r="BC38" s="88">
        <v>220.9014376489026</v>
      </c>
      <c r="BD38" s="88">
        <v>152.70165780218744</v>
      </c>
      <c r="BE38" s="88">
        <v>46.412485121622026</v>
      </c>
      <c r="BF38" s="88">
        <v>144.7298176944752</v>
      </c>
      <c r="BG38" s="88">
        <v>82.110890022502531</v>
      </c>
      <c r="BH38" s="88">
        <v>68.694843535727628</v>
      </c>
      <c r="BI38" s="88">
        <v>201.58689008495452</v>
      </c>
      <c r="BJ38" s="88">
        <v>21.454197326059461</v>
      </c>
      <c r="BK38" s="88">
        <v>191.08211647755809</v>
      </c>
      <c r="BL38" s="88">
        <v>222.14862764887275</v>
      </c>
      <c r="BM38" s="88">
        <v>100.24598934689497</v>
      </c>
      <c r="BN38" s="88">
        <v>103.13810820682029</v>
      </c>
      <c r="BO38" s="88">
        <v>208.58471578343145</v>
      </c>
      <c r="BP38" s="88">
        <v>96.584243201607165</v>
      </c>
      <c r="BQ38" s="88">
        <v>180.53669014248038</v>
      </c>
      <c r="BR38" s="88">
        <v>35.707793653573518</v>
      </c>
      <c r="BS38" s="88">
        <v>197.68441058035356</v>
      </c>
      <c r="BT38" s="88">
        <v>206.74852844408088</v>
      </c>
      <c r="BU38" s="88">
        <v>164.28259572272202</v>
      </c>
      <c r="BV38" s="88">
        <v>185.65245869537935</v>
      </c>
      <c r="BW38" s="88">
        <v>210.57754540566071</v>
      </c>
      <c r="BX38" s="88">
        <v>117.47170958058273</v>
      </c>
      <c r="BY38" s="88">
        <v>108.8441078496443</v>
      </c>
      <c r="BZ38" s="88">
        <v>222.90868847418622</v>
      </c>
      <c r="CA38" s="88">
        <v>156.8027396392487</v>
      </c>
      <c r="CB38" s="88">
        <v>265.09138599650856</v>
      </c>
      <c r="CC38" s="88">
        <v>96.473603089282207</v>
      </c>
      <c r="CD38" s="88">
        <v>144.46486124026725</v>
      </c>
      <c r="CE38" s="88">
        <v>92.002521095085982</v>
      </c>
      <c r="CF38" s="88">
        <v>341.31531557982782</v>
      </c>
      <c r="CG38" s="88">
        <v>130.43607026082944</v>
      </c>
      <c r="CH38" s="88">
        <v>90.912513708482564</v>
      </c>
      <c r="CI38" s="88">
        <v>140.31097107192784</v>
      </c>
      <c r="CJ38" s="88">
        <v>328.77662764539002</v>
      </c>
      <c r="CK38" s="88">
        <v>254.9472370890698</v>
      </c>
      <c r="CL38" s="88">
        <v>157.46194960557938</v>
      </c>
      <c r="CM38" s="88">
        <v>139.35442076738298</v>
      </c>
      <c r="CN38" s="88">
        <v>327.51005275170331</v>
      </c>
      <c r="CO38" s="88">
        <v>22.541993637539885</v>
      </c>
      <c r="CP38" s="88">
        <v>81.599500972019243</v>
      </c>
      <c r="CQ38" s="88">
        <v>161.32933244108858</v>
      </c>
      <c r="CR38" s="88">
        <v>86.731712026703804</v>
      </c>
      <c r="CS38" s="89">
        <v>124.94684882156682</v>
      </c>
    </row>
    <row r="39" spans="2:97" x14ac:dyDescent="0.3">
      <c r="B39" s="83" t="s">
        <v>96</v>
      </c>
      <c r="C39" s="88">
        <v>73.263439802158715</v>
      </c>
      <c r="D39" s="88">
        <v>206.53687038644139</v>
      </c>
      <c r="E39" s="88">
        <v>286.41198912448334</v>
      </c>
      <c r="F39" s="88">
        <v>139.06638665561323</v>
      </c>
      <c r="G39" s="88">
        <v>75.550589182578875</v>
      </c>
      <c r="H39" s="88">
        <v>139.28281315937346</v>
      </c>
      <c r="I39" s="88">
        <v>66.987607220374642</v>
      </c>
      <c r="J39" s="88">
        <v>179.24536089066629</v>
      </c>
      <c r="K39" s="88">
        <v>308.41063182277122</v>
      </c>
      <c r="L39" s="88">
        <v>46.57988850168293</v>
      </c>
      <c r="M39" s="88">
        <v>230.6783443238777</v>
      </c>
      <c r="N39" s="88">
        <v>324.62122362874538</v>
      </c>
      <c r="O39" s="88">
        <v>39.865321618341191</v>
      </c>
      <c r="P39" s="88">
        <v>144.4784783574799</v>
      </c>
      <c r="Q39" s="88">
        <v>36.950512868100816</v>
      </c>
      <c r="R39" s="88">
        <v>186.83420711054816</v>
      </c>
      <c r="S39" s="88">
        <v>348.15393521016432</v>
      </c>
      <c r="T39" s="88">
        <v>119.35272936021208</v>
      </c>
      <c r="U39" s="88">
        <v>214.49272790457508</v>
      </c>
      <c r="V39" s="88">
        <v>164.02541656402704</v>
      </c>
      <c r="W39" s="88">
        <v>294.11869451178751</v>
      </c>
      <c r="X39" s="88">
        <v>246.35333841894612</v>
      </c>
      <c r="Y39" s="88">
        <v>361.13197459946053</v>
      </c>
      <c r="Z39" s="88">
        <v>372.21737054861688</v>
      </c>
      <c r="AA39" s="88">
        <v>110.53760887308626</v>
      </c>
      <c r="AB39" s="88">
        <v>197.37616964889838</v>
      </c>
      <c r="AC39" s="88">
        <v>334.9335470364154</v>
      </c>
      <c r="AD39" s="88">
        <v>244.44194672519075</v>
      </c>
      <c r="AE39" s="88">
        <v>33.413520169485139</v>
      </c>
      <c r="AF39" s="88">
        <v>19.167949806890483</v>
      </c>
      <c r="AG39" s="88">
        <v>171.51134132343077</v>
      </c>
      <c r="AH39" s="88">
        <v>23.671365935238889</v>
      </c>
      <c r="AI39" s="88">
        <v>151.75043595329521</v>
      </c>
      <c r="AJ39" s="88">
        <v>16.408413342455681</v>
      </c>
      <c r="AK39" s="88">
        <v>349.13612247259545</v>
      </c>
      <c r="AL39" s="88">
        <v>305.62466365162948</v>
      </c>
      <c r="AM39" s="88">
        <v>0</v>
      </c>
      <c r="AN39" s="88">
        <v>358.92701858236109</v>
      </c>
      <c r="AO39" s="88">
        <v>308.67761573950531</v>
      </c>
      <c r="AP39" s="88">
        <v>297.82673338250368</v>
      </c>
      <c r="AQ39" s="88">
        <v>256.38160513735409</v>
      </c>
      <c r="AR39" s="88">
        <v>265.56124514309045</v>
      </c>
      <c r="AS39" s="88">
        <v>270.43539233794456</v>
      </c>
      <c r="AT39" s="88">
        <v>151.74905145286775</v>
      </c>
      <c r="AU39" s="88">
        <v>38.810741697187936</v>
      </c>
      <c r="AV39" s="88">
        <v>60.71237537248647</v>
      </c>
      <c r="AW39" s="88">
        <v>63.35248351875682</v>
      </c>
      <c r="AX39" s="88">
        <v>364.03838145280594</v>
      </c>
      <c r="AY39" s="88">
        <v>375.89036774925859</v>
      </c>
      <c r="AZ39" s="88">
        <v>263.09100514908988</v>
      </c>
      <c r="BA39" s="88">
        <v>261.83256280483829</v>
      </c>
      <c r="BB39" s="88">
        <v>222.98980895701362</v>
      </c>
      <c r="BC39" s="88">
        <v>90.551428425087906</v>
      </c>
      <c r="BD39" s="88">
        <v>170.13646902628562</v>
      </c>
      <c r="BE39" s="88">
        <v>334.08244171088506</v>
      </c>
      <c r="BF39" s="88">
        <v>175.1971083556088</v>
      </c>
      <c r="BG39" s="88">
        <v>223.82655449112497</v>
      </c>
      <c r="BH39" s="88">
        <v>237.65730438067646</v>
      </c>
      <c r="BI39" s="88">
        <v>116.93054462729503</v>
      </c>
      <c r="BJ39" s="88">
        <v>326.51199842273002</v>
      </c>
      <c r="BK39" s="88">
        <v>122.5201480063687</v>
      </c>
      <c r="BL39" s="88">
        <v>100.50182100042576</v>
      </c>
      <c r="BM39" s="88">
        <v>246.45653957162273</v>
      </c>
      <c r="BN39" s="88">
        <v>207.0564373316752</v>
      </c>
      <c r="BO39" s="88">
        <v>97.197681532149204</v>
      </c>
      <c r="BP39" s="88">
        <v>344.81071060650225</v>
      </c>
      <c r="BQ39" s="88">
        <v>130.42276065647465</v>
      </c>
      <c r="BR39" s="88">
        <v>279.84021771614459</v>
      </c>
      <c r="BS39" s="88">
        <v>118.51753775777878</v>
      </c>
      <c r="BT39" s="88">
        <v>127.05763001607515</v>
      </c>
      <c r="BU39" s="88">
        <v>143.45732588170333</v>
      </c>
      <c r="BV39" s="88">
        <v>124.60758737220233</v>
      </c>
      <c r="BW39" s="88">
        <v>97.085367683813573</v>
      </c>
      <c r="BX39" s="88">
        <v>218.02815578689896</v>
      </c>
      <c r="BY39" s="88">
        <v>197.96590351640396</v>
      </c>
      <c r="BZ39" s="88">
        <v>86.602058106450244</v>
      </c>
      <c r="CA39" s="88">
        <v>156.45582092554636</v>
      </c>
      <c r="CB39" s="88">
        <v>55.678075053242722</v>
      </c>
      <c r="CC39" s="88">
        <v>398.60115466120823</v>
      </c>
      <c r="CD39" s="88">
        <v>168.03201935393488</v>
      </c>
      <c r="CE39" s="88">
        <v>271.74267791453627</v>
      </c>
      <c r="CF39" s="88">
        <v>35.906294947396454</v>
      </c>
      <c r="CG39" s="88">
        <v>195.26083310865982</v>
      </c>
      <c r="CH39" s="88">
        <v>386.14227633475406</v>
      </c>
      <c r="CI39" s="88">
        <v>178.51281500301627</v>
      </c>
      <c r="CJ39" s="88">
        <v>36.530282399147488</v>
      </c>
      <c r="CK39" s="88">
        <v>50.759906996483529</v>
      </c>
      <c r="CL39" s="88">
        <v>149.1324902054892</v>
      </c>
      <c r="CM39" s="88">
        <v>166.71202270354081</v>
      </c>
      <c r="CN39" s="88">
        <v>26.886361930896271</v>
      </c>
      <c r="CO39" s="88">
        <v>283.48670378993074</v>
      </c>
      <c r="CP39" s="88">
        <v>321.09490488364901</v>
      </c>
      <c r="CQ39" s="88">
        <v>144.35977037170952</v>
      </c>
      <c r="CR39" s="88">
        <v>223.61766915165259</v>
      </c>
      <c r="CS39" s="89">
        <v>187.95044309312121</v>
      </c>
    </row>
    <row r="40" spans="2:97" x14ac:dyDescent="0.3">
      <c r="B40" s="83" t="s">
        <v>97</v>
      </c>
      <c r="C40" s="88">
        <v>286.978699077665</v>
      </c>
      <c r="D40" s="88">
        <v>158.77648775399325</v>
      </c>
      <c r="E40" s="88">
        <v>75.894454970561497</v>
      </c>
      <c r="F40" s="88">
        <v>229.01841904582116</v>
      </c>
      <c r="G40" s="88">
        <v>300.76462340034453</v>
      </c>
      <c r="H40" s="88">
        <v>250.8522747266511</v>
      </c>
      <c r="I40" s="88">
        <v>292.3540530159799</v>
      </c>
      <c r="J40" s="88">
        <v>181.35307523025068</v>
      </c>
      <c r="K40" s="88">
        <v>53.902581828023159</v>
      </c>
      <c r="L40" s="88">
        <v>402.98936845962425</v>
      </c>
      <c r="M40" s="88">
        <v>131.46650583383061</v>
      </c>
      <c r="N40" s="88">
        <v>39.299589728061534</v>
      </c>
      <c r="O40" s="88">
        <v>320.08550074322909</v>
      </c>
      <c r="P40" s="88">
        <v>219.16885192238595</v>
      </c>
      <c r="Q40" s="88">
        <v>346.08808978259174</v>
      </c>
      <c r="R40" s="88">
        <v>180.42067271220532</v>
      </c>
      <c r="S40" s="88">
        <v>17.843057224426303</v>
      </c>
      <c r="T40" s="88">
        <v>241.42178930124976</v>
      </c>
      <c r="U40" s="88">
        <v>145.56682231209032</v>
      </c>
      <c r="V40" s="88">
        <v>195.24050354410676</v>
      </c>
      <c r="W40" s="88">
        <v>65.991331766601931</v>
      </c>
      <c r="X40" s="88">
        <v>114.69512796625577</v>
      </c>
      <c r="Y40" s="88">
        <v>33.663851248460844</v>
      </c>
      <c r="Z40" s="88">
        <v>27.656072818350754</v>
      </c>
      <c r="AA40" s="88">
        <v>249.2743325394014</v>
      </c>
      <c r="AB40" s="88">
        <v>182.11946632599768</v>
      </c>
      <c r="AC40" s="88">
        <v>34.66772051298382</v>
      </c>
      <c r="AD40" s="88">
        <v>129.3022150296876</v>
      </c>
      <c r="AE40" s="88">
        <v>326.33512126418537</v>
      </c>
      <c r="AF40" s="88">
        <v>362.44830550045742</v>
      </c>
      <c r="AG40" s="88">
        <v>200.67326167198152</v>
      </c>
      <c r="AH40" s="88">
        <v>339.34336822233547</v>
      </c>
      <c r="AI40" s="88">
        <v>233.53578814193418</v>
      </c>
      <c r="AJ40" s="88">
        <v>344.52469069946926</v>
      </c>
      <c r="AK40" s="88">
        <v>30.71320773533143</v>
      </c>
      <c r="AL40" s="88">
        <v>67.337117107101363</v>
      </c>
      <c r="AM40" s="88">
        <v>358.92701858236109</v>
      </c>
      <c r="AN40" s="88">
        <v>0</v>
      </c>
      <c r="AO40" s="88">
        <v>50.522337227377086</v>
      </c>
      <c r="AP40" s="88">
        <v>75.417211287296269</v>
      </c>
      <c r="AQ40" s="88">
        <v>102.66290784680284</v>
      </c>
      <c r="AR40" s="88">
        <v>100.13804439854998</v>
      </c>
      <c r="AS40" s="88">
        <v>90.171179718188455</v>
      </c>
      <c r="AT40" s="88">
        <v>208.75601679318757</v>
      </c>
      <c r="AU40" s="88">
        <v>328.40417769059303</v>
      </c>
      <c r="AV40" s="88">
        <v>419.31475565858153</v>
      </c>
      <c r="AW40" s="88">
        <v>300.78625592257771</v>
      </c>
      <c r="AX40" s="88">
        <v>53.233447672176659</v>
      </c>
      <c r="AY40" s="88">
        <v>22.981062559854692</v>
      </c>
      <c r="AZ40" s="88">
        <v>109.2377111846375</v>
      </c>
      <c r="BA40" s="88">
        <v>100.66995651892529</v>
      </c>
      <c r="BB40" s="88">
        <v>154.79476070463315</v>
      </c>
      <c r="BC40" s="88">
        <v>279.11412630763238</v>
      </c>
      <c r="BD40" s="88">
        <v>194.27227728318775</v>
      </c>
      <c r="BE40" s="88">
        <v>25.062321862273816</v>
      </c>
      <c r="BF40" s="88">
        <v>208.57602998592674</v>
      </c>
      <c r="BG40" s="88">
        <v>141.76776054681625</v>
      </c>
      <c r="BH40" s="88">
        <v>123.92277084956559</v>
      </c>
      <c r="BI40" s="88">
        <v>262.51256214353032</v>
      </c>
      <c r="BJ40" s="88">
        <v>49.362520578693221</v>
      </c>
      <c r="BK40" s="88">
        <v>251.1900757844877</v>
      </c>
      <c r="BL40" s="88">
        <v>282.91999435200501</v>
      </c>
      <c r="BM40" s="88">
        <v>123.47586842734324</v>
      </c>
      <c r="BN40" s="88">
        <v>165.85382410093592</v>
      </c>
      <c r="BO40" s="88">
        <v>262.12766560767142</v>
      </c>
      <c r="BP40" s="88">
        <v>54.044503434802316</v>
      </c>
      <c r="BQ40" s="88">
        <v>229.41107472464714</v>
      </c>
      <c r="BR40" s="88">
        <v>80.088708160420879</v>
      </c>
      <c r="BS40" s="88">
        <v>244.35228324101033</v>
      </c>
      <c r="BT40" s="88">
        <v>269.98605933979502</v>
      </c>
      <c r="BU40" s="88">
        <v>215.46985793189288</v>
      </c>
      <c r="BV40" s="88">
        <v>244.76277042603718</v>
      </c>
      <c r="BW40" s="88">
        <v>267.50189574974803</v>
      </c>
      <c r="BX40" s="88">
        <v>149.60265442077269</v>
      </c>
      <c r="BY40" s="88">
        <v>161.73352175335262</v>
      </c>
      <c r="BZ40" s="88">
        <v>273.30101778090796</v>
      </c>
      <c r="CA40" s="88">
        <v>218.27609565407562</v>
      </c>
      <c r="CB40" s="88">
        <v>323.2933354808888</v>
      </c>
      <c r="CC40" s="88">
        <v>44.036344906226525</v>
      </c>
      <c r="CD40" s="88">
        <v>191.67125823720548</v>
      </c>
      <c r="CE40" s="88">
        <v>102.61948463837827</v>
      </c>
      <c r="CF40" s="88">
        <v>394.83211378712338</v>
      </c>
      <c r="CG40" s="88">
        <v>169.12407151193389</v>
      </c>
      <c r="CH40" s="88">
        <v>27.219875291374176</v>
      </c>
      <c r="CI40" s="88">
        <v>183.41566774017039</v>
      </c>
      <c r="CJ40" s="88">
        <v>385.14001399927776</v>
      </c>
      <c r="CK40" s="88">
        <v>308.32182795923734</v>
      </c>
      <c r="CL40" s="88">
        <v>215.12847758777389</v>
      </c>
      <c r="CM40" s="88">
        <v>196.83341796018641</v>
      </c>
      <c r="CN40" s="88">
        <v>382.48730190612866</v>
      </c>
      <c r="CO40" s="88">
        <v>87.44851229101603</v>
      </c>
      <c r="CP40" s="88">
        <v>58.647555823310427</v>
      </c>
      <c r="CQ40" s="88">
        <v>215.83559053927388</v>
      </c>
      <c r="CR40" s="88">
        <v>135.38822815857205</v>
      </c>
      <c r="CS40" s="89">
        <v>171.97170554964242</v>
      </c>
    </row>
    <row r="41" spans="2:97" x14ac:dyDescent="0.3">
      <c r="B41" s="83" t="s">
        <v>98</v>
      </c>
      <c r="C41" s="88">
        <v>236.54346222196492</v>
      </c>
      <c r="D41" s="88">
        <v>108.76457304806381</v>
      </c>
      <c r="E41" s="88">
        <v>33.818064012682505</v>
      </c>
      <c r="F41" s="88">
        <v>178.68822761913174</v>
      </c>
      <c r="G41" s="88">
        <v>250.32005383298107</v>
      </c>
      <c r="H41" s="88">
        <v>201.55833427074211</v>
      </c>
      <c r="I41" s="88">
        <v>242.26624701811411</v>
      </c>
      <c r="J41" s="88">
        <v>130.8307508809431</v>
      </c>
      <c r="K41" s="88">
        <v>22.302134784246093</v>
      </c>
      <c r="L41" s="88">
        <v>352.55962919109692</v>
      </c>
      <c r="M41" s="88">
        <v>83.938346617318388</v>
      </c>
      <c r="N41" s="88">
        <v>20.443443560555398</v>
      </c>
      <c r="O41" s="88">
        <v>270.01546377020475</v>
      </c>
      <c r="P41" s="88">
        <v>170.32552027825753</v>
      </c>
      <c r="Q41" s="88">
        <v>295.56587653962077</v>
      </c>
      <c r="R41" s="88">
        <v>130.40946615407273</v>
      </c>
      <c r="S41" s="88">
        <v>43.535681984127265</v>
      </c>
      <c r="T41" s="88">
        <v>190.91986953425405</v>
      </c>
      <c r="U41" s="88">
        <v>96.467637527953997</v>
      </c>
      <c r="V41" s="88">
        <v>144.82719846586309</v>
      </c>
      <c r="W41" s="88">
        <v>16.06430388116479</v>
      </c>
      <c r="X41" s="88">
        <v>67.043373151971949</v>
      </c>
      <c r="Y41" s="88">
        <v>63.853332071022358</v>
      </c>
      <c r="Z41" s="88">
        <v>65.815616444091589</v>
      </c>
      <c r="AA41" s="88">
        <v>199.39884989487442</v>
      </c>
      <c r="AB41" s="88">
        <v>133.72968626170888</v>
      </c>
      <c r="AC41" s="88">
        <v>38.583638996788544</v>
      </c>
      <c r="AD41" s="88">
        <v>82.290431622214768</v>
      </c>
      <c r="AE41" s="88">
        <v>275.98020021156424</v>
      </c>
      <c r="AF41" s="88">
        <v>311.98304727092864</v>
      </c>
      <c r="AG41" s="88">
        <v>150.91465698981185</v>
      </c>
      <c r="AH41" s="88">
        <v>288.92174535034809</v>
      </c>
      <c r="AI41" s="88">
        <v>184.29538543661906</v>
      </c>
      <c r="AJ41" s="88">
        <v>294.41931206773756</v>
      </c>
      <c r="AK41" s="88">
        <v>45.973234423904984</v>
      </c>
      <c r="AL41" s="88">
        <v>33.472620212050856</v>
      </c>
      <c r="AM41" s="88">
        <v>308.67761573950531</v>
      </c>
      <c r="AN41" s="88">
        <v>50.522337227377086</v>
      </c>
      <c r="AO41" s="88">
        <v>0</v>
      </c>
      <c r="AP41" s="88">
        <v>47.039721505360021</v>
      </c>
      <c r="AQ41" s="88">
        <v>52.296149066270068</v>
      </c>
      <c r="AR41" s="88">
        <v>57.524313547472794</v>
      </c>
      <c r="AS41" s="88">
        <v>43.44617867589168</v>
      </c>
      <c r="AT41" s="88">
        <v>159.26275193769092</v>
      </c>
      <c r="AU41" s="88">
        <v>277.90280562777394</v>
      </c>
      <c r="AV41" s="88">
        <v>368.97711741727971</v>
      </c>
      <c r="AW41" s="88">
        <v>250.27574348701316</v>
      </c>
      <c r="AX41" s="88">
        <v>77.62538427479268</v>
      </c>
      <c r="AY41" s="88">
        <v>70.053175277428565</v>
      </c>
      <c r="AZ41" s="88">
        <v>63.459239904204296</v>
      </c>
      <c r="BA41" s="88">
        <v>51.009202931274352</v>
      </c>
      <c r="BB41" s="88">
        <v>107.29333597785492</v>
      </c>
      <c r="BC41" s="88">
        <v>228.63856531149125</v>
      </c>
      <c r="BD41" s="88">
        <v>146.00836542248538</v>
      </c>
      <c r="BE41" s="88">
        <v>25.483627108447628</v>
      </c>
      <c r="BF41" s="88">
        <v>159.86044388052591</v>
      </c>
      <c r="BG41" s="88">
        <v>92.061559647536953</v>
      </c>
      <c r="BH41" s="88">
        <v>73.619574873362851</v>
      </c>
      <c r="BI41" s="88">
        <v>212.43757106841642</v>
      </c>
      <c r="BJ41" s="88">
        <v>34.500733944867306</v>
      </c>
      <c r="BK41" s="88">
        <v>200.97316353265148</v>
      </c>
      <c r="BL41" s="88">
        <v>232.77237098169917</v>
      </c>
      <c r="BM41" s="88">
        <v>80.828424492539639</v>
      </c>
      <c r="BN41" s="88">
        <v>116.93973928267903</v>
      </c>
      <c r="BO41" s="88">
        <v>211.74877841004479</v>
      </c>
      <c r="BP41" s="88">
        <v>64.569485528957415</v>
      </c>
      <c r="BQ41" s="88">
        <v>179.61448642779078</v>
      </c>
      <c r="BR41" s="88">
        <v>29.694175316444461</v>
      </c>
      <c r="BS41" s="88">
        <v>195.08172103376609</v>
      </c>
      <c r="BT41" s="88">
        <v>220.65489898352865</v>
      </c>
      <c r="BU41" s="88">
        <v>165.25875500394571</v>
      </c>
      <c r="BV41" s="88">
        <v>194.40711262847753</v>
      </c>
      <c r="BW41" s="88">
        <v>216.98216313685742</v>
      </c>
      <c r="BX41" s="88">
        <v>103.86837402767648</v>
      </c>
      <c r="BY41" s="88">
        <v>111.23208703725534</v>
      </c>
      <c r="BZ41" s="88">
        <v>223.36588036644699</v>
      </c>
      <c r="CA41" s="88">
        <v>168.48242150083078</v>
      </c>
      <c r="CB41" s="88">
        <v>272.79686440024244</v>
      </c>
      <c r="CC41" s="88">
        <v>90.747384547523936</v>
      </c>
      <c r="CD41" s="88">
        <v>142.00064775863558</v>
      </c>
      <c r="CE41" s="88">
        <v>66.041718993969909</v>
      </c>
      <c r="CF41" s="88">
        <v>344.58307633500539</v>
      </c>
      <c r="CG41" s="88">
        <v>121.43096387566743</v>
      </c>
      <c r="CH41" s="88">
        <v>77.624194084808764</v>
      </c>
      <c r="CI41" s="88">
        <v>134.61844644858465</v>
      </c>
      <c r="CJ41" s="88">
        <v>334.64027126405256</v>
      </c>
      <c r="CK41" s="88">
        <v>258.01497403446797</v>
      </c>
      <c r="CL41" s="88">
        <v>164.6761344727274</v>
      </c>
      <c r="CM41" s="88">
        <v>146.39742155148875</v>
      </c>
      <c r="CN41" s="88">
        <v>332.07465205946181</v>
      </c>
      <c r="CO41" s="88">
        <v>44.240664478694242</v>
      </c>
      <c r="CP41" s="88">
        <v>48.143457609144335</v>
      </c>
      <c r="CQ41" s="88">
        <v>165.3386546636244</v>
      </c>
      <c r="CR41" s="88">
        <v>85.060069114474359</v>
      </c>
      <c r="CS41" s="89">
        <v>122.11998354977563</v>
      </c>
    </row>
    <row r="42" spans="2:97" x14ac:dyDescent="0.3">
      <c r="B42" s="83" t="s">
        <v>99</v>
      </c>
      <c r="C42" s="88">
        <v>229.00058407278053</v>
      </c>
      <c r="D42" s="88">
        <v>117.48992370217501</v>
      </c>
      <c r="E42" s="88">
        <v>22.26811142781315</v>
      </c>
      <c r="F42" s="88">
        <v>180.3328472052462</v>
      </c>
      <c r="G42" s="88">
        <v>248.41781678382497</v>
      </c>
      <c r="H42" s="88">
        <v>209.31760165230125</v>
      </c>
      <c r="I42" s="88">
        <v>230.89210691095167</v>
      </c>
      <c r="J42" s="88">
        <v>130.11260270868121</v>
      </c>
      <c r="K42" s="88">
        <v>26.118505759616184</v>
      </c>
      <c r="L42" s="88">
        <v>343.47617169804386</v>
      </c>
      <c r="M42" s="88">
        <v>67.766840107234458</v>
      </c>
      <c r="N42" s="88">
        <v>65.218513653333645</v>
      </c>
      <c r="O42" s="88">
        <v>258.10422072721678</v>
      </c>
      <c r="P42" s="88">
        <v>153.9146026412032</v>
      </c>
      <c r="Q42" s="88">
        <v>290.23401831636789</v>
      </c>
      <c r="R42" s="88">
        <v>137.398416226324</v>
      </c>
      <c r="S42" s="88">
        <v>58.901860293427909</v>
      </c>
      <c r="T42" s="88">
        <v>186.04718148978057</v>
      </c>
      <c r="U42" s="88">
        <v>85.193105894198823</v>
      </c>
      <c r="V42" s="88">
        <v>139.75241205755819</v>
      </c>
      <c r="W42" s="88">
        <v>51.462184340919464</v>
      </c>
      <c r="X42" s="88">
        <v>54.100963984508496</v>
      </c>
      <c r="Y42" s="88">
        <v>64.783514083803283</v>
      </c>
      <c r="Z42" s="88">
        <v>100.14298368598691</v>
      </c>
      <c r="AA42" s="88">
        <v>187.36827623247117</v>
      </c>
      <c r="AB42" s="88">
        <v>148.08841100110197</v>
      </c>
      <c r="AC42" s="88">
        <v>42.12268733352829</v>
      </c>
      <c r="AD42" s="88">
        <v>105.45228901646948</v>
      </c>
      <c r="AE42" s="88">
        <v>266.64931066251609</v>
      </c>
      <c r="AF42" s="88">
        <v>303.9365105506339</v>
      </c>
      <c r="AG42" s="88">
        <v>158.32669536302097</v>
      </c>
      <c r="AH42" s="88">
        <v>280.35247283533141</v>
      </c>
      <c r="AI42" s="88">
        <v>192.87963304244414</v>
      </c>
      <c r="AJ42" s="88">
        <v>282.48788336809122</v>
      </c>
      <c r="AK42" s="88">
        <v>86.815413133530527</v>
      </c>
      <c r="AL42" s="88">
        <v>78.516064224389851</v>
      </c>
      <c r="AM42" s="88">
        <v>297.82673338250368</v>
      </c>
      <c r="AN42" s="88">
        <v>75.417211287296269</v>
      </c>
      <c r="AO42" s="88">
        <v>47.039721505360021</v>
      </c>
      <c r="AP42" s="88">
        <v>0</v>
      </c>
      <c r="AQ42" s="88">
        <v>58.8912835880298</v>
      </c>
      <c r="AR42" s="88">
        <v>32.661030139197926</v>
      </c>
      <c r="AS42" s="88">
        <v>35.526881816168192</v>
      </c>
      <c r="AT42" s="88">
        <v>146.17876829246538</v>
      </c>
      <c r="AU42" s="88">
        <v>271.22633504124826</v>
      </c>
      <c r="AV42" s="88">
        <v>358.52500449740899</v>
      </c>
      <c r="AW42" s="88">
        <v>244.39910296985275</v>
      </c>
      <c r="AX42" s="88">
        <v>66.31861023918249</v>
      </c>
      <c r="AY42" s="88">
        <v>84.043887320830947</v>
      </c>
      <c r="AZ42" s="88">
        <v>92.17332575672782</v>
      </c>
      <c r="BA42" s="88">
        <v>71.610664692661516</v>
      </c>
      <c r="BB42" s="88">
        <v>126.40091710870554</v>
      </c>
      <c r="BC42" s="88">
        <v>226.53511993092388</v>
      </c>
      <c r="BD42" s="88">
        <v>128.19158016177727</v>
      </c>
      <c r="BE42" s="88">
        <v>58.297240295796904</v>
      </c>
      <c r="BF42" s="88">
        <v>171.60251568401023</v>
      </c>
      <c r="BG42" s="88">
        <v>104.56709330976277</v>
      </c>
      <c r="BH42" s="88">
        <v>84.365780799560142</v>
      </c>
      <c r="BI42" s="88">
        <v>215.39858783242892</v>
      </c>
      <c r="BJ42" s="88">
        <v>81.186468416281613</v>
      </c>
      <c r="BK42" s="88">
        <v>203.0637285549976</v>
      </c>
      <c r="BL42" s="88">
        <v>234.64712483722667</v>
      </c>
      <c r="BM42" s="88">
        <v>52.297893327021065</v>
      </c>
      <c r="BN42" s="88">
        <v>130.62132730197115</v>
      </c>
      <c r="BO42" s="88">
        <v>203.85757463404312</v>
      </c>
      <c r="BP42" s="88">
        <v>47.17208277585074</v>
      </c>
      <c r="BQ42" s="88">
        <v>167.60069382399095</v>
      </c>
      <c r="BR42" s="88">
        <v>53.624375237782239</v>
      </c>
      <c r="BS42" s="88">
        <v>179.8909258937293</v>
      </c>
      <c r="BT42" s="88">
        <v>227.69886224054022</v>
      </c>
      <c r="BU42" s="88">
        <v>156.83958581988449</v>
      </c>
      <c r="BV42" s="88">
        <v>195.20074367936959</v>
      </c>
      <c r="BW42" s="88">
        <v>213.43701418602072</v>
      </c>
      <c r="BX42" s="88">
        <v>80.605016583224128</v>
      </c>
      <c r="BY42" s="88">
        <v>110.44758802964465</v>
      </c>
      <c r="BZ42" s="88">
        <v>211.22588061838081</v>
      </c>
      <c r="CA42" s="88">
        <v>174.84998645138108</v>
      </c>
      <c r="CB42" s="88">
        <v>269.30555798682371</v>
      </c>
      <c r="CC42" s="88">
        <v>119.34762017124199</v>
      </c>
      <c r="CD42" s="88">
        <v>130.61162243037052</v>
      </c>
      <c r="CE42" s="88">
        <v>28.257116997550465</v>
      </c>
      <c r="CF42" s="88">
        <v>333.40091974053041</v>
      </c>
      <c r="CG42" s="88">
        <v>102.75426109086463</v>
      </c>
      <c r="CH42" s="88">
        <v>99.719532065098477</v>
      </c>
      <c r="CI42" s="88">
        <v>119.31892391164986</v>
      </c>
      <c r="CJ42" s="88">
        <v>327.25103196602259</v>
      </c>
      <c r="CK42" s="88">
        <v>248.3800062949791</v>
      </c>
      <c r="CL42" s="88">
        <v>165.05096034704277</v>
      </c>
      <c r="CM42" s="88">
        <v>147.9595160983452</v>
      </c>
      <c r="CN42" s="88">
        <v>322.90333695953893</v>
      </c>
      <c r="CO42" s="88">
        <v>80.691907973818317</v>
      </c>
      <c r="CP42" s="88">
        <v>23.289317231685803</v>
      </c>
      <c r="CQ42" s="88">
        <v>161.17772713099524</v>
      </c>
      <c r="CR42" s="88">
        <v>83.884046160223249</v>
      </c>
      <c r="CS42" s="89">
        <v>112.43531594429281</v>
      </c>
    </row>
    <row r="43" spans="2:97" x14ac:dyDescent="0.3">
      <c r="B43" s="83" t="s">
        <v>100</v>
      </c>
      <c r="C43" s="88">
        <v>184.31635629176645</v>
      </c>
      <c r="D43" s="88">
        <v>60.319180338032773</v>
      </c>
      <c r="E43" s="88">
        <v>38.019982905470663</v>
      </c>
      <c r="F43" s="88">
        <v>127.98809112497142</v>
      </c>
      <c r="G43" s="88">
        <v>198.98406257879415</v>
      </c>
      <c r="H43" s="88">
        <v>153.64836565755851</v>
      </c>
      <c r="I43" s="88">
        <v>190.00904988503441</v>
      </c>
      <c r="J43" s="88">
        <v>79.051837988582776</v>
      </c>
      <c r="K43" s="88">
        <v>55.902792740174284</v>
      </c>
      <c r="L43" s="88">
        <v>300.32649110516581</v>
      </c>
      <c r="M43" s="88">
        <v>38.282692525298799</v>
      </c>
      <c r="N43" s="88">
        <v>69.208579369760898</v>
      </c>
      <c r="O43" s="88">
        <v>217.76085085264083</v>
      </c>
      <c r="P43" s="88">
        <v>119.29609738375409</v>
      </c>
      <c r="Q43" s="88">
        <v>243.67054425065825</v>
      </c>
      <c r="R43" s="88">
        <v>81.388261693021619</v>
      </c>
      <c r="S43" s="88">
        <v>93.308337873478251</v>
      </c>
      <c r="T43" s="88">
        <v>138.84295006498655</v>
      </c>
      <c r="U43" s="88">
        <v>46.04417194909675</v>
      </c>
      <c r="V43" s="88">
        <v>92.577635484049281</v>
      </c>
      <c r="W43" s="88">
        <v>38.222372612697647</v>
      </c>
      <c r="X43" s="88">
        <v>24.751222541231567</v>
      </c>
      <c r="Y43" s="88">
        <v>109.92224026874985</v>
      </c>
      <c r="Z43" s="88">
        <v>116.86928738733597</v>
      </c>
      <c r="AA43" s="88">
        <v>147.27224822841401</v>
      </c>
      <c r="AB43" s="88">
        <v>89.634384130637315</v>
      </c>
      <c r="AC43" s="88">
        <v>82.710502640612717</v>
      </c>
      <c r="AD43" s="88">
        <v>48.274803443344929</v>
      </c>
      <c r="AE43" s="88">
        <v>223.69895606502635</v>
      </c>
      <c r="AF43" s="88">
        <v>259.79547715173453</v>
      </c>
      <c r="AG43" s="88">
        <v>102.38664047119525</v>
      </c>
      <c r="AH43" s="88">
        <v>236.68084815014456</v>
      </c>
      <c r="AI43" s="88">
        <v>136.71480877712222</v>
      </c>
      <c r="AJ43" s="88">
        <v>242.15000212854872</v>
      </c>
      <c r="AK43" s="88">
        <v>94.838673884717508</v>
      </c>
      <c r="AL43" s="88">
        <v>57.799609703748132</v>
      </c>
      <c r="AM43" s="88">
        <v>256.38160513735409</v>
      </c>
      <c r="AN43" s="88">
        <v>102.66290784680284</v>
      </c>
      <c r="AO43" s="88">
        <v>52.296149066270068</v>
      </c>
      <c r="AP43" s="88">
        <v>58.8912835880298</v>
      </c>
      <c r="AQ43" s="88">
        <v>0</v>
      </c>
      <c r="AR43" s="88">
        <v>36.010109109513223</v>
      </c>
      <c r="AS43" s="88">
        <v>23.557196123409732</v>
      </c>
      <c r="AT43" s="88">
        <v>107.54191544709811</v>
      </c>
      <c r="AU43" s="88">
        <v>225.80608151789269</v>
      </c>
      <c r="AV43" s="88">
        <v>316.69181483832591</v>
      </c>
      <c r="AW43" s="88">
        <v>198.22559864328309</v>
      </c>
      <c r="AX43" s="88">
        <v>118.58820907628774</v>
      </c>
      <c r="AY43" s="88">
        <v>120.87643671854107</v>
      </c>
      <c r="AZ43" s="88">
        <v>40.685778404178969</v>
      </c>
      <c r="BA43" s="88">
        <v>19.083814906038256</v>
      </c>
      <c r="BB43" s="88">
        <v>67.579510146964168</v>
      </c>
      <c r="BC43" s="88">
        <v>177.18048796604606</v>
      </c>
      <c r="BD43" s="88">
        <v>95.973155893679618</v>
      </c>
      <c r="BE43" s="88">
        <v>77.725315197620759</v>
      </c>
      <c r="BF43" s="88">
        <v>114.04013579882243</v>
      </c>
      <c r="BG43" s="88">
        <v>45.966927617485545</v>
      </c>
      <c r="BH43" s="88">
        <v>25.675379364478978</v>
      </c>
      <c r="BI43" s="88">
        <v>162.42361044043685</v>
      </c>
      <c r="BJ43" s="88">
        <v>75.075665834963658</v>
      </c>
      <c r="BK43" s="88">
        <v>150.5760092014595</v>
      </c>
      <c r="BL43" s="88">
        <v>182.46998095206501</v>
      </c>
      <c r="BM43" s="88">
        <v>48.166449753683871</v>
      </c>
      <c r="BN43" s="88">
        <v>72.13944523751718</v>
      </c>
      <c r="BO43" s="88">
        <v>159.47642065603014</v>
      </c>
      <c r="BP43" s="88">
        <v>101.05177391701162</v>
      </c>
      <c r="BQ43" s="88">
        <v>127.56556404990957</v>
      </c>
      <c r="BR43" s="88">
        <v>24.300324144822589</v>
      </c>
      <c r="BS43" s="88">
        <v>143.4830810767821</v>
      </c>
      <c r="BT43" s="88">
        <v>172.48776262627959</v>
      </c>
      <c r="BU43" s="88">
        <v>112.97341707110246</v>
      </c>
      <c r="BV43" s="88">
        <v>143.54702383914778</v>
      </c>
      <c r="BW43" s="88">
        <v>165.19159892169358</v>
      </c>
      <c r="BX43" s="88">
        <v>60.137355295177763</v>
      </c>
      <c r="BY43" s="88">
        <v>59.215399242414605</v>
      </c>
      <c r="BZ43" s="88">
        <v>171.18794155077296</v>
      </c>
      <c r="CA43" s="88">
        <v>119.60822820677343</v>
      </c>
      <c r="CB43" s="88">
        <v>221.17733733727914</v>
      </c>
      <c r="CC43" s="88">
        <v>142.6431247311495</v>
      </c>
      <c r="CD43" s="88">
        <v>90.149847148812668</v>
      </c>
      <c r="CE43" s="88">
        <v>52.320712418168746</v>
      </c>
      <c r="CF43" s="88">
        <v>292.28698311031093</v>
      </c>
      <c r="CG43" s="88">
        <v>72.848358570833355</v>
      </c>
      <c r="CH43" s="88">
        <v>129.84463465633215</v>
      </c>
      <c r="CI43" s="88">
        <v>83.957899022870834</v>
      </c>
      <c r="CJ43" s="88">
        <v>282.53229883561323</v>
      </c>
      <c r="CK43" s="88">
        <v>205.72150502687464</v>
      </c>
      <c r="CL43" s="88">
        <v>113.48194689556236</v>
      </c>
      <c r="CM43" s="88">
        <v>95.375843567234682</v>
      </c>
      <c r="CN43" s="88">
        <v>279.82646573297592</v>
      </c>
      <c r="CO43" s="88">
        <v>42.7315326020627</v>
      </c>
      <c r="CP43" s="88">
        <v>77.43314292755025</v>
      </c>
      <c r="CQ43" s="88">
        <v>113.2505913341482</v>
      </c>
      <c r="CR43" s="88">
        <v>32.763948946601865</v>
      </c>
      <c r="CS43" s="89">
        <v>70.15323712276323</v>
      </c>
    </row>
    <row r="44" spans="2:97" x14ac:dyDescent="0.3">
      <c r="B44" s="83" t="s">
        <v>101</v>
      </c>
      <c r="C44" s="88">
        <v>196.38867786086405</v>
      </c>
      <c r="D44" s="88">
        <v>88.294808644269452</v>
      </c>
      <c r="E44" s="88">
        <v>24.618342240892982</v>
      </c>
      <c r="F44" s="88">
        <v>148.28340196350905</v>
      </c>
      <c r="G44" s="88">
        <v>215.8328531928444</v>
      </c>
      <c r="H44" s="88">
        <v>178.23610902068037</v>
      </c>
      <c r="I44" s="88">
        <v>198.58656359400209</v>
      </c>
      <c r="J44" s="88">
        <v>98.121303370634038</v>
      </c>
      <c r="K44" s="88">
        <v>46.246047086899523</v>
      </c>
      <c r="L44" s="88">
        <v>311.06620716691805</v>
      </c>
      <c r="M44" s="88">
        <v>35.130754702609181</v>
      </c>
      <c r="N44" s="88">
        <v>77.95730790741105</v>
      </c>
      <c r="O44" s="88">
        <v>225.91559379912448</v>
      </c>
      <c r="P44" s="88">
        <v>122.13348732663788</v>
      </c>
      <c r="Q44" s="88">
        <v>257.58346449794266</v>
      </c>
      <c r="R44" s="88">
        <v>107.03849916292398</v>
      </c>
      <c r="S44" s="88">
        <v>85.851385777394142</v>
      </c>
      <c r="T44" s="88">
        <v>153.40521028505074</v>
      </c>
      <c r="U44" s="88">
        <v>52.556116227176531</v>
      </c>
      <c r="V44" s="88">
        <v>107.18999828556579</v>
      </c>
      <c r="W44" s="88">
        <v>51.997963513174859</v>
      </c>
      <c r="X44" s="88">
        <v>22.19485762949623</v>
      </c>
      <c r="Y44" s="88">
        <v>95.858082333623969</v>
      </c>
      <c r="Z44" s="88">
        <v>121.25226190775339</v>
      </c>
      <c r="AA44" s="88">
        <v>155.03723735522496</v>
      </c>
      <c r="AB44" s="88">
        <v>119.9858741249797</v>
      </c>
      <c r="AC44" s="88">
        <v>70.665036140180163</v>
      </c>
      <c r="AD44" s="88">
        <v>84.047579088600216</v>
      </c>
      <c r="AE44" s="88">
        <v>234.19067921949835</v>
      </c>
      <c r="AF44" s="88">
        <v>271.41254367951836</v>
      </c>
      <c r="AG44" s="88">
        <v>127.69687565129716</v>
      </c>
      <c r="AH44" s="88">
        <v>247.84680046509126</v>
      </c>
      <c r="AI44" s="88">
        <v>162.13696193213539</v>
      </c>
      <c r="AJ44" s="88">
        <v>250.34099550665329</v>
      </c>
      <c r="AK44" s="88">
        <v>103.28015662735309</v>
      </c>
      <c r="AL44" s="88">
        <v>79.518723933891479</v>
      </c>
      <c r="AM44" s="88">
        <v>265.56124514309045</v>
      </c>
      <c r="AN44" s="88">
        <v>100.13804439854998</v>
      </c>
      <c r="AO44" s="88">
        <v>57.524313547472794</v>
      </c>
      <c r="AP44" s="88">
        <v>32.661030139197926</v>
      </c>
      <c r="AQ44" s="88">
        <v>36.010109109513223</v>
      </c>
      <c r="AR44" s="88">
        <v>0</v>
      </c>
      <c r="AS44" s="88">
        <v>17.242786505945851</v>
      </c>
      <c r="AT44" s="88">
        <v>113.82226367288733</v>
      </c>
      <c r="AU44" s="88">
        <v>238.60715790081309</v>
      </c>
      <c r="AV44" s="88">
        <v>326.2728423204191</v>
      </c>
      <c r="AW44" s="88">
        <v>211.74613496976806</v>
      </c>
      <c r="AX44" s="88">
        <v>98.901971138166701</v>
      </c>
      <c r="AY44" s="88">
        <v>112.84967334777056</v>
      </c>
      <c r="AZ44" s="88">
        <v>75.956555560944906</v>
      </c>
      <c r="BA44" s="88">
        <v>53.866917520852382</v>
      </c>
      <c r="BB44" s="88">
        <v>101.27539337078866</v>
      </c>
      <c r="BC44" s="88">
        <v>193.96345286543053</v>
      </c>
      <c r="BD44" s="88">
        <v>96.523971880836001</v>
      </c>
      <c r="BE44" s="88">
        <v>78.235965504747028</v>
      </c>
      <c r="BF44" s="88">
        <v>142.04911078417902</v>
      </c>
      <c r="BG44" s="88">
        <v>77.595972839192797</v>
      </c>
      <c r="BH44" s="88">
        <v>58.437234144818369</v>
      </c>
      <c r="BI44" s="88">
        <v>183.37287612455054</v>
      </c>
      <c r="BJ44" s="88">
        <v>90.174766101291269</v>
      </c>
      <c r="BK44" s="88">
        <v>170.96452277057264</v>
      </c>
      <c r="BL44" s="88">
        <v>202.41114300113165</v>
      </c>
      <c r="BM44" s="88">
        <v>23.608969919326832</v>
      </c>
      <c r="BN44" s="88">
        <v>102.81578070086572</v>
      </c>
      <c r="BO44" s="88">
        <v>171.23788991041843</v>
      </c>
      <c r="BP44" s="88">
        <v>79.808088657470662</v>
      </c>
      <c r="BQ44" s="88">
        <v>135.20723891316723</v>
      </c>
      <c r="BR44" s="88">
        <v>45.130364477681681</v>
      </c>
      <c r="BS44" s="88">
        <v>148.00553579794027</v>
      </c>
      <c r="BT44" s="88">
        <v>196.34395156466616</v>
      </c>
      <c r="BU44" s="88">
        <v>124.19070060364089</v>
      </c>
      <c r="BV44" s="88">
        <v>162.96389367486046</v>
      </c>
      <c r="BW44" s="88">
        <v>180.81286383869187</v>
      </c>
      <c r="BX44" s="88">
        <v>49.866602788371075</v>
      </c>
      <c r="BY44" s="88">
        <v>78.7710311070053</v>
      </c>
      <c r="BZ44" s="88">
        <v>178.97104871893359</v>
      </c>
      <c r="CA44" s="88">
        <v>143.74731176733047</v>
      </c>
      <c r="CB44" s="88">
        <v>236.65363404554958</v>
      </c>
      <c r="CC44" s="88">
        <v>143.78821070517196</v>
      </c>
      <c r="CD44" s="88">
        <v>98.037181911750011</v>
      </c>
      <c r="CE44" s="88">
        <v>16.318053081246678</v>
      </c>
      <c r="CF44" s="88">
        <v>301.21659056377842</v>
      </c>
      <c r="CG44" s="88">
        <v>71.004798850181032</v>
      </c>
      <c r="CH44" s="88">
        <v>126.41960689379013</v>
      </c>
      <c r="CI44" s="88">
        <v>87.096478550128879</v>
      </c>
      <c r="CJ44" s="88">
        <v>294.69920407481129</v>
      </c>
      <c r="CK44" s="88">
        <v>215.92532197985722</v>
      </c>
      <c r="CL44" s="88">
        <v>132.91276621773872</v>
      </c>
      <c r="CM44" s="88">
        <v>116.15383708637322</v>
      </c>
      <c r="CN44" s="88">
        <v>290.48528899305921</v>
      </c>
      <c r="CO44" s="88">
        <v>72.344806335035329</v>
      </c>
      <c r="CP44" s="88">
        <v>55.701787001669402</v>
      </c>
      <c r="CQ44" s="88">
        <v>128.60561160597791</v>
      </c>
      <c r="CR44" s="88">
        <v>53.093330028012936</v>
      </c>
      <c r="CS44" s="89">
        <v>79.720242199522033</v>
      </c>
    </row>
    <row r="45" spans="2:97" x14ac:dyDescent="0.3">
      <c r="B45" s="83" t="s">
        <v>102</v>
      </c>
      <c r="C45" s="88">
        <v>199.69090173846274</v>
      </c>
      <c r="D45" s="88">
        <v>82.250602112402603</v>
      </c>
      <c r="E45" s="88">
        <v>16.462243844522504</v>
      </c>
      <c r="F45" s="88">
        <v>147.15875248091606</v>
      </c>
      <c r="G45" s="88">
        <v>216.81781987537244</v>
      </c>
      <c r="H45" s="88">
        <v>174.79239558114583</v>
      </c>
      <c r="I45" s="88">
        <v>203.5370086998193</v>
      </c>
      <c r="J45" s="88">
        <v>97.166559163186946</v>
      </c>
      <c r="K45" s="88">
        <v>37.976179050354496</v>
      </c>
      <c r="L45" s="88">
        <v>315.29380118982311</v>
      </c>
      <c r="M45" s="88">
        <v>41.308398351093075</v>
      </c>
      <c r="N45" s="88">
        <v>63.500777593575251</v>
      </c>
      <c r="O45" s="88">
        <v>231.15622810839395</v>
      </c>
      <c r="P45" s="88">
        <v>129.10091281045956</v>
      </c>
      <c r="Q45" s="88">
        <v>260.16767559378758</v>
      </c>
      <c r="R45" s="88">
        <v>102.58774307055162</v>
      </c>
      <c r="S45" s="88">
        <v>77.861253951873906</v>
      </c>
      <c r="T45" s="88">
        <v>155.27517556830239</v>
      </c>
      <c r="U45" s="88">
        <v>55.991517456491465</v>
      </c>
      <c r="V45" s="88">
        <v>108.5985207092402</v>
      </c>
      <c r="W45" s="88">
        <v>35.523956835614911</v>
      </c>
      <c r="X45" s="88">
        <v>24.538433539344215</v>
      </c>
      <c r="Y45" s="88">
        <v>91.460969791666102</v>
      </c>
      <c r="Z45" s="88">
        <v>108.88454800435473</v>
      </c>
      <c r="AA45" s="88">
        <v>160.12910474109123</v>
      </c>
      <c r="AB45" s="88">
        <v>112.58113171985731</v>
      </c>
      <c r="AC45" s="88">
        <v>64.691298110276094</v>
      </c>
      <c r="AD45" s="88">
        <v>71.295181573037084</v>
      </c>
      <c r="AE45" s="88">
        <v>238.37274327640625</v>
      </c>
      <c r="AF45" s="88">
        <v>275.14906372181423</v>
      </c>
      <c r="AG45" s="88">
        <v>123.6014452506612</v>
      </c>
      <c r="AH45" s="88">
        <v>251.74564627808064</v>
      </c>
      <c r="AI45" s="88">
        <v>158.13324778705984</v>
      </c>
      <c r="AJ45" s="88">
        <v>255.63366674728849</v>
      </c>
      <c r="AK45" s="88">
        <v>89.366210318041894</v>
      </c>
      <c r="AL45" s="88">
        <v>62.514553068991169</v>
      </c>
      <c r="AM45" s="88">
        <v>270.43539233794456</v>
      </c>
      <c r="AN45" s="88">
        <v>90.171179718188455</v>
      </c>
      <c r="AO45" s="88">
        <v>43.44617867589168</v>
      </c>
      <c r="AP45" s="88">
        <v>35.526881816168192</v>
      </c>
      <c r="AQ45" s="88">
        <v>23.557196123409732</v>
      </c>
      <c r="AR45" s="88">
        <v>17.242786505945851</v>
      </c>
      <c r="AS45" s="88">
        <v>0</v>
      </c>
      <c r="AT45" s="88">
        <v>119.19311649171848</v>
      </c>
      <c r="AU45" s="88">
        <v>241.693497066644</v>
      </c>
      <c r="AV45" s="88">
        <v>331.06955355946434</v>
      </c>
      <c r="AW45" s="88">
        <v>214.40012292638187</v>
      </c>
      <c r="AX45" s="88">
        <v>97.872931579335344</v>
      </c>
      <c r="AY45" s="88">
        <v>105.54119141666307</v>
      </c>
      <c r="AZ45" s="88">
        <v>60.725827033090653</v>
      </c>
      <c r="BA45" s="88">
        <v>38.829171518613173</v>
      </c>
      <c r="BB45" s="88">
        <v>91.127403976529322</v>
      </c>
      <c r="BC45" s="88">
        <v>194.91002494051418</v>
      </c>
      <c r="BD45" s="88">
        <v>104.10319802198551</v>
      </c>
      <c r="BE45" s="88">
        <v>66.589125376830054</v>
      </c>
      <c r="BF45" s="88">
        <v>136.33226612135584</v>
      </c>
      <c r="BG45" s="88">
        <v>69.040211618601404</v>
      </c>
      <c r="BH45" s="88">
        <v>48.851523558130424</v>
      </c>
      <c r="BI45" s="88">
        <v>182.05003917491618</v>
      </c>
      <c r="BJ45" s="88">
        <v>74.344559612597521</v>
      </c>
      <c r="BK45" s="88">
        <v>169.90247501256187</v>
      </c>
      <c r="BL45" s="88">
        <v>201.70726423033412</v>
      </c>
      <c r="BM45" s="88">
        <v>38.342322780467342</v>
      </c>
      <c r="BN45" s="88">
        <v>95.106007469433095</v>
      </c>
      <c r="BO45" s="88">
        <v>174.57287642222218</v>
      </c>
      <c r="BP45" s="88">
        <v>79.594432771737502</v>
      </c>
      <c r="BQ45" s="88">
        <v>140.20000776053669</v>
      </c>
      <c r="BR45" s="88">
        <v>27.89001299611505</v>
      </c>
      <c r="BS45" s="88">
        <v>154.48265661014298</v>
      </c>
      <c r="BT45" s="88">
        <v>193.38982335405973</v>
      </c>
      <c r="BU45" s="88">
        <v>127.43033900859837</v>
      </c>
      <c r="BV45" s="88">
        <v>162.39149955414553</v>
      </c>
      <c r="BW45" s="88">
        <v>182.29976902699897</v>
      </c>
      <c r="BX45" s="88">
        <v>60.479708640871991</v>
      </c>
      <c r="BY45" s="88">
        <v>77.185524927169226</v>
      </c>
      <c r="BZ45" s="88">
        <v>184.1944365474522</v>
      </c>
      <c r="CA45" s="88">
        <v>140.43465024210028</v>
      </c>
      <c r="CB45" s="88">
        <v>238.40141430748167</v>
      </c>
      <c r="CC45" s="88">
        <v>132.81518407995694</v>
      </c>
      <c r="CD45" s="88">
        <v>102.45038609008037</v>
      </c>
      <c r="CE45" s="88">
        <v>31.983224167335599</v>
      </c>
      <c r="CF45" s="88">
        <v>306.27628876579877</v>
      </c>
      <c r="CG45" s="88">
        <v>78.987478129189398</v>
      </c>
      <c r="CH45" s="88">
        <v>117.16093566446014</v>
      </c>
      <c r="CI45" s="88">
        <v>93.388393042962846</v>
      </c>
      <c r="CJ45" s="88">
        <v>298.21415449225879</v>
      </c>
      <c r="CK45" s="88">
        <v>220.18635027335958</v>
      </c>
      <c r="CL45" s="88">
        <v>132.14792895006235</v>
      </c>
      <c r="CM45" s="88">
        <v>114.52502259664453</v>
      </c>
      <c r="CN45" s="88">
        <v>294.71632564968951</v>
      </c>
      <c r="CO45" s="88">
        <v>55.308234796509311</v>
      </c>
      <c r="CP45" s="88">
        <v>55.44979649268749</v>
      </c>
      <c r="CQ45" s="88">
        <v>129.89175018083864</v>
      </c>
      <c r="CR45" s="88">
        <v>50.04767879513706</v>
      </c>
      <c r="CS45" s="89">
        <v>82.972354519454058</v>
      </c>
    </row>
    <row r="46" spans="2:97" x14ac:dyDescent="0.3">
      <c r="B46" s="83" t="s">
        <v>103</v>
      </c>
      <c r="C46" s="88">
        <v>83.79675705372523</v>
      </c>
      <c r="D46" s="88">
        <v>73.057415361740681</v>
      </c>
      <c r="E46" s="88">
        <v>134.92005300209928</v>
      </c>
      <c r="F46" s="88">
        <v>58.810020176031884</v>
      </c>
      <c r="G46" s="88">
        <v>108.07167917156652</v>
      </c>
      <c r="H46" s="88">
        <v>94.884178872859948</v>
      </c>
      <c r="I46" s="88">
        <v>84.766792897552804</v>
      </c>
      <c r="J46" s="88">
        <v>43.760924990123513</v>
      </c>
      <c r="K46" s="88">
        <v>157.08488523584515</v>
      </c>
      <c r="L46" s="88">
        <v>197.29816096870999</v>
      </c>
      <c r="M46" s="88">
        <v>78.948441516490647</v>
      </c>
      <c r="N46" s="88">
        <v>176.74826352538921</v>
      </c>
      <c r="O46" s="88">
        <v>112.17768352107356</v>
      </c>
      <c r="P46" s="88">
        <v>15.071920061404578</v>
      </c>
      <c r="Q46" s="88">
        <v>145.42154795647673</v>
      </c>
      <c r="R46" s="88">
        <v>64.044514622225805</v>
      </c>
      <c r="S46" s="88">
        <v>197.05436749441421</v>
      </c>
      <c r="T46" s="88">
        <v>47.035326430052621</v>
      </c>
      <c r="U46" s="88">
        <v>63.255114061737807</v>
      </c>
      <c r="V46" s="88">
        <v>27.661213049152291</v>
      </c>
      <c r="W46" s="88">
        <v>145.76350597277369</v>
      </c>
      <c r="X46" s="88">
        <v>94.859295786996398</v>
      </c>
      <c r="Y46" s="88">
        <v>209.41820103379268</v>
      </c>
      <c r="Z46" s="88">
        <v>224.40221992251728</v>
      </c>
      <c r="AA46" s="88">
        <v>41.215461014987369</v>
      </c>
      <c r="AB46" s="88">
        <v>86.403392667175765</v>
      </c>
      <c r="AC46" s="88">
        <v>183.38044763189282</v>
      </c>
      <c r="AD46" s="88">
        <v>110.4600901432989</v>
      </c>
      <c r="AE46" s="88">
        <v>120.51259292363937</v>
      </c>
      <c r="AF46" s="88">
        <v>157.91930418827417</v>
      </c>
      <c r="AG46" s="88">
        <v>67.092688503725597</v>
      </c>
      <c r="AH46" s="88">
        <v>134.29987074426762</v>
      </c>
      <c r="AI46" s="88">
        <v>86.211905628598842</v>
      </c>
      <c r="AJ46" s="88">
        <v>136.63818415236679</v>
      </c>
      <c r="AK46" s="88">
        <v>202.26684354163288</v>
      </c>
      <c r="AL46" s="88">
        <v>161.89757228106538</v>
      </c>
      <c r="AM46" s="88">
        <v>151.74905145286775</v>
      </c>
      <c r="AN46" s="88">
        <v>208.75601679318757</v>
      </c>
      <c r="AO46" s="88">
        <v>159.26275193769092</v>
      </c>
      <c r="AP46" s="88">
        <v>146.17876829246538</v>
      </c>
      <c r="AQ46" s="88">
        <v>107.54191544709811</v>
      </c>
      <c r="AR46" s="88">
        <v>113.82226367288733</v>
      </c>
      <c r="AS46" s="88">
        <v>119.19311649171848</v>
      </c>
      <c r="AT46" s="88">
        <v>0</v>
      </c>
      <c r="AU46" s="88">
        <v>125.88862704287051</v>
      </c>
      <c r="AV46" s="88">
        <v>212.46134570460336</v>
      </c>
      <c r="AW46" s="88">
        <v>100.01299778820422</v>
      </c>
      <c r="AX46" s="88">
        <v>212.46741724590478</v>
      </c>
      <c r="AY46" s="88">
        <v>224.72147586066768</v>
      </c>
      <c r="AZ46" s="88">
        <v>124.59273248504172</v>
      </c>
      <c r="BA46" s="88">
        <v>116.83417140555989</v>
      </c>
      <c r="BB46" s="88">
        <v>98.567523926610065</v>
      </c>
      <c r="BC46" s="88">
        <v>87.379436521848646</v>
      </c>
      <c r="BD46" s="88">
        <v>22.06318608578778</v>
      </c>
      <c r="BE46" s="88">
        <v>184.30111384935591</v>
      </c>
      <c r="BF46" s="88">
        <v>84.975574026733312</v>
      </c>
      <c r="BG46" s="88">
        <v>86.645251406701689</v>
      </c>
      <c r="BH46" s="88">
        <v>93.695803251052766</v>
      </c>
      <c r="BI46" s="88">
        <v>87.467515950483261</v>
      </c>
      <c r="BJ46" s="88">
        <v>181.39147475720148</v>
      </c>
      <c r="BK46" s="88">
        <v>75.672489556628975</v>
      </c>
      <c r="BL46" s="88">
        <v>101.57630452321541</v>
      </c>
      <c r="BM46" s="88">
        <v>95.457961213939043</v>
      </c>
      <c r="BN46" s="88">
        <v>83.541243526071639</v>
      </c>
      <c r="BO46" s="88">
        <v>59.089032535071603</v>
      </c>
      <c r="BP46" s="88">
        <v>193.26454417086697</v>
      </c>
      <c r="BQ46" s="88">
        <v>21.439296117461982</v>
      </c>
      <c r="BR46" s="88">
        <v>131.74774974568251</v>
      </c>
      <c r="BS46" s="88">
        <v>35.962525981177386</v>
      </c>
      <c r="BT46" s="88">
        <v>107.12892360510737</v>
      </c>
      <c r="BU46" s="88">
        <v>18.046812278641184</v>
      </c>
      <c r="BV46" s="88">
        <v>66.604562846208935</v>
      </c>
      <c r="BW46" s="88">
        <v>73.231505485369595</v>
      </c>
      <c r="BX46" s="88">
        <v>67.498193682460567</v>
      </c>
      <c r="BY46" s="88">
        <v>54.710040524713747</v>
      </c>
      <c r="BZ46" s="88">
        <v>65.192020953424006</v>
      </c>
      <c r="CA46" s="88">
        <v>69.787998427121536</v>
      </c>
      <c r="CB46" s="88">
        <v>126.32932538752416</v>
      </c>
      <c r="CC46" s="88">
        <v>249.97751213572806</v>
      </c>
      <c r="CD46" s="88">
        <v>17.470650922880473</v>
      </c>
      <c r="CE46" s="88">
        <v>120.6904644159322</v>
      </c>
      <c r="CF46" s="88">
        <v>187.45169823654081</v>
      </c>
      <c r="CG46" s="88">
        <v>44.400972690570981</v>
      </c>
      <c r="CH46" s="88">
        <v>235.93150158042425</v>
      </c>
      <c r="CI46" s="88">
        <v>26.982477184045621</v>
      </c>
      <c r="CJ46" s="88">
        <v>181.31464870483052</v>
      </c>
      <c r="CK46" s="88">
        <v>102.24474459150581</v>
      </c>
      <c r="CL46" s="88">
        <v>47.423339163753539</v>
      </c>
      <c r="CM46" s="88">
        <v>47.356507176085088</v>
      </c>
      <c r="CN46" s="88">
        <v>176.72757795552246</v>
      </c>
      <c r="CO46" s="88">
        <v>141.42747683105796</v>
      </c>
      <c r="CP46" s="88">
        <v>169.41774272085311</v>
      </c>
      <c r="CQ46" s="88">
        <v>32.263462000694339</v>
      </c>
      <c r="CR46" s="88">
        <v>75.528805839778855</v>
      </c>
      <c r="CS46" s="89">
        <v>37.588451878357567</v>
      </c>
    </row>
    <row r="47" spans="2:97" x14ac:dyDescent="0.3">
      <c r="B47" s="83" t="s">
        <v>104</v>
      </c>
      <c r="C47" s="88">
        <v>42.233784391378492</v>
      </c>
      <c r="D47" s="88">
        <v>172.78063390881979</v>
      </c>
      <c r="E47" s="88">
        <v>257.9858188699481</v>
      </c>
      <c r="F47" s="88">
        <v>103.35374177837616</v>
      </c>
      <c r="G47" s="88">
        <v>36.74347269158617</v>
      </c>
      <c r="H47" s="88">
        <v>100.65534758765816</v>
      </c>
      <c r="I47" s="88">
        <v>46.112143455459943</v>
      </c>
      <c r="J47" s="88">
        <v>147.18669817375726</v>
      </c>
      <c r="K47" s="88">
        <v>279.52281892580481</v>
      </c>
      <c r="L47" s="88">
        <v>75.384505134664821</v>
      </c>
      <c r="M47" s="88">
        <v>203.47640523253801</v>
      </c>
      <c r="N47" s="88">
        <v>292.82212796050698</v>
      </c>
      <c r="O47" s="88">
        <v>32.309788774442445</v>
      </c>
      <c r="P47" s="88">
        <v>121.72967974147164</v>
      </c>
      <c r="Q47" s="88">
        <v>20.128516538657891</v>
      </c>
      <c r="R47" s="88">
        <v>152.25845379237938</v>
      </c>
      <c r="S47" s="88">
        <v>318.69607253039084</v>
      </c>
      <c r="T47" s="88">
        <v>86.983066480505883</v>
      </c>
      <c r="U47" s="88">
        <v>186.40668838942165</v>
      </c>
      <c r="V47" s="88">
        <v>133.3810186309654</v>
      </c>
      <c r="W47" s="88">
        <v>262.83787933487395</v>
      </c>
      <c r="X47" s="88">
        <v>218.26450115112141</v>
      </c>
      <c r="Y47" s="88">
        <v>333.07972658507174</v>
      </c>
      <c r="Z47" s="88">
        <v>340.07719705332568</v>
      </c>
      <c r="AA47" s="88">
        <v>85.860624060058669</v>
      </c>
      <c r="AB47" s="88">
        <v>160.91351463743243</v>
      </c>
      <c r="AC47" s="88">
        <v>306.37817328529366</v>
      </c>
      <c r="AD47" s="88">
        <v>209.75541264421511</v>
      </c>
      <c r="AE47" s="88">
        <v>15.952627111669404</v>
      </c>
      <c r="AF47" s="88">
        <v>34.580375836526073</v>
      </c>
      <c r="AG47" s="88">
        <v>135.56415971898821</v>
      </c>
      <c r="AH47" s="88">
        <v>15.22738901807943</v>
      </c>
      <c r="AI47" s="88">
        <v>113.6491159258991</v>
      </c>
      <c r="AJ47" s="88">
        <v>34.942502903745527</v>
      </c>
      <c r="AK47" s="88">
        <v>316.68269407441824</v>
      </c>
      <c r="AL47" s="88">
        <v>272.35253226187706</v>
      </c>
      <c r="AM47" s="88">
        <v>38.810741697187936</v>
      </c>
      <c r="AN47" s="88">
        <v>328.40417769059303</v>
      </c>
      <c r="AO47" s="88">
        <v>277.90280562777394</v>
      </c>
      <c r="AP47" s="88">
        <v>271.22633504124826</v>
      </c>
      <c r="AQ47" s="88">
        <v>225.80608151789269</v>
      </c>
      <c r="AR47" s="88">
        <v>238.60715790081309</v>
      </c>
      <c r="AS47" s="88">
        <v>241.693497066644</v>
      </c>
      <c r="AT47" s="88">
        <v>125.88862704287051</v>
      </c>
      <c r="AU47" s="88">
        <v>0</v>
      </c>
      <c r="AV47" s="88">
        <v>93.064950322566048</v>
      </c>
      <c r="AW47" s="88">
        <v>27.699525281438781</v>
      </c>
      <c r="AX47" s="88">
        <v>337.50891265323713</v>
      </c>
      <c r="AY47" s="88">
        <v>346.4108595563427</v>
      </c>
      <c r="AZ47" s="88">
        <v>228.97701887638405</v>
      </c>
      <c r="BA47" s="88">
        <v>229.52305319854193</v>
      </c>
      <c r="BB47" s="88">
        <v>187.31468670256788</v>
      </c>
      <c r="BC47" s="88">
        <v>53.11653355819594</v>
      </c>
      <c r="BD47" s="88">
        <v>146.35122794075568</v>
      </c>
      <c r="BE47" s="88">
        <v>303.38642105123739</v>
      </c>
      <c r="BF47" s="88">
        <v>137.75126892006011</v>
      </c>
      <c r="BG47" s="88">
        <v>190.24334007063356</v>
      </c>
      <c r="BH47" s="88">
        <v>205.43838798723058</v>
      </c>
      <c r="BI47" s="88">
        <v>78.605592247131526</v>
      </c>
      <c r="BJ47" s="88">
        <v>293.52348824577723</v>
      </c>
      <c r="BK47" s="88">
        <v>85.114501813305253</v>
      </c>
      <c r="BL47" s="88">
        <v>61.698660002877375</v>
      </c>
      <c r="BM47" s="88">
        <v>221.27941995256089</v>
      </c>
      <c r="BN47" s="88">
        <v>171.73036091757939</v>
      </c>
      <c r="BO47" s="88">
        <v>67.369529196601022</v>
      </c>
      <c r="BP47" s="88">
        <v>318.39818061073601</v>
      </c>
      <c r="BQ47" s="88">
        <v>104.61869051153974</v>
      </c>
      <c r="BR47" s="88">
        <v>248.57292838058316</v>
      </c>
      <c r="BS47" s="88">
        <v>97.162996079646575</v>
      </c>
      <c r="BT47" s="88">
        <v>88.269014341690777</v>
      </c>
      <c r="BU47" s="88">
        <v>114.48688027276421</v>
      </c>
      <c r="BV47" s="88">
        <v>88.205853331752351</v>
      </c>
      <c r="BW47" s="88">
        <v>61.810459140855507</v>
      </c>
      <c r="BX47" s="88">
        <v>193.37905761094069</v>
      </c>
      <c r="BY47" s="88">
        <v>166.67177288763315</v>
      </c>
      <c r="BZ47" s="88">
        <v>64.391322166053016</v>
      </c>
      <c r="CA47" s="88">
        <v>119.71809231557529</v>
      </c>
      <c r="CB47" s="88">
        <v>18.897537382682305</v>
      </c>
      <c r="CC47" s="88">
        <v>366.77786392244053</v>
      </c>
      <c r="CD47" s="88">
        <v>140.64532518324029</v>
      </c>
      <c r="CE47" s="88">
        <v>246.44559017524628</v>
      </c>
      <c r="CF47" s="88">
        <v>71.125331411011118</v>
      </c>
      <c r="CG47" s="88">
        <v>170.28431488964998</v>
      </c>
      <c r="CH47" s="88">
        <v>355.52447411411157</v>
      </c>
      <c r="CI47" s="88">
        <v>152.81421270319515</v>
      </c>
      <c r="CJ47" s="88">
        <v>56.737946088346362</v>
      </c>
      <c r="CK47" s="88">
        <v>27.260656706570078</v>
      </c>
      <c r="CL47" s="88">
        <v>114.90290389076691</v>
      </c>
      <c r="CM47" s="88">
        <v>133.01390523089026</v>
      </c>
      <c r="CN47" s="88">
        <v>55.476507686237682</v>
      </c>
      <c r="CO47" s="88">
        <v>249.96781269678453</v>
      </c>
      <c r="CP47" s="88">
        <v>294.29413797054525</v>
      </c>
      <c r="CQ47" s="88">
        <v>112.56907917496814</v>
      </c>
      <c r="CR47" s="88">
        <v>193.22823503609715</v>
      </c>
      <c r="CS47" s="89">
        <v>159.50515726349667</v>
      </c>
    </row>
    <row r="48" spans="2:97" x14ac:dyDescent="0.3">
      <c r="B48" s="83" t="s">
        <v>105</v>
      </c>
      <c r="C48" s="88">
        <v>132.66428091267372</v>
      </c>
      <c r="D48" s="88">
        <v>265.46876134458569</v>
      </c>
      <c r="E48" s="88">
        <v>347.08040024252773</v>
      </c>
      <c r="F48" s="88">
        <v>196.41456555639516</v>
      </c>
      <c r="G48" s="88">
        <v>127.29970759887755</v>
      </c>
      <c r="H48" s="88">
        <v>190.8827835166133</v>
      </c>
      <c r="I48" s="88">
        <v>127.69792028985445</v>
      </c>
      <c r="J48" s="88">
        <v>238.97064644919601</v>
      </c>
      <c r="K48" s="88">
        <v>369.04559954333149</v>
      </c>
      <c r="L48" s="88">
        <v>18.9802879068083</v>
      </c>
      <c r="M48" s="88">
        <v>291.38768774346011</v>
      </c>
      <c r="N48" s="88">
        <v>384.61191756789248</v>
      </c>
      <c r="O48" s="88">
        <v>100.45140139273755</v>
      </c>
      <c r="P48" s="88">
        <v>205.02803851380654</v>
      </c>
      <c r="Q48" s="88">
        <v>79.631830601512874</v>
      </c>
      <c r="R48" s="88">
        <v>245.18564039343374</v>
      </c>
      <c r="S48" s="88">
        <v>408.73401081408406</v>
      </c>
      <c r="T48" s="88">
        <v>178.74815612120076</v>
      </c>
      <c r="U48" s="88">
        <v>275.1540502471961</v>
      </c>
      <c r="V48" s="88">
        <v>224.17625993445262</v>
      </c>
      <c r="W48" s="88">
        <v>354.26411495628054</v>
      </c>
      <c r="X48" s="88">
        <v>307.03072165858072</v>
      </c>
      <c r="Y48" s="88">
        <v>421.83558280511625</v>
      </c>
      <c r="Z48" s="88">
        <v>432.1011328213184</v>
      </c>
      <c r="AA48" s="88">
        <v>171.24918691614749</v>
      </c>
      <c r="AB48" s="88">
        <v>253.83984174277134</v>
      </c>
      <c r="AC48" s="88">
        <v>395.60571184178673</v>
      </c>
      <c r="AD48" s="88">
        <v>302.74702501041884</v>
      </c>
      <c r="AE48" s="88">
        <v>93.000683323337498</v>
      </c>
      <c r="AF48" s="88">
        <v>58.579105366925383</v>
      </c>
      <c r="AG48" s="88">
        <v>228.61801890751181</v>
      </c>
      <c r="AH48" s="88">
        <v>80.398128894820445</v>
      </c>
      <c r="AI48" s="88">
        <v>205.29368742255468</v>
      </c>
      <c r="AJ48" s="88">
        <v>76.209157232349725</v>
      </c>
      <c r="AK48" s="88">
        <v>408.87475407838394</v>
      </c>
      <c r="AL48" s="88">
        <v>364.92634932302923</v>
      </c>
      <c r="AM48" s="88">
        <v>60.71237537248647</v>
      </c>
      <c r="AN48" s="88">
        <v>419.31475565858153</v>
      </c>
      <c r="AO48" s="88">
        <v>368.97711741727971</v>
      </c>
      <c r="AP48" s="88">
        <v>358.52500449740899</v>
      </c>
      <c r="AQ48" s="88">
        <v>316.69181483832591</v>
      </c>
      <c r="AR48" s="88">
        <v>326.2728423204191</v>
      </c>
      <c r="AS48" s="88">
        <v>331.06955355946434</v>
      </c>
      <c r="AT48" s="88">
        <v>212.46134570460336</v>
      </c>
      <c r="AU48" s="88">
        <v>93.064950322566048</v>
      </c>
      <c r="AV48" s="88">
        <v>0</v>
      </c>
      <c r="AW48" s="88">
        <v>120.45456452082689</v>
      </c>
      <c r="AX48" s="88">
        <v>424.71870151517794</v>
      </c>
      <c r="AY48" s="88">
        <v>436.47627478808511</v>
      </c>
      <c r="AZ48" s="88">
        <v>321.83720808110434</v>
      </c>
      <c r="BA48" s="88">
        <v>321.5735817202418</v>
      </c>
      <c r="BB48" s="88">
        <v>280.3738377387358</v>
      </c>
      <c r="BC48" s="88">
        <v>145.98933141562495</v>
      </c>
      <c r="BD48" s="88">
        <v>230.72635059056282</v>
      </c>
      <c r="BE48" s="88">
        <v>394.41659513631737</v>
      </c>
      <c r="BF48" s="88">
        <v>230.13545654607555</v>
      </c>
      <c r="BG48" s="88">
        <v>282.88290541105494</v>
      </c>
      <c r="BH48" s="88">
        <v>297.41096702152015</v>
      </c>
      <c r="BI48" s="88">
        <v>170.18851874892439</v>
      </c>
      <c r="BJ48" s="88">
        <v>385.9794031330967</v>
      </c>
      <c r="BK48" s="88">
        <v>177.79109148448953</v>
      </c>
      <c r="BL48" s="88">
        <v>151.31381616469699</v>
      </c>
      <c r="BM48" s="88">
        <v>307.08158753668624</v>
      </c>
      <c r="BN48" s="88">
        <v>264.7892192979221</v>
      </c>
      <c r="BO48" s="88">
        <v>157.241584205507</v>
      </c>
      <c r="BP48" s="88">
        <v>405.48813073764126</v>
      </c>
      <c r="BQ48" s="88">
        <v>191.12874501193434</v>
      </c>
      <c r="BR48" s="88">
        <v>339.97880406078161</v>
      </c>
      <c r="BS48" s="88">
        <v>179.02664889017061</v>
      </c>
      <c r="BT48" s="88">
        <v>175.74682999004841</v>
      </c>
      <c r="BU48" s="88">
        <v>203.90859781933781</v>
      </c>
      <c r="BV48" s="88">
        <v>181.24548882830155</v>
      </c>
      <c r="BW48" s="88">
        <v>154.72764237776849</v>
      </c>
      <c r="BX48" s="88">
        <v>278.62971239673027</v>
      </c>
      <c r="BY48" s="88">
        <v>257.99869042435313</v>
      </c>
      <c r="BZ48" s="88">
        <v>147.30785304905984</v>
      </c>
      <c r="CA48" s="88">
        <v>212.61424488896645</v>
      </c>
      <c r="CB48" s="88">
        <v>104.1315983178264</v>
      </c>
      <c r="CC48" s="88">
        <v>458.61912138412322</v>
      </c>
      <c r="CD48" s="88">
        <v>228.70580192100098</v>
      </c>
      <c r="CE48" s="88">
        <v>332.36002803175887</v>
      </c>
      <c r="CF48" s="88">
        <v>25.434302238922591</v>
      </c>
      <c r="CG48" s="88">
        <v>255.91657304966759</v>
      </c>
      <c r="CH48" s="88">
        <v>446.51871057983311</v>
      </c>
      <c r="CI48" s="88">
        <v>239.21709403814927</v>
      </c>
      <c r="CJ48" s="88">
        <v>40.112247466265657</v>
      </c>
      <c r="CK48" s="88">
        <v>111.00351552234598</v>
      </c>
      <c r="CL48" s="88">
        <v>207.6687620009919</v>
      </c>
      <c r="CM48" s="88">
        <v>225.61604596764039</v>
      </c>
      <c r="CN48" s="88">
        <v>37.588563236592577</v>
      </c>
      <c r="CO48" s="88">
        <v>342.63130910141808</v>
      </c>
      <c r="CP48" s="88">
        <v>381.79661605773532</v>
      </c>
      <c r="CQ48" s="88">
        <v>204.08950777813752</v>
      </c>
      <c r="CR48" s="88">
        <v>283.93810433451011</v>
      </c>
      <c r="CS48" s="89">
        <v>248.66125998376623</v>
      </c>
    </row>
    <row r="49" spans="2:97" x14ac:dyDescent="0.3">
      <c r="B49" s="83" t="s">
        <v>106</v>
      </c>
      <c r="C49" s="88">
        <v>16.964781743231917</v>
      </c>
      <c r="D49" s="88">
        <v>145.13823944708719</v>
      </c>
      <c r="E49" s="88">
        <v>230.73759325497184</v>
      </c>
      <c r="F49" s="88">
        <v>76.121206423595353</v>
      </c>
      <c r="G49" s="88">
        <v>21.139901976262003</v>
      </c>
      <c r="H49" s="88">
        <v>77.727515789104018</v>
      </c>
      <c r="I49" s="88">
        <v>30.702682408127195</v>
      </c>
      <c r="J49" s="88">
        <v>119.51664417262648</v>
      </c>
      <c r="K49" s="88">
        <v>252.16163920888945</v>
      </c>
      <c r="L49" s="88">
        <v>103.0055282438656</v>
      </c>
      <c r="M49" s="88">
        <v>176.63486624397382</v>
      </c>
      <c r="N49" s="88">
        <v>265.12848674998008</v>
      </c>
      <c r="O49" s="88">
        <v>37.349350913236741</v>
      </c>
      <c r="P49" s="88">
        <v>97.393072330315334</v>
      </c>
      <c r="Q49" s="88">
        <v>45.842729107366836</v>
      </c>
      <c r="R49" s="88">
        <v>124.73282896191024</v>
      </c>
      <c r="S49" s="88">
        <v>291.21389980815076</v>
      </c>
      <c r="T49" s="88">
        <v>59.383249343677541</v>
      </c>
      <c r="U49" s="88">
        <v>159.37466384557851</v>
      </c>
      <c r="V49" s="88">
        <v>105.92229016125125</v>
      </c>
      <c r="W49" s="88">
        <v>235.17401346284717</v>
      </c>
      <c r="X49" s="88">
        <v>191.15412482692619</v>
      </c>
      <c r="Y49" s="88">
        <v>305.83826282382074</v>
      </c>
      <c r="Z49" s="88">
        <v>312.37771280683756</v>
      </c>
      <c r="AA49" s="88">
        <v>61.579722717197114</v>
      </c>
      <c r="AB49" s="88">
        <v>134.1620604515974</v>
      </c>
      <c r="AC49" s="88">
        <v>279.05761598308658</v>
      </c>
      <c r="AD49" s="88">
        <v>182.29603357450307</v>
      </c>
      <c r="AE49" s="88">
        <v>30.830887131825829</v>
      </c>
      <c r="AF49" s="88">
        <v>62.183730393524158</v>
      </c>
      <c r="AG49" s="88">
        <v>108.49279913938341</v>
      </c>
      <c r="AH49" s="88">
        <v>40.47086104320087</v>
      </c>
      <c r="AI49" s="88">
        <v>88.880285666135507</v>
      </c>
      <c r="AJ49" s="88">
        <v>54.103838696969113</v>
      </c>
      <c r="AK49" s="88">
        <v>288.98643669019822</v>
      </c>
      <c r="AL49" s="88">
        <v>244.69387185772115</v>
      </c>
      <c r="AM49" s="88">
        <v>63.35248351875682</v>
      </c>
      <c r="AN49" s="88">
        <v>300.78625592257771</v>
      </c>
      <c r="AO49" s="88">
        <v>250.27574348701316</v>
      </c>
      <c r="AP49" s="88">
        <v>244.39910296985275</v>
      </c>
      <c r="AQ49" s="88">
        <v>198.22559864328309</v>
      </c>
      <c r="AR49" s="88">
        <v>211.74613496976806</v>
      </c>
      <c r="AS49" s="88">
        <v>214.40012292638187</v>
      </c>
      <c r="AT49" s="88">
        <v>100.01299778820422</v>
      </c>
      <c r="AU49" s="88">
        <v>27.699525281438781</v>
      </c>
      <c r="AV49" s="88">
        <v>120.45456452082689</v>
      </c>
      <c r="AW49" s="88">
        <v>0</v>
      </c>
      <c r="AX49" s="88">
        <v>310.6122775555541</v>
      </c>
      <c r="AY49" s="88">
        <v>318.91310540029082</v>
      </c>
      <c r="AZ49" s="88">
        <v>201.41021659208201</v>
      </c>
      <c r="BA49" s="88">
        <v>201.82386032018044</v>
      </c>
      <c r="BB49" s="88">
        <v>160.16376943371995</v>
      </c>
      <c r="BC49" s="88">
        <v>27.536882534891742</v>
      </c>
      <c r="BD49" s="88">
        <v>121.11663398958538</v>
      </c>
      <c r="BE49" s="88">
        <v>275.75886718715338</v>
      </c>
      <c r="BF49" s="88">
        <v>111.87468795884813</v>
      </c>
      <c r="BG49" s="88">
        <v>162.59073795176351</v>
      </c>
      <c r="BH49" s="88">
        <v>177.74211339887822</v>
      </c>
      <c r="BI49" s="88">
        <v>54.734553986034683</v>
      </c>
      <c r="BJ49" s="88">
        <v>265.84744881375167</v>
      </c>
      <c r="BK49" s="88">
        <v>59.252260012917716</v>
      </c>
      <c r="BL49" s="88">
        <v>41.929193458984749</v>
      </c>
      <c r="BM49" s="88">
        <v>195.00682259237348</v>
      </c>
      <c r="BN49" s="88">
        <v>144.43276968244973</v>
      </c>
      <c r="BO49" s="88">
        <v>40.936740493681782</v>
      </c>
      <c r="BP49" s="88">
        <v>291.55310072358077</v>
      </c>
      <c r="BQ49" s="88">
        <v>79.130630888513593</v>
      </c>
      <c r="BR49" s="88">
        <v>220.91392820382947</v>
      </c>
      <c r="BS49" s="88">
        <v>74.397200818555575</v>
      </c>
      <c r="BT49" s="88">
        <v>68.708456931041042</v>
      </c>
      <c r="BU49" s="88">
        <v>87.56232758654734</v>
      </c>
      <c r="BV49" s="88">
        <v>61.337315080920355</v>
      </c>
      <c r="BW49" s="88">
        <v>34.276274194740154</v>
      </c>
      <c r="BX49" s="88">
        <v>167.41430383832591</v>
      </c>
      <c r="BY49" s="88">
        <v>139.05569751945865</v>
      </c>
      <c r="BZ49" s="88">
        <v>43.581140189581987</v>
      </c>
      <c r="CA49" s="88">
        <v>93.139011805096828</v>
      </c>
      <c r="CB49" s="88">
        <v>27.218302796180208</v>
      </c>
      <c r="CC49" s="88">
        <v>339.08019949885613</v>
      </c>
      <c r="CD49" s="88">
        <v>114.03919074518849</v>
      </c>
      <c r="CE49" s="88">
        <v>220.05545629527606</v>
      </c>
      <c r="CF49" s="88">
        <v>97.750904955016125</v>
      </c>
      <c r="CG49" s="88">
        <v>144.33822106019082</v>
      </c>
      <c r="CH49" s="88">
        <v>327.89165271251181</v>
      </c>
      <c r="CI49" s="88">
        <v>126.7247619837223</v>
      </c>
      <c r="CJ49" s="88">
        <v>84.399185532089305</v>
      </c>
      <c r="CK49" s="88">
        <v>21.093984902010835</v>
      </c>
      <c r="CL49" s="88">
        <v>87.274911652660961</v>
      </c>
      <c r="CM49" s="88">
        <v>105.34301641278672</v>
      </c>
      <c r="CN49" s="88">
        <v>82.911875713019754</v>
      </c>
      <c r="CO49" s="88">
        <v>222.32752792508839</v>
      </c>
      <c r="CP49" s="88">
        <v>267.37947009171336</v>
      </c>
      <c r="CQ49" s="88">
        <v>84.975194433499098</v>
      </c>
      <c r="CR49" s="88">
        <v>165.70192363375588</v>
      </c>
      <c r="CS49" s="89">
        <v>132.43911657781865</v>
      </c>
    </row>
    <row r="50" spans="2:97" x14ac:dyDescent="0.3">
      <c r="B50" s="83" t="s">
        <v>107</v>
      </c>
      <c r="C50" s="88">
        <v>295.29039704840852</v>
      </c>
      <c r="D50" s="88">
        <v>178.90634978867001</v>
      </c>
      <c r="E50" s="88">
        <v>81.499157935694683</v>
      </c>
      <c r="F50" s="88">
        <v>245.01851454279409</v>
      </c>
      <c r="G50" s="88">
        <v>314.16436592260516</v>
      </c>
      <c r="H50" s="88">
        <v>272.17588261002089</v>
      </c>
      <c r="I50" s="88">
        <v>297.13935229267213</v>
      </c>
      <c r="J50" s="88">
        <v>194.94830507658534</v>
      </c>
      <c r="K50" s="88">
        <v>63.306933107581742</v>
      </c>
      <c r="L50" s="88">
        <v>409.76302092470041</v>
      </c>
      <c r="M50" s="88">
        <v>134.03266463621159</v>
      </c>
      <c r="N50" s="88">
        <v>80.016879243858</v>
      </c>
      <c r="O50" s="88">
        <v>324.27456491379348</v>
      </c>
      <c r="P50" s="88">
        <v>219.88541191524129</v>
      </c>
      <c r="Q50" s="88">
        <v>356.45415212082986</v>
      </c>
      <c r="R50" s="88">
        <v>199.87762824971344</v>
      </c>
      <c r="S50" s="88">
        <v>41.086549553292983</v>
      </c>
      <c r="T50" s="88">
        <v>252.04097984440799</v>
      </c>
      <c r="U50" s="88">
        <v>151.26777332435512</v>
      </c>
      <c r="V50" s="88">
        <v>205.54954626644354</v>
      </c>
      <c r="W50" s="88">
        <v>92.436573302888874</v>
      </c>
      <c r="X50" s="88">
        <v>119.69330235362459</v>
      </c>
      <c r="Y50" s="88">
        <v>19.570262950352973</v>
      </c>
      <c r="Z50" s="88">
        <v>78.712995842884681</v>
      </c>
      <c r="AA50" s="88">
        <v>253.63711066274666</v>
      </c>
      <c r="AB50" s="88">
        <v>207.29653649017121</v>
      </c>
      <c r="AC50" s="88">
        <v>39.043105951457854</v>
      </c>
      <c r="AD50" s="88">
        <v>158.41686667607402</v>
      </c>
      <c r="AE50" s="88">
        <v>332.95717974665558</v>
      </c>
      <c r="AF50" s="88">
        <v>370.25497165263562</v>
      </c>
      <c r="AG50" s="88">
        <v>220.90426496837077</v>
      </c>
      <c r="AH50" s="88">
        <v>346.66958369598751</v>
      </c>
      <c r="AI50" s="88">
        <v>255.29355291599578</v>
      </c>
      <c r="AJ50" s="88">
        <v>348.62191223540117</v>
      </c>
      <c r="AK50" s="88">
        <v>82.808125787924951</v>
      </c>
      <c r="AL50" s="88">
        <v>107.41153184740271</v>
      </c>
      <c r="AM50" s="88">
        <v>364.03838145280594</v>
      </c>
      <c r="AN50" s="88">
        <v>53.233447672176659</v>
      </c>
      <c r="AO50" s="88">
        <v>77.62538427479268</v>
      </c>
      <c r="AP50" s="88">
        <v>66.31861023918249</v>
      </c>
      <c r="AQ50" s="88">
        <v>118.58820907628774</v>
      </c>
      <c r="AR50" s="88">
        <v>98.901971138166701</v>
      </c>
      <c r="AS50" s="88">
        <v>97.872931579335344</v>
      </c>
      <c r="AT50" s="88">
        <v>212.46741724590478</v>
      </c>
      <c r="AU50" s="88">
        <v>337.50891265323713</v>
      </c>
      <c r="AV50" s="88">
        <v>424.71870151517794</v>
      </c>
      <c r="AW50" s="88">
        <v>310.6122775555541</v>
      </c>
      <c r="AX50" s="88">
        <v>0</v>
      </c>
      <c r="AY50" s="88">
        <v>40.414588925274295</v>
      </c>
      <c r="AZ50" s="88">
        <v>140.60301955533666</v>
      </c>
      <c r="BA50" s="88">
        <v>124.98506325112257</v>
      </c>
      <c r="BB50" s="88">
        <v>182.49287951973426</v>
      </c>
      <c r="BC50" s="88">
        <v>292.25585120323689</v>
      </c>
      <c r="BD50" s="88">
        <v>194.14308085336233</v>
      </c>
      <c r="BE50" s="88">
        <v>62.134029843676707</v>
      </c>
      <c r="BF50" s="88">
        <v>232.41532564425879</v>
      </c>
      <c r="BG50" s="88">
        <v>163.91164291725576</v>
      </c>
      <c r="BH50" s="88">
        <v>143.85276099092707</v>
      </c>
      <c r="BI50" s="88">
        <v>279.92288952279068</v>
      </c>
      <c r="BJ50" s="88">
        <v>95.539679552219127</v>
      </c>
      <c r="BK50" s="88">
        <v>267.76642399895229</v>
      </c>
      <c r="BL50" s="88">
        <v>299.55074249723191</v>
      </c>
      <c r="BM50" s="88">
        <v>117.81541560961172</v>
      </c>
      <c r="BN50" s="88">
        <v>189.93149622722788</v>
      </c>
      <c r="BO50" s="88">
        <v>270.13978486009569</v>
      </c>
      <c r="BP50" s="88">
        <v>19.237069608811431</v>
      </c>
      <c r="BQ50" s="88">
        <v>233.89687118118709</v>
      </c>
      <c r="BR50" s="88">
        <v>103.08593403763795</v>
      </c>
      <c r="BS50" s="88">
        <v>245.89750198307726</v>
      </c>
      <c r="BT50" s="88">
        <v>290.93543894986755</v>
      </c>
      <c r="BU50" s="88">
        <v>223.07431656787207</v>
      </c>
      <c r="BV50" s="88">
        <v>260.19439173631025</v>
      </c>
      <c r="BW50" s="88">
        <v>279.34125118817013</v>
      </c>
      <c r="BX50" s="88">
        <v>146.30932685925146</v>
      </c>
      <c r="BY50" s="88">
        <v>175.01105575697079</v>
      </c>
      <c r="BZ50" s="88">
        <v>277.45066300200421</v>
      </c>
      <c r="CA50" s="88">
        <v>237.98759934487123</v>
      </c>
      <c r="CB50" s="88">
        <v>335.32300282483919</v>
      </c>
      <c r="CC50" s="88">
        <v>82.586193950548122</v>
      </c>
      <c r="CD50" s="88">
        <v>196.92037244033989</v>
      </c>
      <c r="CE50" s="88">
        <v>92.678571584268255</v>
      </c>
      <c r="CF50" s="88">
        <v>399.55005410021766</v>
      </c>
      <c r="CG50" s="88">
        <v>168.82088282358325</v>
      </c>
      <c r="CH50" s="88">
        <v>59.700143934626531</v>
      </c>
      <c r="CI50" s="88">
        <v>185.57140536416958</v>
      </c>
      <c r="CJ50" s="88">
        <v>393.56842722354924</v>
      </c>
      <c r="CK50" s="88">
        <v>314.68752734596546</v>
      </c>
      <c r="CL50" s="88">
        <v>229.95385879246496</v>
      </c>
      <c r="CM50" s="88">
        <v>212.39617859404675</v>
      </c>
      <c r="CN50" s="88">
        <v>389.19465793739647</v>
      </c>
      <c r="CO50" s="88">
        <v>121.83908695337773</v>
      </c>
      <c r="CP50" s="88">
        <v>43.234240093245262</v>
      </c>
      <c r="CQ50" s="88">
        <v>226.96677586932267</v>
      </c>
      <c r="CR50" s="88">
        <v>147.91504887239549</v>
      </c>
      <c r="CS50" s="89">
        <v>178.6993888050369</v>
      </c>
    </row>
    <row r="51" spans="2:97" x14ac:dyDescent="0.3">
      <c r="B51" s="83" t="s">
        <v>108</v>
      </c>
      <c r="C51" s="88">
        <v>304.65155731536191</v>
      </c>
      <c r="D51" s="88">
        <v>178.79613523263649</v>
      </c>
      <c r="E51" s="88">
        <v>89.936564116724909</v>
      </c>
      <c r="F51" s="88">
        <v>248.46323687036025</v>
      </c>
      <c r="G51" s="88">
        <v>319.81297509970551</v>
      </c>
      <c r="H51" s="88">
        <v>271.56349311931444</v>
      </c>
      <c r="I51" s="88">
        <v>309.04055554743314</v>
      </c>
      <c r="J51" s="88">
        <v>199.92822965565816</v>
      </c>
      <c r="K51" s="88">
        <v>67.655160477665177</v>
      </c>
      <c r="L51" s="88">
        <v>420.50993864393729</v>
      </c>
      <c r="M51" s="88">
        <v>146.22198964198094</v>
      </c>
      <c r="N51" s="88">
        <v>61.715487783815014</v>
      </c>
      <c r="O51" s="88">
        <v>336.68235564001475</v>
      </c>
      <c r="P51" s="88">
        <v>234.27125383156877</v>
      </c>
      <c r="Q51" s="88">
        <v>364.47052660964306</v>
      </c>
      <c r="R51" s="88">
        <v>200.43257819903593</v>
      </c>
      <c r="S51" s="88">
        <v>27.745654034561294</v>
      </c>
      <c r="T51" s="88">
        <v>259.54935396908286</v>
      </c>
      <c r="U51" s="88">
        <v>161.53071579930344</v>
      </c>
      <c r="V51" s="88">
        <v>213.03013228378029</v>
      </c>
      <c r="W51" s="88">
        <v>86.039632228010859</v>
      </c>
      <c r="X51" s="88">
        <v>129.89396622020143</v>
      </c>
      <c r="Y51" s="88">
        <v>23.925828806481785</v>
      </c>
      <c r="Z51" s="88">
        <v>40.757485737292861</v>
      </c>
      <c r="AA51" s="88">
        <v>265.66468277933075</v>
      </c>
      <c r="AB51" s="88">
        <v>203.34677391072353</v>
      </c>
      <c r="AC51" s="88">
        <v>42.314299560244613</v>
      </c>
      <c r="AD51" s="88">
        <v>150.95661766053524</v>
      </c>
      <c r="AE51" s="88">
        <v>343.65135372009894</v>
      </c>
      <c r="AF51" s="88">
        <v>380.17850169022722</v>
      </c>
      <c r="AG51" s="88">
        <v>220.96762846325962</v>
      </c>
      <c r="AH51" s="88">
        <v>356.88945077351974</v>
      </c>
      <c r="AI51" s="88">
        <v>254.28341094949153</v>
      </c>
      <c r="AJ51" s="88">
        <v>361.1588549553345</v>
      </c>
      <c r="AK51" s="88">
        <v>52.405099509032759</v>
      </c>
      <c r="AL51" s="88">
        <v>90.088344411059225</v>
      </c>
      <c r="AM51" s="88">
        <v>375.89036774925859</v>
      </c>
      <c r="AN51" s="88">
        <v>22.981062559854692</v>
      </c>
      <c r="AO51" s="88">
        <v>70.053175277428565</v>
      </c>
      <c r="AP51" s="88">
        <v>84.043887320830947</v>
      </c>
      <c r="AQ51" s="88">
        <v>120.87643671854107</v>
      </c>
      <c r="AR51" s="88">
        <v>112.84967334777056</v>
      </c>
      <c r="AS51" s="88">
        <v>105.54119141666307</v>
      </c>
      <c r="AT51" s="88">
        <v>224.72147586066768</v>
      </c>
      <c r="AU51" s="88">
        <v>346.4108595563427</v>
      </c>
      <c r="AV51" s="88">
        <v>436.47627478808511</v>
      </c>
      <c r="AW51" s="88">
        <v>318.91310540029082</v>
      </c>
      <c r="AX51" s="88">
        <v>40.414588925274295</v>
      </c>
      <c r="AY51" s="88">
        <v>0</v>
      </c>
      <c r="AZ51" s="88">
        <v>131.12843403737281</v>
      </c>
      <c r="BA51" s="88">
        <v>121.01476988715712</v>
      </c>
      <c r="BB51" s="88">
        <v>176.35398339146693</v>
      </c>
      <c r="BC51" s="88">
        <v>298.0363797722556</v>
      </c>
      <c r="BD51" s="88">
        <v>208.92210444992773</v>
      </c>
      <c r="BE51" s="88">
        <v>45.650331856096741</v>
      </c>
      <c r="BF51" s="88">
        <v>229.65331362930286</v>
      </c>
      <c r="BG51" s="88">
        <v>162.10686283346732</v>
      </c>
      <c r="BH51" s="88">
        <v>143.54919404499739</v>
      </c>
      <c r="BI51" s="88">
        <v>282.40864314720505</v>
      </c>
      <c r="BJ51" s="88">
        <v>72.331256731935298</v>
      </c>
      <c r="BK51" s="88">
        <v>270.85632288040165</v>
      </c>
      <c r="BL51" s="88">
        <v>302.69535225745113</v>
      </c>
      <c r="BM51" s="88">
        <v>135.276787739127</v>
      </c>
      <c r="BN51" s="88">
        <v>186.78076920903152</v>
      </c>
      <c r="BO51" s="88">
        <v>279.62782379543393</v>
      </c>
      <c r="BP51" s="88">
        <v>49.258924917092699</v>
      </c>
      <c r="BQ51" s="88">
        <v>245.73704910537955</v>
      </c>
      <c r="BR51" s="88">
        <v>99.668424759088353</v>
      </c>
      <c r="BS51" s="88">
        <v>259.85921838147488</v>
      </c>
      <c r="BT51" s="88">
        <v>290.67149915827844</v>
      </c>
      <c r="BU51" s="88">
        <v>232.62862331663294</v>
      </c>
      <c r="BV51" s="88">
        <v>264.13299184932202</v>
      </c>
      <c r="BW51" s="88">
        <v>286.05355054117973</v>
      </c>
      <c r="BX51" s="88">
        <v>162.70554165712932</v>
      </c>
      <c r="BY51" s="88">
        <v>180.0630028808321</v>
      </c>
      <c r="BZ51" s="88">
        <v>289.73060928461734</v>
      </c>
      <c r="CA51" s="88">
        <v>238.53303489426179</v>
      </c>
      <c r="CB51" s="88">
        <v>342.05373461944293</v>
      </c>
      <c r="CC51" s="88">
        <v>42.463975876986119</v>
      </c>
      <c r="CD51" s="88">
        <v>207.97689933654419</v>
      </c>
      <c r="CE51" s="88">
        <v>112.27180925093377</v>
      </c>
      <c r="CF51" s="88">
        <v>411.7542899412752</v>
      </c>
      <c r="CG51" s="88">
        <v>183.47661547418357</v>
      </c>
      <c r="CH51" s="88">
        <v>19.503923402216707</v>
      </c>
      <c r="CI51" s="88">
        <v>198.70046062534414</v>
      </c>
      <c r="CJ51" s="88">
        <v>403.08356561260587</v>
      </c>
      <c r="CK51" s="88">
        <v>325.51540132655384</v>
      </c>
      <c r="CL51" s="88">
        <v>234.22164110295864</v>
      </c>
      <c r="CM51" s="88">
        <v>216.0117155198451</v>
      </c>
      <c r="CN51" s="88">
        <v>399.95250515083438</v>
      </c>
      <c r="CO51" s="88">
        <v>109.63169220446241</v>
      </c>
      <c r="CP51" s="88">
        <v>63.061854604265143</v>
      </c>
      <c r="CQ51" s="88">
        <v>233.97496291604236</v>
      </c>
      <c r="CR51" s="88">
        <v>153.21553324553193</v>
      </c>
      <c r="CS51" s="89">
        <v>188.56910879318761</v>
      </c>
    </row>
    <row r="52" spans="2:97" x14ac:dyDescent="0.3">
      <c r="B52" s="83" t="s">
        <v>109</v>
      </c>
      <c r="C52" s="88">
        <v>189.8276793112116</v>
      </c>
      <c r="D52" s="88">
        <v>56.577235224135144</v>
      </c>
      <c r="E52" s="88">
        <v>69.924324379114381</v>
      </c>
      <c r="F52" s="88">
        <v>126.02859070130798</v>
      </c>
      <c r="G52" s="88">
        <v>197.85828318196192</v>
      </c>
      <c r="H52" s="88">
        <v>143.18308000014341</v>
      </c>
      <c r="I52" s="88">
        <v>199.36527703930224</v>
      </c>
      <c r="J52" s="88">
        <v>85.370582690604024</v>
      </c>
      <c r="K52" s="88">
        <v>78.934825217614915</v>
      </c>
      <c r="L52" s="88">
        <v>304.36111736367724</v>
      </c>
      <c r="M52" s="88">
        <v>74.118604517328492</v>
      </c>
      <c r="N52" s="88">
        <v>70.049815815309287</v>
      </c>
      <c r="O52" s="88">
        <v>226.64291033566107</v>
      </c>
      <c r="P52" s="88">
        <v>138.60700056521938</v>
      </c>
      <c r="Q52" s="88">
        <v>244.98235672267151</v>
      </c>
      <c r="R52" s="88">
        <v>76.739483199393604</v>
      </c>
      <c r="S52" s="88">
        <v>106.3067854462366</v>
      </c>
      <c r="T52" s="88">
        <v>143.81642310421518</v>
      </c>
      <c r="U52" s="88">
        <v>74.13491309564921</v>
      </c>
      <c r="V52" s="88">
        <v>102.3294541654473</v>
      </c>
      <c r="W52" s="88">
        <v>48.166662638555202</v>
      </c>
      <c r="X52" s="88">
        <v>64.365876462922273</v>
      </c>
      <c r="Y52" s="88">
        <v>127.29658710276443</v>
      </c>
      <c r="Z52" s="88">
        <v>113.90835619457812</v>
      </c>
      <c r="AA52" s="88">
        <v>159.62229508190887</v>
      </c>
      <c r="AB52" s="88">
        <v>73.683088036027812</v>
      </c>
      <c r="AC52" s="88">
        <v>101.6878193681513</v>
      </c>
      <c r="AD52" s="88">
        <v>20.38327405390088</v>
      </c>
      <c r="AE52" s="88">
        <v>229.70927581219209</v>
      </c>
      <c r="AF52" s="88">
        <v>263.5513794848618</v>
      </c>
      <c r="AG52" s="88">
        <v>95.01551679756858</v>
      </c>
      <c r="AH52" s="88">
        <v>241.53255183693503</v>
      </c>
      <c r="AI52" s="88">
        <v>125.89818900044172</v>
      </c>
      <c r="AJ52" s="88">
        <v>250.32634398747237</v>
      </c>
      <c r="AK52" s="88">
        <v>90.128354778440666</v>
      </c>
      <c r="AL52" s="88">
        <v>44.528297623485265</v>
      </c>
      <c r="AM52" s="88">
        <v>263.09100514908988</v>
      </c>
      <c r="AN52" s="88">
        <v>109.2377111846375</v>
      </c>
      <c r="AO52" s="88">
        <v>63.459239904204296</v>
      </c>
      <c r="AP52" s="88">
        <v>92.17332575672782</v>
      </c>
      <c r="AQ52" s="88">
        <v>40.685778404178969</v>
      </c>
      <c r="AR52" s="88">
        <v>75.956555560944906</v>
      </c>
      <c r="AS52" s="88">
        <v>60.725827033090653</v>
      </c>
      <c r="AT52" s="88">
        <v>124.59273248504172</v>
      </c>
      <c r="AU52" s="88">
        <v>228.97701887638405</v>
      </c>
      <c r="AV52" s="88">
        <v>321.83720808110434</v>
      </c>
      <c r="AW52" s="88">
        <v>201.41021659208201</v>
      </c>
      <c r="AX52" s="88">
        <v>140.60301955533666</v>
      </c>
      <c r="AY52" s="88">
        <v>131.12843403737281</v>
      </c>
      <c r="AZ52" s="88">
        <v>0</v>
      </c>
      <c r="BA52" s="88">
        <v>22.092185514440548</v>
      </c>
      <c r="BB52" s="88">
        <v>45.833137719405791</v>
      </c>
      <c r="BC52" s="88">
        <v>177.03983828795896</v>
      </c>
      <c r="BD52" s="88">
        <v>119.47201203764787</v>
      </c>
      <c r="BE52" s="88">
        <v>85.565904305190642</v>
      </c>
      <c r="BF52" s="88">
        <v>100.29246884122288</v>
      </c>
      <c r="BG52" s="88">
        <v>39.537283234138428</v>
      </c>
      <c r="BH52" s="88">
        <v>32.900584319200945</v>
      </c>
      <c r="BI52" s="88">
        <v>157.17020039167045</v>
      </c>
      <c r="BJ52" s="88">
        <v>65.970992214086536</v>
      </c>
      <c r="BK52" s="88">
        <v>146.83097320919612</v>
      </c>
      <c r="BL52" s="88">
        <v>177.72989183974528</v>
      </c>
      <c r="BM52" s="88">
        <v>88.355001003654579</v>
      </c>
      <c r="BN52" s="88">
        <v>58.654437978877951</v>
      </c>
      <c r="BO52" s="88">
        <v>166.56621829859523</v>
      </c>
      <c r="BP52" s="88">
        <v>125.89047680774939</v>
      </c>
      <c r="BQ52" s="88">
        <v>141.41810859976079</v>
      </c>
      <c r="BR52" s="88">
        <v>39.266704462002231</v>
      </c>
      <c r="BS52" s="88">
        <v>159.45892660149084</v>
      </c>
      <c r="BT52" s="88">
        <v>162.2676286855687</v>
      </c>
      <c r="BU52" s="88">
        <v>124.20608431103923</v>
      </c>
      <c r="BV52" s="88">
        <v>141.66835608157768</v>
      </c>
      <c r="BW52" s="88">
        <v>167.17126523034025</v>
      </c>
      <c r="BX52" s="88">
        <v>94.9833865861644</v>
      </c>
      <c r="BY52" s="88">
        <v>69.926364489767394</v>
      </c>
      <c r="BZ52" s="88">
        <v>182.23544470840875</v>
      </c>
      <c r="CA52" s="88">
        <v>112.37549836499075</v>
      </c>
      <c r="CB52" s="88">
        <v>221.11458011687733</v>
      </c>
      <c r="CC52" s="88">
        <v>140.98707898283945</v>
      </c>
      <c r="CD52" s="88">
        <v>107.67299162589474</v>
      </c>
      <c r="CE52" s="88">
        <v>92.047097505527972</v>
      </c>
      <c r="CF52" s="88">
        <v>298.5811818587398</v>
      </c>
      <c r="CG52" s="88">
        <v>101.06504933658661</v>
      </c>
      <c r="CH52" s="88">
        <v>134.35605500625928</v>
      </c>
      <c r="CI52" s="88">
        <v>106.73422419511577</v>
      </c>
      <c r="CJ52" s="88">
        <v>285.16227095965911</v>
      </c>
      <c r="CK52" s="88">
        <v>212.63623618447113</v>
      </c>
      <c r="CL52" s="88">
        <v>114.17234442421277</v>
      </c>
      <c r="CM52" s="88">
        <v>96.380560259436621</v>
      </c>
      <c r="CN52" s="88">
        <v>284.31998852853314</v>
      </c>
      <c r="CO52" s="88">
        <v>22.19364024174677</v>
      </c>
      <c r="CP52" s="88">
        <v>105.16510169308687</v>
      </c>
      <c r="CQ52" s="88">
        <v>119.47268569897356</v>
      </c>
      <c r="CR52" s="88">
        <v>54.41253042384507</v>
      </c>
      <c r="CS52" s="89">
        <v>89.492440805334937</v>
      </c>
    </row>
    <row r="53" spans="2:97" x14ac:dyDescent="0.3">
      <c r="B53" s="83" t="s">
        <v>110</v>
      </c>
      <c r="C53" s="88">
        <v>188.91570280797688</v>
      </c>
      <c r="D53" s="88">
        <v>58.131274669572257</v>
      </c>
      <c r="E53" s="88">
        <v>49.407403114348448</v>
      </c>
      <c r="F53" s="88">
        <v>128.60951893430718</v>
      </c>
      <c r="G53" s="88">
        <v>200.582291728097</v>
      </c>
      <c r="H53" s="88">
        <v>150.55565252182578</v>
      </c>
      <c r="I53" s="88">
        <v>196.41250486769755</v>
      </c>
      <c r="J53" s="88">
        <v>82.616131900537411</v>
      </c>
      <c r="K53" s="88">
        <v>61.850313499742803</v>
      </c>
      <c r="L53" s="88">
        <v>304.66402623447237</v>
      </c>
      <c r="M53" s="88">
        <v>55.53408941561073</v>
      </c>
      <c r="N53" s="88">
        <v>63.418567392765048</v>
      </c>
      <c r="O53" s="88">
        <v>224.07307003507029</v>
      </c>
      <c r="P53" s="88">
        <v>129.77683008861365</v>
      </c>
      <c r="Q53" s="88">
        <v>246.59325210506009</v>
      </c>
      <c r="R53" s="88">
        <v>79.762335863054844</v>
      </c>
      <c r="S53" s="88">
        <v>94.447286703314688</v>
      </c>
      <c r="T53" s="88">
        <v>142.83988078885497</v>
      </c>
      <c r="U53" s="88">
        <v>59.486031402233188</v>
      </c>
      <c r="V53" s="88">
        <v>98.147558459504054</v>
      </c>
      <c r="W53" s="88">
        <v>34.97705063143065</v>
      </c>
      <c r="X53" s="88">
        <v>43.603382439494005</v>
      </c>
      <c r="Y53" s="88">
        <v>113.66830995796481</v>
      </c>
      <c r="Z53" s="88">
        <v>110.56788397452142</v>
      </c>
      <c r="AA53" s="88">
        <v>154.7790292864054</v>
      </c>
      <c r="AB53" s="88">
        <v>82.990140927541148</v>
      </c>
      <c r="AC53" s="88">
        <v>86.923935750286603</v>
      </c>
      <c r="AD53" s="88">
        <v>34.209201225218003</v>
      </c>
      <c r="AE53" s="88">
        <v>228.7171014194293</v>
      </c>
      <c r="AF53" s="88">
        <v>263.89982097536767</v>
      </c>
      <c r="AG53" s="88">
        <v>100.04267800387767</v>
      </c>
      <c r="AH53" s="88">
        <v>241.21441936477802</v>
      </c>
      <c r="AI53" s="88">
        <v>133.28750978831494</v>
      </c>
      <c r="AJ53" s="88">
        <v>248.22758974665842</v>
      </c>
      <c r="AK53" s="88">
        <v>87.31408501643115</v>
      </c>
      <c r="AL53" s="88">
        <v>45.063413845226755</v>
      </c>
      <c r="AM53" s="88">
        <v>261.83256280483829</v>
      </c>
      <c r="AN53" s="88">
        <v>100.66995651892529</v>
      </c>
      <c r="AO53" s="88">
        <v>51.009202931274352</v>
      </c>
      <c r="AP53" s="88">
        <v>71.610664692661516</v>
      </c>
      <c r="AQ53" s="88">
        <v>19.083814906038256</v>
      </c>
      <c r="AR53" s="88">
        <v>53.866917520852382</v>
      </c>
      <c r="AS53" s="88">
        <v>38.829171518613173</v>
      </c>
      <c r="AT53" s="88">
        <v>116.83417140555989</v>
      </c>
      <c r="AU53" s="88">
        <v>229.52305319854193</v>
      </c>
      <c r="AV53" s="88">
        <v>321.5735817202418</v>
      </c>
      <c r="AW53" s="88">
        <v>201.82386032018044</v>
      </c>
      <c r="AX53" s="88">
        <v>124.98506325112257</v>
      </c>
      <c r="AY53" s="88">
        <v>121.01476988715712</v>
      </c>
      <c r="AZ53" s="88">
        <v>22.092185514440548</v>
      </c>
      <c r="BA53" s="88">
        <v>0</v>
      </c>
      <c r="BB53" s="88">
        <v>57.508425233585356</v>
      </c>
      <c r="BC53" s="88">
        <v>179.10920424052159</v>
      </c>
      <c r="BD53" s="88">
        <v>108.15203774869678</v>
      </c>
      <c r="BE53" s="88">
        <v>75.774758279365017</v>
      </c>
      <c r="BF53" s="88">
        <v>108.93249353591001</v>
      </c>
      <c r="BG53" s="88">
        <v>41.130160721619426</v>
      </c>
      <c r="BH53" s="88">
        <v>24.175688350384235</v>
      </c>
      <c r="BI53" s="88">
        <v>161.85296642503485</v>
      </c>
      <c r="BJ53" s="88">
        <v>65.000258222320596</v>
      </c>
      <c r="BK53" s="88">
        <v>150.60950218214069</v>
      </c>
      <c r="BL53" s="88">
        <v>182.28286281820385</v>
      </c>
      <c r="BM53" s="88">
        <v>67.235709061360723</v>
      </c>
      <c r="BN53" s="88">
        <v>66.008825422387631</v>
      </c>
      <c r="BO53" s="88">
        <v>164.64180745743155</v>
      </c>
      <c r="BP53" s="88">
        <v>108.89897391999654</v>
      </c>
      <c r="BQ53" s="88">
        <v>135.59097833437002</v>
      </c>
      <c r="BR53" s="88">
        <v>22.036317309719688</v>
      </c>
      <c r="BS53" s="88">
        <v>152.63325548469604</v>
      </c>
      <c r="BT53" s="88">
        <v>169.6585806194135</v>
      </c>
      <c r="BU53" s="88">
        <v>119.59669007993854</v>
      </c>
      <c r="BV53" s="88">
        <v>144.38590859974869</v>
      </c>
      <c r="BW53" s="88">
        <v>168.02399417171978</v>
      </c>
      <c r="BX53" s="88">
        <v>77.197661741731267</v>
      </c>
      <c r="BY53" s="88">
        <v>64.174120964320821</v>
      </c>
      <c r="BZ53" s="88">
        <v>178.26232695042535</v>
      </c>
      <c r="CA53" s="88">
        <v>117.63707672896437</v>
      </c>
      <c r="CB53" s="88">
        <v>223.37556375384571</v>
      </c>
      <c r="CC53" s="88">
        <v>137.26795196022161</v>
      </c>
      <c r="CD53" s="88">
        <v>99.402998037470852</v>
      </c>
      <c r="CE53" s="88">
        <v>69.960546026635612</v>
      </c>
      <c r="CF53" s="88">
        <v>297.642119502686</v>
      </c>
      <c r="CG53" s="88">
        <v>86.949327037667942</v>
      </c>
      <c r="CH53" s="88">
        <v>127.24027817807672</v>
      </c>
      <c r="CI53" s="88">
        <v>95.625297498333822</v>
      </c>
      <c r="CJ53" s="88">
        <v>286.1803313836229</v>
      </c>
      <c r="CK53" s="88">
        <v>211.07924668382299</v>
      </c>
      <c r="CL53" s="88">
        <v>115.13844547518008</v>
      </c>
      <c r="CM53" s="88">
        <v>96.829532418673537</v>
      </c>
      <c r="CN53" s="88">
        <v>284.32578717556271</v>
      </c>
      <c r="CO53" s="88">
        <v>25.877871085162091</v>
      </c>
      <c r="CP53" s="88">
        <v>86.749016405919619</v>
      </c>
      <c r="CQ53" s="88">
        <v>117.51336845765285</v>
      </c>
      <c r="CR53" s="88">
        <v>41.84688107827116</v>
      </c>
      <c r="CS53" s="89">
        <v>79.8544116323108</v>
      </c>
    </row>
    <row r="54" spans="2:97" x14ac:dyDescent="0.3">
      <c r="B54" s="83" t="s">
        <v>111</v>
      </c>
      <c r="C54" s="88">
        <v>150.19918679324587</v>
      </c>
      <c r="D54" s="88">
        <v>26.798895635249941</v>
      </c>
      <c r="E54" s="88">
        <v>104.95185519587572</v>
      </c>
      <c r="F54" s="88">
        <v>84.042665332518425</v>
      </c>
      <c r="G54" s="88">
        <v>154.56758919976951</v>
      </c>
      <c r="H54" s="88">
        <v>97.648872240737646</v>
      </c>
      <c r="I54" s="88">
        <v>162.12474884685525</v>
      </c>
      <c r="J54" s="88">
        <v>54.846893434386651</v>
      </c>
      <c r="K54" s="88">
        <v>119.32509229910389</v>
      </c>
      <c r="L54" s="88">
        <v>262.45097830221943</v>
      </c>
      <c r="M54" s="88">
        <v>82.260373665057656</v>
      </c>
      <c r="N54" s="88">
        <v>115.75276108287461</v>
      </c>
      <c r="O54" s="88">
        <v>188.46407888138302</v>
      </c>
      <c r="P54" s="88">
        <v>113.61868287196447</v>
      </c>
      <c r="Q54" s="88">
        <v>202.25051672014257</v>
      </c>
      <c r="R54" s="88">
        <v>37.733855317321456</v>
      </c>
      <c r="S54" s="88">
        <v>150.75623749966388</v>
      </c>
      <c r="T54" s="88">
        <v>105.42106972128136</v>
      </c>
      <c r="U54" s="88">
        <v>71.897902409213486</v>
      </c>
      <c r="V54" s="88">
        <v>71.860941198080155</v>
      </c>
      <c r="W54" s="88">
        <v>91.337702800205065</v>
      </c>
      <c r="X54" s="88">
        <v>81.885840345887786</v>
      </c>
      <c r="Y54" s="88">
        <v>170.80458616816981</v>
      </c>
      <c r="Z54" s="88">
        <v>159.52841400337957</v>
      </c>
      <c r="AA54" s="88">
        <v>126.28135754532448</v>
      </c>
      <c r="AB54" s="88">
        <v>28.068059648052987</v>
      </c>
      <c r="AC54" s="88">
        <v>144.29506320050902</v>
      </c>
      <c r="AD54" s="88">
        <v>25.520344322332569</v>
      </c>
      <c r="AE54" s="88">
        <v>189.62728316141806</v>
      </c>
      <c r="AF54" s="88">
        <v>221.81876439525587</v>
      </c>
      <c r="AG54" s="88">
        <v>51.760541804812391</v>
      </c>
      <c r="AH54" s="88">
        <v>200.61755280991622</v>
      </c>
      <c r="AI54" s="88">
        <v>80.447608074613541</v>
      </c>
      <c r="AJ54" s="88">
        <v>211.29564638614829</v>
      </c>
      <c r="AK54" s="88">
        <v>135.77049708079909</v>
      </c>
      <c r="AL54" s="88">
        <v>90.149264475311355</v>
      </c>
      <c r="AM54" s="88">
        <v>222.98980895701362</v>
      </c>
      <c r="AN54" s="88">
        <v>154.79476070463315</v>
      </c>
      <c r="AO54" s="88">
        <v>107.29333597785492</v>
      </c>
      <c r="AP54" s="88">
        <v>126.40091710870554</v>
      </c>
      <c r="AQ54" s="88">
        <v>67.579510146964168</v>
      </c>
      <c r="AR54" s="88">
        <v>101.27539337078866</v>
      </c>
      <c r="AS54" s="88">
        <v>91.127403976529322</v>
      </c>
      <c r="AT54" s="88">
        <v>98.567523926610065</v>
      </c>
      <c r="AU54" s="88">
        <v>187.31468670256788</v>
      </c>
      <c r="AV54" s="88">
        <v>280.3738377387358</v>
      </c>
      <c r="AW54" s="88">
        <v>160.16376943371995</v>
      </c>
      <c r="AX54" s="88">
        <v>182.49287951973426</v>
      </c>
      <c r="AY54" s="88">
        <v>176.35398339146693</v>
      </c>
      <c r="AZ54" s="88">
        <v>45.833137719405791</v>
      </c>
      <c r="BA54" s="88">
        <v>57.508425233585356</v>
      </c>
      <c r="BB54" s="88">
        <v>0</v>
      </c>
      <c r="BC54" s="88">
        <v>134.51780986393436</v>
      </c>
      <c r="BD54" s="88">
        <v>101.45322241306866</v>
      </c>
      <c r="BE54" s="88">
        <v>130.70369345440918</v>
      </c>
      <c r="BF54" s="88">
        <v>54.612446704410559</v>
      </c>
      <c r="BG54" s="88">
        <v>24.750755987498671</v>
      </c>
      <c r="BH54" s="88">
        <v>42.860621702638703</v>
      </c>
      <c r="BI54" s="88">
        <v>112.84820634868043</v>
      </c>
      <c r="BJ54" s="88">
        <v>111.49979816931311</v>
      </c>
      <c r="BK54" s="88">
        <v>103.28872225007898</v>
      </c>
      <c r="BL54" s="88">
        <v>133.31796613220939</v>
      </c>
      <c r="BM54" s="88">
        <v>103.67197228010089</v>
      </c>
      <c r="BN54" s="88">
        <v>16.365292417820825</v>
      </c>
      <c r="BO54" s="88">
        <v>128.70698469533033</v>
      </c>
      <c r="BP54" s="88">
        <v>166.27173084546325</v>
      </c>
      <c r="BQ54" s="88">
        <v>110.60332829225206</v>
      </c>
      <c r="BR54" s="88">
        <v>79.453725153877699</v>
      </c>
      <c r="BS54" s="88">
        <v>129.48680828484856</v>
      </c>
      <c r="BT54" s="88">
        <v>116.66487613523074</v>
      </c>
      <c r="BU54" s="88">
        <v>92.403807992515567</v>
      </c>
      <c r="BV54" s="88">
        <v>99.141422571890999</v>
      </c>
      <c r="BW54" s="88">
        <v>125.99075459195869</v>
      </c>
      <c r="BX54" s="88">
        <v>96.927524461982216</v>
      </c>
      <c r="BY54" s="88">
        <v>49.445402353813293</v>
      </c>
      <c r="BZ54" s="88">
        <v>146.81847326245912</v>
      </c>
      <c r="CA54" s="88">
        <v>68.32855212452543</v>
      </c>
      <c r="CB54" s="88">
        <v>178.01042509416661</v>
      </c>
      <c r="CC54" s="88">
        <v>186.58859136948041</v>
      </c>
      <c r="CD54" s="88">
        <v>84.451812929886302</v>
      </c>
      <c r="CE54" s="88">
        <v>117.1382522806539</v>
      </c>
      <c r="CF54" s="88">
        <v>257.90077650373314</v>
      </c>
      <c r="CG54" s="88">
        <v>92.045415264553625</v>
      </c>
      <c r="CH54" s="88">
        <v>180.15581630429605</v>
      </c>
      <c r="CI54" s="88">
        <v>89.75368362130537</v>
      </c>
      <c r="CJ54" s="88">
        <v>242.71321160386827</v>
      </c>
      <c r="CK54" s="88">
        <v>173.41213504794715</v>
      </c>
      <c r="CL54" s="88">
        <v>74.570391073593811</v>
      </c>
      <c r="CM54" s="88">
        <v>58.836958895965466</v>
      </c>
      <c r="CN54" s="88">
        <v>242.78639049146173</v>
      </c>
      <c r="CO54" s="88">
        <v>68.014802459147745</v>
      </c>
      <c r="CP54" s="88">
        <v>143.64308243769443</v>
      </c>
      <c r="CQ54" s="88">
        <v>83.689729575031222</v>
      </c>
      <c r="CR54" s="88">
        <v>54.851920759320173</v>
      </c>
      <c r="CS54" s="89">
        <v>72.048315478857305</v>
      </c>
    </row>
    <row r="55" spans="2:97" x14ac:dyDescent="0.3">
      <c r="B55" s="83" t="s">
        <v>112</v>
      </c>
      <c r="C55" s="88">
        <v>27.243457634127168</v>
      </c>
      <c r="D55" s="88">
        <v>121.46927626476949</v>
      </c>
      <c r="E55" s="88">
        <v>211.36420890925089</v>
      </c>
      <c r="F55" s="88">
        <v>51.011715045562703</v>
      </c>
      <c r="G55" s="88">
        <v>21.912689843161395</v>
      </c>
      <c r="H55" s="88">
        <v>50.568613933874957</v>
      </c>
      <c r="I55" s="88">
        <v>47.05743772545285</v>
      </c>
      <c r="J55" s="88">
        <v>98.164873465727993</v>
      </c>
      <c r="K55" s="88">
        <v>232.18262108469332</v>
      </c>
      <c r="L55" s="88">
        <v>127.94454663823528</v>
      </c>
      <c r="M55" s="88">
        <v>159.21825997867924</v>
      </c>
      <c r="N55" s="88">
        <v>242.5236822450361</v>
      </c>
      <c r="O55" s="88">
        <v>63.331290324963334</v>
      </c>
      <c r="P55" s="88">
        <v>88.86312342518039</v>
      </c>
      <c r="Q55" s="88">
        <v>67.946983701835649</v>
      </c>
      <c r="R55" s="88">
        <v>100.38938234906449</v>
      </c>
      <c r="S55" s="88">
        <v>270.48786523564434</v>
      </c>
      <c r="T55" s="88">
        <v>41.210226088115071</v>
      </c>
      <c r="U55" s="88">
        <v>141.44220907864874</v>
      </c>
      <c r="V55" s="88">
        <v>86.782737457882803</v>
      </c>
      <c r="W55" s="88">
        <v>213.1790848750183</v>
      </c>
      <c r="X55" s="88">
        <v>172.5991926303609</v>
      </c>
      <c r="Y55" s="88">
        <v>286.22467026336517</v>
      </c>
      <c r="Z55" s="88">
        <v>289.32316558268758</v>
      </c>
      <c r="AA55" s="88">
        <v>56.460394808678366</v>
      </c>
      <c r="AB55" s="88">
        <v>107.85434656746594</v>
      </c>
      <c r="AC55" s="88">
        <v>259.17757405066243</v>
      </c>
      <c r="AD55" s="88">
        <v>157.48153796389633</v>
      </c>
      <c r="AE55" s="88">
        <v>58.366342689685119</v>
      </c>
      <c r="AF55" s="88">
        <v>87.411057979846774</v>
      </c>
      <c r="AG55" s="88">
        <v>82.773974366715166</v>
      </c>
      <c r="AH55" s="88">
        <v>67.234319451023197</v>
      </c>
      <c r="AI55" s="88">
        <v>61.357110584993194</v>
      </c>
      <c r="AJ55" s="88">
        <v>81.622828608244959</v>
      </c>
      <c r="AK55" s="88">
        <v>265.74155189621484</v>
      </c>
      <c r="AL55" s="88">
        <v>220.9014376489026</v>
      </c>
      <c r="AM55" s="88">
        <v>90.551428425087906</v>
      </c>
      <c r="AN55" s="88">
        <v>279.11412630763238</v>
      </c>
      <c r="AO55" s="88">
        <v>228.63856531149125</v>
      </c>
      <c r="AP55" s="88">
        <v>226.53511993092388</v>
      </c>
      <c r="AQ55" s="88">
        <v>177.18048796604606</v>
      </c>
      <c r="AR55" s="88">
        <v>193.96345286543053</v>
      </c>
      <c r="AS55" s="88">
        <v>194.91002494051418</v>
      </c>
      <c r="AT55" s="88">
        <v>87.379436521848646</v>
      </c>
      <c r="AU55" s="88">
        <v>53.11653355819594</v>
      </c>
      <c r="AV55" s="88">
        <v>145.98933141562495</v>
      </c>
      <c r="AW55" s="88">
        <v>27.536882534891742</v>
      </c>
      <c r="AX55" s="88">
        <v>292.25585120323689</v>
      </c>
      <c r="AY55" s="88">
        <v>298.0363797722556</v>
      </c>
      <c r="AZ55" s="88">
        <v>177.03983828795896</v>
      </c>
      <c r="BA55" s="88">
        <v>179.10920424052159</v>
      </c>
      <c r="BB55" s="88">
        <v>134.51780986393436</v>
      </c>
      <c r="BC55" s="88">
        <v>0</v>
      </c>
      <c r="BD55" s="88">
        <v>109.40640715175907</v>
      </c>
      <c r="BE55" s="88">
        <v>254.05271419232002</v>
      </c>
      <c r="BF55" s="88">
        <v>84.742595437391145</v>
      </c>
      <c r="BG55" s="88">
        <v>138.94387113042299</v>
      </c>
      <c r="BH55" s="88">
        <v>155.31111891437922</v>
      </c>
      <c r="BI55" s="88">
        <v>27.436772368238181</v>
      </c>
      <c r="BJ55" s="88">
        <v>242.22624399419416</v>
      </c>
      <c r="BK55" s="88">
        <v>32.044149226764247</v>
      </c>
      <c r="BL55" s="88">
        <v>20.442215321777319</v>
      </c>
      <c r="BM55" s="88">
        <v>179.19235325136859</v>
      </c>
      <c r="BN55" s="88">
        <v>119.17301156813542</v>
      </c>
      <c r="BO55" s="88">
        <v>33.456153100350143</v>
      </c>
      <c r="BP55" s="88">
        <v>273.42909385218996</v>
      </c>
      <c r="BQ55" s="88">
        <v>68.893632075704986</v>
      </c>
      <c r="BR55" s="88">
        <v>199.02646398328966</v>
      </c>
      <c r="BS55" s="88">
        <v>71.023472960181522</v>
      </c>
      <c r="BT55" s="88">
        <v>44.094728652297974</v>
      </c>
      <c r="BU55" s="88">
        <v>71.850709031687927</v>
      </c>
      <c r="BV55" s="88">
        <v>35.444851516296616</v>
      </c>
      <c r="BW55" s="88">
        <v>14.179786645366935</v>
      </c>
      <c r="BX55" s="88">
        <v>152.78553464948357</v>
      </c>
      <c r="BY55" s="88">
        <v>118.13579586107241</v>
      </c>
      <c r="BZ55" s="88">
        <v>49.080247885169797</v>
      </c>
      <c r="CA55" s="88">
        <v>66.634621165700139</v>
      </c>
      <c r="CB55" s="88">
        <v>44.27213715571849</v>
      </c>
      <c r="CC55" s="88">
        <v>316.2125463066705</v>
      </c>
      <c r="CD55" s="88">
        <v>98.550831635938067</v>
      </c>
      <c r="CE55" s="88">
        <v>203.69054844470355</v>
      </c>
      <c r="CF55" s="88">
        <v>124.20120747822027</v>
      </c>
      <c r="CG55" s="88">
        <v>130.15579017141846</v>
      </c>
      <c r="CH55" s="88">
        <v>306.0384502260568</v>
      </c>
      <c r="CI55" s="88">
        <v>112.53681815381495</v>
      </c>
      <c r="CJ55" s="88">
        <v>108.26089918613346</v>
      </c>
      <c r="CK55" s="88">
        <v>46.48462754667829</v>
      </c>
      <c r="CL55" s="88">
        <v>64.009306132041075</v>
      </c>
      <c r="CM55" s="88">
        <v>82.324565195478726</v>
      </c>
      <c r="CN55" s="88">
        <v>108.43499238860358</v>
      </c>
      <c r="CO55" s="88">
        <v>198.40367181780965</v>
      </c>
      <c r="CP55" s="88">
        <v>249.11486649632951</v>
      </c>
      <c r="CQ55" s="88">
        <v>65.35919968282235</v>
      </c>
      <c r="CR55" s="88">
        <v>145.26044001632545</v>
      </c>
      <c r="CS55" s="89">
        <v>114.92957179710267</v>
      </c>
    </row>
    <row r="56" spans="2:97" x14ac:dyDescent="0.3">
      <c r="B56" s="83" t="s">
        <v>115</v>
      </c>
      <c r="C56" s="88">
        <v>104.59945819528605</v>
      </c>
      <c r="D56" s="88">
        <v>74.695250035166467</v>
      </c>
      <c r="E56" s="88">
        <v>119.05028199502277</v>
      </c>
      <c r="F56" s="88">
        <v>78.604990847991189</v>
      </c>
      <c r="G56" s="88">
        <v>129.95964786183072</v>
      </c>
      <c r="H56" s="88">
        <v>114.8019890617513</v>
      </c>
      <c r="I56" s="88">
        <v>103.55039866343809</v>
      </c>
      <c r="J56" s="88">
        <v>50.037316977479364</v>
      </c>
      <c r="K56" s="88">
        <v>141.39966646102738</v>
      </c>
      <c r="L56" s="88">
        <v>216.22006591878269</v>
      </c>
      <c r="M56" s="88">
        <v>62.84873441247035</v>
      </c>
      <c r="N56" s="88">
        <v>164.56693945764488</v>
      </c>
      <c r="O56" s="88">
        <v>130.29224081320925</v>
      </c>
      <c r="P56" s="88">
        <v>25.742364174944036</v>
      </c>
      <c r="Q56" s="88">
        <v>166.12071884068598</v>
      </c>
      <c r="R56" s="88">
        <v>72.00956820793995</v>
      </c>
      <c r="S56" s="88">
        <v>181.49633813003291</v>
      </c>
      <c r="T56" s="88">
        <v>69.064737242974019</v>
      </c>
      <c r="U56" s="88">
        <v>49.957995618772458</v>
      </c>
      <c r="V56" s="88">
        <v>39.34236482510169</v>
      </c>
      <c r="W56" s="88">
        <v>133.6888035701499</v>
      </c>
      <c r="X56" s="88">
        <v>79.578666845315695</v>
      </c>
      <c r="Y56" s="88">
        <v>192.35984379021295</v>
      </c>
      <c r="Z56" s="88">
        <v>211.75609362585035</v>
      </c>
      <c r="AA56" s="88">
        <v>60.608524812718493</v>
      </c>
      <c r="AB56" s="88">
        <v>95.203341146929162</v>
      </c>
      <c r="AC56" s="88">
        <v>167.00612248159914</v>
      </c>
      <c r="AD56" s="88">
        <v>108.34522361508685</v>
      </c>
      <c r="AE56" s="88">
        <v>139.92795126337009</v>
      </c>
      <c r="AF56" s="88">
        <v>177.52794699718362</v>
      </c>
      <c r="AG56" s="88">
        <v>80.555083316622984</v>
      </c>
      <c r="AH56" s="88">
        <v>153.90939855731636</v>
      </c>
      <c r="AI56" s="88">
        <v>104.53914341039891</v>
      </c>
      <c r="AJ56" s="88">
        <v>154.55204883089425</v>
      </c>
      <c r="AK56" s="88">
        <v>190.47962452345362</v>
      </c>
      <c r="AL56" s="88">
        <v>152.70165780218744</v>
      </c>
      <c r="AM56" s="88">
        <v>170.13646902628562</v>
      </c>
      <c r="AN56" s="88">
        <v>194.27227728318775</v>
      </c>
      <c r="AO56" s="88">
        <v>146.00836542248538</v>
      </c>
      <c r="AP56" s="88">
        <v>128.19158016177727</v>
      </c>
      <c r="AQ56" s="88">
        <v>95.973155893679618</v>
      </c>
      <c r="AR56" s="88">
        <v>96.523971880836001</v>
      </c>
      <c r="AS56" s="88">
        <v>104.10319802198551</v>
      </c>
      <c r="AT56" s="88">
        <v>22.06318608578778</v>
      </c>
      <c r="AU56" s="88">
        <v>146.35122794075568</v>
      </c>
      <c r="AV56" s="88">
        <v>230.72635059056282</v>
      </c>
      <c r="AW56" s="88">
        <v>121.11663398958538</v>
      </c>
      <c r="AX56" s="88">
        <v>194.14308085336233</v>
      </c>
      <c r="AY56" s="88">
        <v>208.92210444992773</v>
      </c>
      <c r="AZ56" s="88">
        <v>119.47201203764787</v>
      </c>
      <c r="BA56" s="88">
        <v>108.15203774869678</v>
      </c>
      <c r="BB56" s="88">
        <v>101.45322241306866</v>
      </c>
      <c r="BC56" s="88">
        <v>109.40640715175907</v>
      </c>
      <c r="BD56" s="88">
        <v>0</v>
      </c>
      <c r="BE56" s="88">
        <v>170.40533553509266</v>
      </c>
      <c r="BF56" s="88">
        <v>99.231839917936895</v>
      </c>
      <c r="BG56" s="88">
        <v>84.737499973038055</v>
      </c>
      <c r="BH56" s="88">
        <v>86.930778332899038</v>
      </c>
      <c r="BI56" s="88">
        <v>108.97702627725558</v>
      </c>
      <c r="BJ56" s="88">
        <v>170.99524650208144</v>
      </c>
      <c r="BK56" s="88">
        <v>96.944973027844313</v>
      </c>
      <c r="BL56" s="88">
        <v>123.56252974249442</v>
      </c>
      <c r="BM56" s="88">
        <v>76.374768634962649</v>
      </c>
      <c r="BN56" s="88">
        <v>88.349022111955236</v>
      </c>
      <c r="BO56" s="88">
        <v>80.366205104264452</v>
      </c>
      <c r="BP56" s="88">
        <v>174.90615460694261</v>
      </c>
      <c r="BQ56" s="88">
        <v>41.987745155264541</v>
      </c>
      <c r="BR56" s="88">
        <v>120.19919186752477</v>
      </c>
      <c r="BS56" s="88">
        <v>51.757307436514175</v>
      </c>
      <c r="BT56" s="88">
        <v>128.10155045462213</v>
      </c>
      <c r="BU56" s="88">
        <v>39.257209824897018</v>
      </c>
      <c r="BV56" s="88">
        <v>87.850549378882548</v>
      </c>
      <c r="BW56" s="88">
        <v>95.245729780595553</v>
      </c>
      <c r="BX56" s="88">
        <v>47.904168479951998</v>
      </c>
      <c r="BY56" s="88">
        <v>52.785924465949485</v>
      </c>
      <c r="BZ56" s="88">
        <v>83.798607424559322</v>
      </c>
      <c r="CA56" s="88">
        <v>86.817943165570355</v>
      </c>
      <c r="CB56" s="88">
        <v>147.736340388564</v>
      </c>
      <c r="CC56" s="88">
        <v>236.56680296451296</v>
      </c>
      <c r="CD56" s="88">
        <v>19.640587231023652</v>
      </c>
      <c r="CE56" s="88">
        <v>101.63955726532858</v>
      </c>
      <c r="CF56" s="88">
        <v>205.48348681403991</v>
      </c>
      <c r="CG56" s="88">
        <v>25.519173581104393</v>
      </c>
      <c r="CH56" s="88">
        <v>221.24684114620686</v>
      </c>
      <c r="CI56" s="88">
        <v>12.737914887066752</v>
      </c>
      <c r="CJ56" s="88">
        <v>201.00175955320083</v>
      </c>
      <c r="CK56" s="88">
        <v>121.75074188791029</v>
      </c>
      <c r="CL56" s="88">
        <v>65.497267480109386</v>
      </c>
      <c r="CM56" s="88">
        <v>60.288837388935875</v>
      </c>
      <c r="CN56" s="88">
        <v>195.73108956739756</v>
      </c>
      <c r="CO56" s="88">
        <v>133.73381762953915</v>
      </c>
      <c r="CP56" s="88">
        <v>151.47587038829286</v>
      </c>
      <c r="CQ56" s="88">
        <v>51.908059374561894</v>
      </c>
      <c r="CR56" s="88">
        <v>66.395573752356313</v>
      </c>
      <c r="CS56" s="89">
        <v>30.693360702816715</v>
      </c>
    </row>
    <row r="57" spans="2:97" x14ac:dyDescent="0.3">
      <c r="B57" s="83" t="s">
        <v>116</v>
      </c>
      <c r="C57" s="88">
        <v>262.01349918913445</v>
      </c>
      <c r="D57" s="88">
        <v>133.82605886521259</v>
      </c>
      <c r="E57" s="88">
        <v>53.621196166362125</v>
      </c>
      <c r="F57" s="88">
        <v>203.98614807815588</v>
      </c>
      <c r="G57" s="88">
        <v>275.70766223223404</v>
      </c>
      <c r="H57" s="88">
        <v>226.17643555796693</v>
      </c>
      <c r="I57" s="88">
        <v>267.60034669881867</v>
      </c>
      <c r="J57" s="88">
        <v>156.3051138715164</v>
      </c>
      <c r="K57" s="88">
        <v>33.292399269235595</v>
      </c>
      <c r="L57" s="88">
        <v>378.02917746990141</v>
      </c>
      <c r="M57" s="88">
        <v>107.81758869650176</v>
      </c>
      <c r="N57" s="88">
        <v>18.043390964451664</v>
      </c>
      <c r="O57" s="88">
        <v>295.34378711148395</v>
      </c>
      <c r="P57" s="88">
        <v>195.04115455894856</v>
      </c>
      <c r="Q57" s="88">
        <v>321.03695120930882</v>
      </c>
      <c r="R57" s="88">
        <v>155.47629612742745</v>
      </c>
      <c r="S57" s="88">
        <v>22.04505245562585</v>
      </c>
      <c r="T57" s="88">
        <v>216.40346585966725</v>
      </c>
      <c r="U57" s="88">
        <v>121.25608088665174</v>
      </c>
      <c r="V57" s="88">
        <v>170.28790926146516</v>
      </c>
      <c r="W57" s="88">
        <v>40.968514441012339</v>
      </c>
      <c r="X57" s="88">
        <v>90.930456389760607</v>
      </c>
      <c r="Y57" s="88">
        <v>44.801310609042162</v>
      </c>
      <c r="Z57" s="88">
        <v>43.082629033518479</v>
      </c>
      <c r="AA57" s="88">
        <v>224.63214636522511</v>
      </c>
      <c r="AB57" s="88">
        <v>157.74230449709012</v>
      </c>
      <c r="AC57" s="88">
        <v>27.339446044036475</v>
      </c>
      <c r="AD57" s="88">
        <v>105.31520046202073</v>
      </c>
      <c r="AE57" s="88">
        <v>301.42426672370692</v>
      </c>
      <c r="AF57" s="88">
        <v>337.46151800933143</v>
      </c>
      <c r="AG57" s="88">
        <v>175.81651858043315</v>
      </c>
      <c r="AH57" s="88">
        <v>314.38835254415415</v>
      </c>
      <c r="AI57" s="88">
        <v>208.874449395445</v>
      </c>
      <c r="AJ57" s="88">
        <v>319.76421658098405</v>
      </c>
      <c r="AK57" s="88">
        <v>29.044519637032558</v>
      </c>
      <c r="AL57" s="88">
        <v>46.412485121622026</v>
      </c>
      <c r="AM57" s="88">
        <v>334.08244171088506</v>
      </c>
      <c r="AN57" s="88">
        <v>25.062321862273816</v>
      </c>
      <c r="AO57" s="88">
        <v>25.483627108447628</v>
      </c>
      <c r="AP57" s="88">
        <v>58.297240295796904</v>
      </c>
      <c r="AQ57" s="88">
        <v>77.725315197620759</v>
      </c>
      <c r="AR57" s="88">
        <v>78.235965504747028</v>
      </c>
      <c r="AS57" s="88">
        <v>66.589125376830054</v>
      </c>
      <c r="AT57" s="88">
        <v>184.30111384935591</v>
      </c>
      <c r="AU57" s="88">
        <v>303.38642105123739</v>
      </c>
      <c r="AV57" s="88">
        <v>394.41659513631737</v>
      </c>
      <c r="AW57" s="88">
        <v>275.75886718715338</v>
      </c>
      <c r="AX57" s="88">
        <v>62.134029843676707</v>
      </c>
      <c r="AY57" s="88">
        <v>45.650331856096741</v>
      </c>
      <c r="AZ57" s="88">
        <v>85.565904305190642</v>
      </c>
      <c r="BA57" s="88">
        <v>75.774758279365017</v>
      </c>
      <c r="BB57" s="88">
        <v>130.70369345440918</v>
      </c>
      <c r="BC57" s="88">
        <v>254.05271419232002</v>
      </c>
      <c r="BD57" s="88">
        <v>170.40533553509266</v>
      </c>
      <c r="BE57" s="88">
        <v>0</v>
      </c>
      <c r="BF57" s="88">
        <v>184.09880053809289</v>
      </c>
      <c r="BG57" s="88">
        <v>116.90231037519625</v>
      </c>
      <c r="BH57" s="88">
        <v>98.886757828477513</v>
      </c>
      <c r="BI57" s="88">
        <v>237.5596502085389</v>
      </c>
      <c r="BJ57" s="88">
        <v>33.64213963881101</v>
      </c>
      <c r="BK57" s="88">
        <v>226.19122287732444</v>
      </c>
      <c r="BL57" s="88">
        <v>257.94488671548783</v>
      </c>
      <c r="BM57" s="88">
        <v>101.8363204553284</v>
      </c>
      <c r="BN57" s="88">
        <v>141.27149879844137</v>
      </c>
      <c r="BO57" s="88">
        <v>237.19978600475895</v>
      </c>
      <c r="BP57" s="88">
        <v>54.620765786513779</v>
      </c>
      <c r="BQ57" s="88">
        <v>204.80684580452058</v>
      </c>
      <c r="BR57" s="88">
        <v>55.029211310656827</v>
      </c>
      <c r="BS57" s="88">
        <v>220.02251634724752</v>
      </c>
      <c r="BT57" s="88">
        <v>245.30119058799909</v>
      </c>
      <c r="BU57" s="88">
        <v>190.63951580358474</v>
      </c>
      <c r="BV57" s="88">
        <v>219.72457673580817</v>
      </c>
      <c r="BW57" s="88">
        <v>242.44606950767999</v>
      </c>
      <c r="BX57" s="88">
        <v>126.79600276552483</v>
      </c>
      <c r="BY57" s="88">
        <v>136.71551584921596</v>
      </c>
      <c r="BZ57" s="88">
        <v>248.63001755954065</v>
      </c>
      <c r="CA57" s="88">
        <v>193.41182429378611</v>
      </c>
      <c r="CB57" s="88">
        <v>298.23104114980032</v>
      </c>
      <c r="CC57" s="88">
        <v>66.231622735580316</v>
      </c>
      <c r="CD57" s="88">
        <v>167.12052640671001</v>
      </c>
      <c r="CE57" s="88">
        <v>83.187499548329811</v>
      </c>
      <c r="CF57" s="88">
        <v>369.98872173938048</v>
      </c>
      <c r="CG57" s="88">
        <v>145.49049221504836</v>
      </c>
      <c r="CH57" s="88">
        <v>52.142510531403282</v>
      </c>
      <c r="CI57" s="88">
        <v>159.28535778137291</v>
      </c>
      <c r="CJ57" s="88">
        <v>360.12386140045123</v>
      </c>
      <c r="CK57" s="88">
        <v>283.44065401588199</v>
      </c>
      <c r="CL57" s="88">
        <v>190.06944753854961</v>
      </c>
      <c r="CM57" s="88">
        <v>171.77661127969813</v>
      </c>
      <c r="CN57" s="88">
        <v>357.53895033129334</v>
      </c>
      <c r="CO57" s="88">
        <v>64.341447429583582</v>
      </c>
      <c r="CP57" s="88">
        <v>48.134888292664236</v>
      </c>
      <c r="CQ57" s="88">
        <v>190.82189522941246</v>
      </c>
      <c r="CR57" s="88">
        <v>110.48034875838081</v>
      </c>
      <c r="CS57" s="89">
        <v>147.32243399627538</v>
      </c>
    </row>
    <row r="58" spans="2:97" x14ac:dyDescent="0.3">
      <c r="B58" s="83" t="s">
        <v>117</v>
      </c>
      <c r="C58" s="88">
        <v>105.11564985361639</v>
      </c>
      <c r="D58" s="88">
        <v>54.112689718457659</v>
      </c>
      <c r="E58" s="88">
        <v>151.92436779454678</v>
      </c>
      <c r="F58" s="88">
        <v>39.893280313985841</v>
      </c>
      <c r="G58" s="88">
        <v>102.95680966275626</v>
      </c>
      <c r="H58" s="88">
        <v>43.083621555955979</v>
      </c>
      <c r="I58" s="88">
        <v>120.61676809115188</v>
      </c>
      <c r="J58" s="88">
        <v>53.031763878383096</v>
      </c>
      <c r="K58" s="88">
        <v>169.23514610214087</v>
      </c>
      <c r="L58" s="88">
        <v>211.74560356571308</v>
      </c>
      <c r="M58" s="88">
        <v>113.38008763387816</v>
      </c>
      <c r="N58" s="88">
        <v>169.83263902794965</v>
      </c>
      <c r="O58" s="88">
        <v>144.36202523457172</v>
      </c>
      <c r="P58" s="88">
        <v>98.275480426596431</v>
      </c>
      <c r="Q58" s="88">
        <v>150.90066599493778</v>
      </c>
      <c r="R58" s="88">
        <v>35.685133994333157</v>
      </c>
      <c r="S58" s="88">
        <v>203.36213094418437</v>
      </c>
      <c r="T58" s="88">
        <v>66.651464075044558</v>
      </c>
      <c r="U58" s="88">
        <v>97.0324076529824</v>
      </c>
      <c r="V58" s="88">
        <v>59.917558968479419</v>
      </c>
      <c r="W58" s="88">
        <v>143.79643961068291</v>
      </c>
      <c r="X58" s="88">
        <v>120.1411743089923</v>
      </c>
      <c r="Y58" s="88">
        <v>222.35911845324853</v>
      </c>
      <c r="Z58" s="88">
        <v>214.12328109164798</v>
      </c>
      <c r="AA58" s="88">
        <v>94.645417158379672</v>
      </c>
      <c r="AB58" s="88">
        <v>26.609385373545528</v>
      </c>
      <c r="AC58" s="88">
        <v>195.3568672312424</v>
      </c>
      <c r="AD58" s="88">
        <v>79.909233223494965</v>
      </c>
      <c r="AE58" s="88">
        <v>142.48486142200602</v>
      </c>
      <c r="AF58" s="88">
        <v>171.69256350774097</v>
      </c>
      <c r="AG58" s="88">
        <v>18.769029144646009</v>
      </c>
      <c r="AH58" s="88">
        <v>151.97311270934588</v>
      </c>
      <c r="AI58" s="88">
        <v>26.055816705073767</v>
      </c>
      <c r="AJ58" s="88">
        <v>165.29660125826089</v>
      </c>
      <c r="AK58" s="88">
        <v>190.35699429205144</v>
      </c>
      <c r="AL58" s="88">
        <v>144.7298176944752</v>
      </c>
      <c r="AM58" s="88">
        <v>175.1971083556088</v>
      </c>
      <c r="AN58" s="88">
        <v>208.57602998592674</v>
      </c>
      <c r="AO58" s="88">
        <v>159.86044388052591</v>
      </c>
      <c r="AP58" s="88">
        <v>171.60251568401023</v>
      </c>
      <c r="AQ58" s="88">
        <v>114.04013579882243</v>
      </c>
      <c r="AR58" s="88">
        <v>142.04911078417902</v>
      </c>
      <c r="AS58" s="88">
        <v>136.33226612135584</v>
      </c>
      <c r="AT58" s="88">
        <v>84.975574026733312</v>
      </c>
      <c r="AU58" s="88">
        <v>137.75126892006011</v>
      </c>
      <c r="AV58" s="88">
        <v>230.13545654607555</v>
      </c>
      <c r="AW58" s="88">
        <v>111.87468795884813</v>
      </c>
      <c r="AX58" s="88">
        <v>232.41532564425879</v>
      </c>
      <c r="AY58" s="88">
        <v>229.65331362930286</v>
      </c>
      <c r="AZ58" s="88">
        <v>100.29246884122288</v>
      </c>
      <c r="BA58" s="88">
        <v>108.93249353591001</v>
      </c>
      <c r="BB58" s="88">
        <v>54.612446704410559</v>
      </c>
      <c r="BC58" s="88">
        <v>84.742595437391145</v>
      </c>
      <c r="BD58" s="88">
        <v>99.231839917936895</v>
      </c>
      <c r="BE58" s="88">
        <v>184.09880053809289</v>
      </c>
      <c r="BF58" s="88">
        <v>0</v>
      </c>
      <c r="BG58" s="88">
        <v>68.550699655991167</v>
      </c>
      <c r="BH58" s="88">
        <v>88.571670204713698</v>
      </c>
      <c r="BI58" s="88">
        <v>60.189496078919163</v>
      </c>
      <c r="BJ58" s="88">
        <v>166.10313468576268</v>
      </c>
      <c r="BK58" s="88">
        <v>52.703005353487249</v>
      </c>
      <c r="BL58" s="88">
        <v>80.157307678479398</v>
      </c>
      <c r="BM58" s="88">
        <v>136.52210479810881</v>
      </c>
      <c r="BN58" s="88">
        <v>42.926088381681673</v>
      </c>
      <c r="BO58" s="88">
        <v>88.336443157945084</v>
      </c>
      <c r="BP58" s="88">
        <v>215.08714480254866</v>
      </c>
      <c r="BQ58" s="88">
        <v>86.007251242028104</v>
      </c>
      <c r="BR58" s="88">
        <v>130.82356212221887</v>
      </c>
      <c r="BS58" s="88">
        <v>103.32415097238071</v>
      </c>
      <c r="BT58" s="88">
        <v>62.055306886235918</v>
      </c>
      <c r="BU58" s="88">
        <v>70.207704324127704</v>
      </c>
      <c r="BV58" s="88">
        <v>51.368902675766002</v>
      </c>
      <c r="BW58" s="88">
        <v>79.238490640427315</v>
      </c>
      <c r="BX58" s="88">
        <v>119.08371176160573</v>
      </c>
      <c r="BY58" s="88">
        <v>66.510958969886858</v>
      </c>
      <c r="BZ58" s="88">
        <v>109.42570931845287</v>
      </c>
      <c r="CA58" s="88">
        <v>20.521264413663392</v>
      </c>
      <c r="CB58" s="88">
        <v>126.37162650166613</v>
      </c>
      <c r="CC58" s="88">
        <v>241.18939431485711</v>
      </c>
      <c r="CD58" s="88">
        <v>79.664032472915224</v>
      </c>
      <c r="CE58" s="88">
        <v>156.12257072920337</v>
      </c>
      <c r="CF58" s="88">
        <v>208.87652979198307</v>
      </c>
      <c r="CG58" s="88">
        <v>103.76694830280624</v>
      </c>
      <c r="CH58" s="88">
        <v>234.33506432718596</v>
      </c>
      <c r="CI58" s="88">
        <v>92.203882378114471</v>
      </c>
      <c r="CJ58" s="88">
        <v>191.42824304494926</v>
      </c>
      <c r="CK58" s="88">
        <v>128.1047511434011</v>
      </c>
      <c r="CL58" s="88">
        <v>40.276310626955457</v>
      </c>
      <c r="CM58" s="88">
        <v>38.946328923037278</v>
      </c>
      <c r="CN58" s="88">
        <v>192.73495929888696</v>
      </c>
      <c r="CO58" s="88">
        <v>122.48237743519775</v>
      </c>
      <c r="CP58" s="88">
        <v>191.40909706131495</v>
      </c>
      <c r="CQ58" s="88">
        <v>55.83382372762663</v>
      </c>
      <c r="CR58" s="88">
        <v>89.085371376580241</v>
      </c>
      <c r="CS58" s="89">
        <v>80.465493421145325</v>
      </c>
    </row>
    <row r="59" spans="2:97" x14ac:dyDescent="0.3">
      <c r="B59" s="83" t="s">
        <v>118</v>
      </c>
      <c r="C59" s="88">
        <v>150.58001685794238</v>
      </c>
      <c r="D59" s="88">
        <v>17.486720228944964</v>
      </c>
      <c r="E59" s="88">
        <v>83.984862895822133</v>
      </c>
      <c r="F59" s="88">
        <v>88.09629439101046</v>
      </c>
      <c r="G59" s="88">
        <v>160.17617207674326</v>
      </c>
      <c r="H59" s="88">
        <v>109.5418917921338</v>
      </c>
      <c r="I59" s="88">
        <v>159.83611433139151</v>
      </c>
      <c r="J59" s="88">
        <v>45.91622667231136</v>
      </c>
      <c r="K59" s="88">
        <v>100.69130117212383</v>
      </c>
      <c r="L59" s="88">
        <v>265.59620174125121</v>
      </c>
      <c r="M59" s="88">
        <v>57.590719745170666</v>
      </c>
      <c r="N59" s="88">
        <v>104.03026919636959</v>
      </c>
      <c r="O59" s="88">
        <v>187.14825994391782</v>
      </c>
      <c r="P59" s="88">
        <v>101.17361311897842</v>
      </c>
      <c r="Q59" s="88">
        <v>206.74130588925041</v>
      </c>
      <c r="R59" s="88">
        <v>38.839136601379231</v>
      </c>
      <c r="S59" s="88">
        <v>135.35493032402016</v>
      </c>
      <c r="T59" s="88">
        <v>104.48128581026492</v>
      </c>
      <c r="U59" s="88">
        <v>48.390438834500991</v>
      </c>
      <c r="V59" s="88">
        <v>63.054842133963781</v>
      </c>
      <c r="W59" s="88">
        <v>76.07473475390681</v>
      </c>
      <c r="X59" s="88">
        <v>57.474651109678291</v>
      </c>
      <c r="Y59" s="88">
        <v>153.89912668613442</v>
      </c>
      <c r="Z59" s="88">
        <v>150.41929281363309</v>
      </c>
      <c r="AA59" s="88">
        <v>120.26049224562529</v>
      </c>
      <c r="AB59" s="88">
        <v>43.669568126429333</v>
      </c>
      <c r="AC59" s="88">
        <v>126.84352181596134</v>
      </c>
      <c r="AD59" s="88">
        <v>23.882907256208362</v>
      </c>
      <c r="AE59" s="88">
        <v>190.48341860589062</v>
      </c>
      <c r="AF59" s="88">
        <v>224.7744515256168</v>
      </c>
      <c r="AG59" s="88">
        <v>58.914463148329816</v>
      </c>
      <c r="AH59" s="88">
        <v>202.5057772111924</v>
      </c>
      <c r="AI59" s="88">
        <v>92.320819627574025</v>
      </c>
      <c r="AJ59" s="88">
        <v>210.89811196680887</v>
      </c>
      <c r="AK59" s="88">
        <v>126.80330569088881</v>
      </c>
      <c r="AL59" s="88">
        <v>82.110890022502531</v>
      </c>
      <c r="AM59" s="88">
        <v>223.82655449112497</v>
      </c>
      <c r="AN59" s="88">
        <v>141.76776054681625</v>
      </c>
      <c r="AO59" s="88">
        <v>92.061559647536953</v>
      </c>
      <c r="AP59" s="88">
        <v>104.56709330976277</v>
      </c>
      <c r="AQ59" s="88">
        <v>45.966927617485545</v>
      </c>
      <c r="AR59" s="88">
        <v>77.595972839192797</v>
      </c>
      <c r="AS59" s="88">
        <v>69.040211618601404</v>
      </c>
      <c r="AT59" s="88">
        <v>86.645251406701689</v>
      </c>
      <c r="AU59" s="88">
        <v>190.24334007063356</v>
      </c>
      <c r="AV59" s="88">
        <v>282.88290541105494</v>
      </c>
      <c r="AW59" s="88">
        <v>162.59073795176351</v>
      </c>
      <c r="AX59" s="88">
        <v>163.91164291725576</v>
      </c>
      <c r="AY59" s="88">
        <v>162.10686283346732</v>
      </c>
      <c r="AZ59" s="88">
        <v>39.537283234138428</v>
      </c>
      <c r="BA59" s="88">
        <v>41.130160721619426</v>
      </c>
      <c r="BB59" s="88">
        <v>24.750755987498671</v>
      </c>
      <c r="BC59" s="88">
        <v>138.94387113042299</v>
      </c>
      <c r="BD59" s="88">
        <v>84.737499973038055</v>
      </c>
      <c r="BE59" s="88">
        <v>116.90231037519625</v>
      </c>
      <c r="BF59" s="88">
        <v>68.550699655991167</v>
      </c>
      <c r="BG59" s="88">
        <v>0</v>
      </c>
      <c r="BH59" s="88">
        <v>20.29155022438696</v>
      </c>
      <c r="BI59" s="88">
        <v>120.84041988912874</v>
      </c>
      <c r="BJ59" s="88">
        <v>103.33785155281544</v>
      </c>
      <c r="BK59" s="88">
        <v>109.77012980772643</v>
      </c>
      <c r="BL59" s="88">
        <v>141.31776434313633</v>
      </c>
      <c r="BM59" s="88">
        <v>78.933618416251988</v>
      </c>
      <c r="BN59" s="88">
        <v>26.177357596613465</v>
      </c>
      <c r="BO59" s="88">
        <v>127.10396264180824</v>
      </c>
      <c r="BP59" s="88">
        <v>146.77213067476646</v>
      </c>
      <c r="BQ59" s="88">
        <v>102.38477977603024</v>
      </c>
      <c r="BR59" s="88">
        <v>62.617089514291372</v>
      </c>
      <c r="BS59" s="88">
        <v>120.70751549923177</v>
      </c>
      <c r="BT59" s="88">
        <v>128.61667455840427</v>
      </c>
      <c r="BU59" s="88">
        <v>84.907213476483463</v>
      </c>
      <c r="BV59" s="88">
        <v>103.86979457814556</v>
      </c>
      <c r="BW59" s="88">
        <v>128.46742044668068</v>
      </c>
      <c r="BX59" s="88">
        <v>73.198501267080076</v>
      </c>
      <c r="BY59" s="88">
        <v>32.371473152194952</v>
      </c>
      <c r="BZ59" s="88">
        <v>142.72643785639752</v>
      </c>
      <c r="CA59" s="88">
        <v>76.512514463771296</v>
      </c>
      <c r="CB59" s="88">
        <v>183.19160945600777</v>
      </c>
      <c r="CC59" s="88">
        <v>177.36505937812228</v>
      </c>
      <c r="CD59" s="88">
        <v>70.420286419672209</v>
      </c>
      <c r="CE59" s="88">
        <v>93.15593480521558</v>
      </c>
      <c r="CF59" s="88">
        <v>259.41550690154861</v>
      </c>
      <c r="CG59" s="88">
        <v>71.152760243285044</v>
      </c>
      <c r="CH59" s="88">
        <v>168.2171817633338</v>
      </c>
      <c r="CI59" s="88">
        <v>72.251609480350652</v>
      </c>
      <c r="CJ59" s="88">
        <v>246.67732978832194</v>
      </c>
      <c r="CK59" s="88">
        <v>173.2736834598351</v>
      </c>
      <c r="CL59" s="88">
        <v>75.351709708822227</v>
      </c>
      <c r="CM59" s="88">
        <v>57.268790505630705</v>
      </c>
      <c r="CN59" s="88">
        <v>245.43417172270316</v>
      </c>
      <c r="CO59" s="88">
        <v>59.749125893615506</v>
      </c>
      <c r="CP59" s="88">
        <v>123.35009475255984</v>
      </c>
      <c r="CQ59" s="88">
        <v>79.955246488665239</v>
      </c>
      <c r="CR59" s="88">
        <v>30.283401058526714</v>
      </c>
      <c r="CS59" s="89">
        <v>54.20698766234792</v>
      </c>
    </row>
    <row r="60" spans="2:97" x14ac:dyDescent="0.3">
      <c r="B60" s="83" t="s">
        <v>119</v>
      </c>
      <c r="C60" s="88">
        <v>164.74962970670711</v>
      </c>
      <c r="D60" s="88">
        <v>35.441364214310312</v>
      </c>
      <c r="E60" s="88">
        <v>63.693797711809651</v>
      </c>
      <c r="F60" s="88">
        <v>105.09942391258862</v>
      </c>
      <c r="G60" s="88">
        <v>176.88884660324234</v>
      </c>
      <c r="H60" s="88">
        <v>128.85387846613361</v>
      </c>
      <c r="I60" s="88">
        <v>172.30288770079943</v>
      </c>
      <c r="J60" s="88">
        <v>58.444938063824452</v>
      </c>
      <c r="K60" s="88">
        <v>80.755472417936517</v>
      </c>
      <c r="L60" s="88">
        <v>280.53433245431984</v>
      </c>
      <c r="M60" s="88">
        <v>44.486704183950955</v>
      </c>
      <c r="N60" s="88">
        <v>87.393629686497988</v>
      </c>
      <c r="O60" s="88">
        <v>199.94373733633631</v>
      </c>
      <c r="P60" s="88">
        <v>107.14610516033953</v>
      </c>
      <c r="Q60" s="88">
        <v>222.63323129601483</v>
      </c>
      <c r="R60" s="88">
        <v>56.973490347944946</v>
      </c>
      <c r="S60" s="88">
        <v>116.42667606396985</v>
      </c>
      <c r="T60" s="88">
        <v>118.69014844023718</v>
      </c>
      <c r="U60" s="88">
        <v>41.513878200687564</v>
      </c>
      <c r="V60" s="88">
        <v>74.054003965329258</v>
      </c>
      <c r="W60" s="88">
        <v>57.932208046943991</v>
      </c>
      <c r="X60" s="88">
        <v>39.936024092797339</v>
      </c>
      <c r="Y60" s="88">
        <v>134.32005045604674</v>
      </c>
      <c r="Z60" s="88">
        <v>134.70429480602442</v>
      </c>
      <c r="AA60" s="88">
        <v>130.89388513955515</v>
      </c>
      <c r="AB60" s="88">
        <v>63.959873979065357</v>
      </c>
      <c r="AC60" s="88">
        <v>107.16987849031709</v>
      </c>
      <c r="AD60" s="88">
        <v>28.741085337906725</v>
      </c>
      <c r="AE60" s="88">
        <v>204.54353369934685</v>
      </c>
      <c r="AF60" s="88">
        <v>239.78361808493284</v>
      </c>
      <c r="AG60" s="88">
        <v>77.753943028383532</v>
      </c>
      <c r="AH60" s="88">
        <v>217.06089573944877</v>
      </c>
      <c r="AI60" s="88">
        <v>111.76311869707901</v>
      </c>
      <c r="AJ60" s="88">
        <v>224.07516955527294</v>
      </c>
      <c r="AK60" s="88">
        <v>111.48835418519852</v>
      </c>
      <c r="AL60" s="88">
        <v>68.694843535727628</v>
      </c>
      <c r="AM60" s="88">
        <v>237.65730438067646</v>
      </c>
      <c r="AN60" s="88">
        <v>123.92277084956559</v>
      </c>
      <c r="AO60" s="88">
        <v>73.619574873362851</v>
      </c>
      <c r="AP60" s="88">
        <v>84.365780799560142</v>
      </c>
      <c r="AQ60" s="88">
        <v>25.675379364478978</v>
      </c>
      <c r="AR60" s="88">
        <v>58.437234144818369</v>
      </c>
      <c r="AS60" s="88">
        <v>48.851523558130424</v>
      </c>
      <c r="AT60" s="88">
        <v>93.695803251052766</v>
      </c>
      <c r="AU60" s="88">
        <v>205.43838798723058</v>
      </c>
      <c r="AV60" s="88">
        <v>297.41096702152015</v>
      </c>
      <c r="AW60" s="88">
        <v>177.74211339887822</v>
      </c>
      <c r="AX60" s="88">
        <v>143.85276099092707</v>
      </c>
      <c r="AY60" s="88">
        <v>143.54919404499739</v>
      </c>
      <c r="AZ60" s="88">
        <v>32.900584319200945</v>
      </c>
      <c r="BA60" s="88">
        <v>24.175688350384235</v>
      </c>
      <c r="BB60" s="88">
        <v>42.860621702638703</v>
      </c>
      <c r="BC60" s="88">
        <v>155.31111891437922</v>
      </c>
      <c r="BD60" s="88">
        <v>86.930778332899038</v>
      </c>
      <c r="BE60" s="88">
        <v>98.886757828477513</v>
      </c>
      <c r="BF60" s="88">
        <v>88.571670204713698</v>
      </c>
      <c r="BG60" s="88">
        <v>20.29155022438696</v>
      </c>
      <c r="BH60" s="88">
        <v>0</v>
      </c>
      <c r="BI60" s="88">
        <v>138.85948918152576</v>
      </c>
      <c r="BJ60" s="88">
        <v>89.056011707124668</v>
      </c>
      <c r="BK60" s="88">
        <v>127.35383707613211</v>
      </c>
      <c r="BL60" s="88">
        <v>159.16251493859255</v>
      </c>
      <c r="BM60" s="88">
        <v>63.118028889648109</v>
      </c>
      <c r="BN60" s="88">
        <v>46.46568090788228</v>
      </c>
      <c r="BO60" s="88">
        <v>140.46791954340742</v>
      </c>
      <c r="BP60" s="88">
        <v>126.56674996238254</v>
      </c>
      <c r="BQ60" s="88">
        <v>111.88869633099678</v>
      </c>
      <c r="BR60" s="88">
        <v>43.925805216632135</v>
      </c>
      <c r="BS60" s="88">
        <v>129.25608620437549</v>
      </c>
      <c r="BT60" s="88">
        <v>147.82817803978529</v>
      </c>
      <c r="BU60" s="88">
        <v>95.608394318531779</v>
      </c>
      <c r="BV60" s="88">
        <v>120.84005216277501</v>
      </c>
      <c r="BW60" s="88">
        <v>144.03046025756032</v>
      </c>
      <c r="BX60" s="88">
        <v>63.789472995980937</v>
      </c>
      <c r="BY60" s="88">
        <v>40.157918607873441</v>
      </c>
      <c r="BZ60" s="88">
        <v>154.25840310740764</v>
      </c>
      <c r="CA60" s="88">
        <v>95.208430366905162</v>
      </c>
      <c r="CB60" s="88">
        <v>199.55055658562642</v>
      </c>
      <c r="CC60" s="88">
        <v>161.3417232641996</v>
      </c>
      <c r="CD60" s="88">
        <v>76.40335111926656</v>
      </c>
      <c r="CE60" s="88">
        <v>74.398090435290811</v>
      </c>
      <c r="CF60" s="88">
        <v>273.46661720361345</v>
      </c>
      <c r="CG60" s="88">
        <v>68.194357801151639</v>
      </c>
      <c r="CH60" s="88">
        <v>150.75183882446311</v>
      </c>
      <c r="CI60" s="88">
        <v>74.21289158475966</v>
      </c>
      <c r="CJ60" s="88">
        <v>262.12099292385625</v>
      </c>
      <c r="CK60" s="88">
        <v>186.90470452426467</v>
      </c>
      <c r="CL60" s="88">
        <v>91.302100820405286</v>
      </c>
      <c r="CM60" s="88">
        <v>72.98668908043949</v>
      </c>
      <c r="CN60" s="88">
        <v>260.18096818694255</v>
      </c>
      <c r="CO60" s="88">
        <v>47.734261137243152</v>
      </c>
      <c r="CP60" s="88">
        <v>103.07482053115584</v>
      </c>
      <c r="CQ60" s="88">
        <v>93.340593172319572</v>
      </c>
      <c r="CR60" s="88">
        <v>21.573636059340867</v>
      </c>
      <c r="CS60" s="89">
        <v>57.374446228307193</v>
      </c>
    </row>
    <row r="61" spans="2:97" x14ac:dyDescent="0.3">
      <c r="B61" s="83" t="s">
        <v>113</v>
      </c>
      <c r="C61" s="88">
        <v>53.344066746633757</v>
      </c>
      <c r="D61" s="88">
        <v>103.73700048551937</v>
      </c>
      <c r="E61" s="88">
        <v>198.44244304347589</v>
      </c>
      <c r="F61" s="88">
        <v>35.089517641089344</v>
      </c>
      <c r="G61" s="88">
        <v>42.889706257250019</v>
      </c>
      <c r="H61" s="88">
        <v>23.143158279078254</v>
      </c>
      <c r="I61" s="88">
        <v>72.474093399463499</v>
      </c>
      <c r="J61" s="88">
        <v>85.292500328878518</v>
      </c>
      <c r="K61" s="88">
        <v>218.22586092932684</v>
      </c>
      <c r="L61" s="88">
        <v>151.68744381612845</v>
      </c>
      <c r="M61" s="88">
        <v>149.79220821500473</v>
      </c>
      <c r="N61" s="88">
        <v>224.83396913218536</v>
      </c>
      <c r="O61" s="88">
        <v>90.721862485283637</v>
      </c>
      <c r="P61" s="88">
        <v>93.421647492334941</v>
      </c>
      <c r="Q61" s="88">
        <v>90.770959608049935</v>
      </c>
      <c r="R61" s="88">
        <v>82.092280283884989</v>
      </c>
      <c r="S61" s="88">
        <v>255.22435211298782</v>
      </c>
      <c r="T61" s="88">
        <v>42.114038700452689</v>
      </c>
      <c r="U61" s="88">
        <v>131.81896079141399</v>
      </c>
      <c r="V61" s="88">
        <v>78.186556808327452</v>
      </c>
      <c r="W61" s="88">
        <v>196.60915288706065</v>
      </c>
      <c r="X61" s="88">
        <v>161.3721924915591</v>
      </c>
      <c r="Y61" s="88">
        <v>272.32630071852066</v>
      </c>
      <c r="Z61" s="88">
        <v>270.7275164841929</v>
      </c>
      <c r="AA61" s="88">
        <v>68.302951917729871</v>
      </c>
      <c r="AB61" s="88">
        <v>85.179903465661027</v>
      </c>
      <c r="AC61" s="88">
        <v>245.12010070510428</v>
      </c>
      <c r="AD61" s="88">
        <v>137.06842189003774</v>
      </c>
      <c r="AE61" s="88">
        <v>85.452277721087611</v>
      </c>
      <c r="AF61" s="88">
        <v>111.94048324853861</v>
      </c>
      <c r="AG61" s="88">
        <v>62.247277652476868</v>
      </c>
      <c r="AH61" s="88">
        <v>93.344084854799362</v>
      </c>
      <c r="AI61" s="88">
        <v>35.14450160113978</v>
      </c>
      <c r="AJ61" s="88">
        <v>108.80592927311179</v>
      </c>
      <c r="AK61" s="88">
        <v>246.98181045181877</v>
      </c>
      <c r="AL61" s="88">
        <v>201.58689008495452</v>
      </c>
      <c r="AM61" s="88">
        <v>116.93054462729503</v>
      </c>
      <c r="AN61" s="88">
        <v>262.51256214353032</v>
      </c>
      <c r="AO61" s="88">
        <v>212.43757106841642</v>
      </c>
      <c r="AP61" s="88">
        <v>215.39858783242892</v>
      </c>
      <c r="AQ61" s="88">
        <v>162.42361044043685</v>
      </c>
      <c r="AR61" s="88">
        <v>183.37287612455054</v>
      </c>
      <c r="AS61" s="88">
        <v>182.05003917491618</v>
      </c>
      <c r="AT61" s="88">
        <v>87.467515950483261</v>
      </c>
      <c r="AU61" s="88">
        <v>78.605592247131526</v>
      </c>
      <c r="AV61" s="88">
        <v>170.18851874892439</v>
      </c>
      <c r="AW61" s="88">
        <v>54.734553986034683</v>
      </c>
      <c r="AX61" s="88">
        <v>279.92288952279068</v>
      </c>
      <c r="AY61" s="88">
        <v>282.40864314720505</v>
      </c>
      <c r="AZ61" s="88">
        <v>157.17020039167045</v>
      </c>
      <c r="BA61" s="88">
        <v>161.85296642503485</v>
      </c>
      <c r="BB61" s="88">
        <v>112.84820634868043</v>
      </c>
      <c r="BC61" s="88">
        <v>27.436772368238181</v>
      </c>
      <c r="BD61" s="88">
        <v>108.97702627725558</v>
      </c>
      <c r="BE61" s="88">
        <v>237.5596502085389</v>
      </c>
      <c r="BF61" s="88">
        <v>60.189496078919163</v>
      </c>
      <c r="BG61" s="88">
        <v>120.84041988912874</v>
      </c>
      <c r="BH61" s="88">
        <v>138.85948918152576</v>
      </c>
      <c r="BI61" s="88">
        <v>0</v>
      </c>
      <c r="BJ61" s="88">
        <v>223.03610886878317</v>
      </c>
      <c r="BK61" s="88">
        <v>12.58015210110846</v>
      </c>
      <c r="BL61" s="88">
        <v>20.561795605351186</v>
      </c>
      <c r="BM61" s="88">
        <v>171.3632709063329</v>
      </c>
      <c r="BN61" s="88">
        <v>98.536054577534131</v>
      </c>
      <c r="BO61" s="88">
        <v>49.072906388437033</v>
      </c>
      <c r="BP61" s="88">
        <v>261.52249462748239</v>
      </c>
      <c r="BQ61" s="88">
        <v>73.790265843173728</v>
      </c>
      <c r="BR61" s="88">
        <v>182.76017669091405</v>
      </c>
      <c r="BS61" s="88">
        <v>82.342916561880855</v>
      </c>
      <c r="BT61" s="88">
        <v>21.713391667534523</v>
      </c>
      <c r="BU61" s="88">
        <v>69.725990597944445</v>
      </c>
      <c r="BV61" s="88">
        <v>21.41938864702696</v>
      </c>
      <c r="BW61" s="88">
        <v>29.691362898292819</v>
      </c>
      <c r="BX61" s="88">
        <v>147.06316969408414</v>
      </c>
      <c r="BY61" s="88">
        <v>105.02169075776281</v>
      </c>
      <c r="BZ61" s="88">
        <v>69.600045028978926</v>
      </c>
      <c r="CA61" s="88">
        <v>44.79477265037378</v>
      </c>
      <c r="CB61" s="88">
        <v>66.220692357455022</v>
      </c>
      <c r="CC61" s="88">
        <v>297.7739334159902</v>
      </c>
      <c r="CD61" s="88">
        <v>94.183831885144897</v>
      </c>
      <c r="CE61" s="88">
        <v>194.74482619319937</v>
      </c>
      <c r="CF61" s="88">
        <v>149.52281103939487</v>
      </c>
      <c r="CG61" s="88">
        <v>125.75892703622218</v>
      </c>
      <c r="CH61" s="88">
        <v>289.05212166689665</v>
      </c>
      <c r="CI61" s="88">
        <v>108.96147610790153</v>
      </c>
      <c r="CJ61" s="88">
        <v>131.27082848384265</v>
      </c>
      <c r="CK61" s="88">
        <v>73.875127090501678</v>
      </c>
      <c r="CL61" s="88">
        <v>50.510497519122993</v>
      </c>
      <c r="CM61" s="88">
        <v>67.539833426725977</v>
      </c>
      <c r="CN61" s="88">
        <v>132.93980886038258</v>
      </c>
      <c r="CO61" s="88">
        <v>179.05875000974211</v>
      </c>
      <c r="CP61" s="88">
        <v>237.23514851029475</v>
      </c>
      <c r="CQ61" s="88">
        <v>58.374902057789804</v>
      </c>
      <c r="CR61" s="88">
        <v>132.01605625883124</v>
      </c>
      <c r="CS61" s="89">
        <v>106.94131287256049</v>
      </c>
    </row>
    <row r="62" spans="2:97" x14ac:dyDescent="0.3">
      <c r="B62" s="83" t="s">
        <v>114</v>
      </c>
      <c r="C62" s="88">
        <v>253.42147880306598</v>
      </c>
      <c r="D62" s="88">
        <v>120.82403866924187</v>
      </c>
      <c r="E62" s="88">
        <v>67.722512298634797</v>
      </c>
      <c r="F62" s="88">
        <v>191.28108720523724</v>
      </c>
      <c r="G62" s="88">
        <v>263.3150181766373</v>
      </c>
      <c r="H62" s="88">
        <v>209.08383874356838</v>
      </c>
      <c r="I62" s="88">
        <v>261.35779646731226</v>
      </c>
      <c r="J62" s="88">
        <v>147.29513744228643</v>
      </c>
      <c r="K62" s="88">
        <v>55.449151298431261</v>
      </c>
      <c r="L62" s="88">
        <v>368.83639112135853</v>
      </c>
      <c r="M62" s="88">
        <v>111.68546523916642</v>
      </c>
      <c r="N62" s="88">
        <v>17.237533399806019</v>
      </c>
      <c r="O62" s="88">
        <v>288.98800801683484</v>
      </c>
      <c r="P62" s="88">
        <v>193.83746600055002</v>
      </c>
      <c r="Q62" s="88">
        <v>310.06957811318097</v>
      </c>
      <c r="R62" s="88">
        <v>141.87568121538163</v>
      </c>
      <c r="S62" s="88">
        <v>54.672796590175899</v>
      </c>
      <c r="T62" s="88">
        <v>207.27620599355922</v>
      </c>
      <c r="U62" s="88">
        <v>121.11104461381858</v>
      </c>
      <c r="V62" s="88">
        <v>163.10804865101832</v>
      </c>
      <c r="W62" s="88">
        <v>39.075435250436286</v>
      </c>
      <c r="X62" s="88">
        <v>95.410437856947809</v>
      </c>
      <c r="Y62" s="88">
        <v>77.463731981272403</v>
      </c>
      <c r="Z62" s="88">
        <v>48.037950443150557</v>
      </c>
      <c r="AA62" s="88">
        <v>219.76390340544538</v>
      </c>
      <c r="AB62" s="88">
        <v>139.51328330809204</v>
      </c>
      <c r="AC62" s="88">
        <v>60.366385577242355</v>
      </c>
      <c r="AD62" s="88">
        <v>86.293942157962377</v>
      </c>
      <c r="AE62" s="88">
        <v>293.29490660419714</v>
      </c>
      <c r="AF62" s="88">
        <v>328.02223439766931</v>
      </c>
      <c r="AG62" s="88">
        <v>160.81071485680545</v>
      </c>
      <c r="AH62" s="88">
        <v>305.58148618400418</v>
      </c>
      <c r="AI62" s="88">
        <v>191.8216801475331</v>
      </c>
      <c r="AJ62" s="88">
        <v>313.08292926138796</v>
      </c>
      <c r="AK62" s="88">
        <v>24.333561527247827</v>
      </c>
      <c r="AL62" s="88">
        <v>21.454197326059461</v>
      </c>
      <c r="AM62" s="88">
        <v>326.51199842273002</v>
      </c>
      <c r="AN62" s="88">
        <v>49.362520578693221</v>
      </c>
      <c r="AO62" s="88">
        <v>34.500733944867306</v>
      </c>
      <c r="AP62" s="88">
        <v>81.186468416281613</v>
      </c>
      <c r="AQ62" s="88">
        <v>75.075665834963658</v>
      </c>
      <c r="AR62" s="88">
        <v>90.174766101291269</v>
      </c>
      <c r="AS62" s="88">
        <v>74.344559612597521</v>
      </c>
      <c r="AT62" s="88">
        <v>181.39147475720148</v>
      </c>
      <c r="AU62" s="88">
        <v>293.52348824577723</v>
      </c>
      <c r="AV62" s="88">
        <v>385.9794031330967</v>
      </c>
      <c r="AW62" s="88">
        <v>265.84744881375167</v>
      </c>
      <c r="AX62" s="88">
        <v>95.539679552219127</v>
      </c>
      <c r="AY62" s="88">
        <v>72.331256731935298</v>
      </c>
      <c r="AZ62" s="88">
        <v>65.970992214086536</v>
      </c>
      <c r="BA62" s="88">
        <v>65.000258222320596</v>
      </c>
      <c r="BB62" s="88">
        <v>111.49979816931311</v>
      </c>
      <c r="BC62" s="88">
        <v>242.22624399419416</v>
      </c>
      <c r="BD62" s="88">
        <v>170.99524650208144</v>
      </c>
      <c r="BE62" s="88">
        <v>33.64213963881101</v>
      </c>
      <c r="BF62" s="88">
        <v>166.10313468576268</v>
      </c>
      <c r="BG62" s="88">
        <v>103.33785155281544</v>
      </c>
      <c r="BH62" s="88">
        <v>89.056011707124668</v>
      </c>
      <c r="BI62" s="88">
        <v>223.03610886878317</v>
      </c>
      <c r="BJ62" s="88">
        <v>0</v>
      </c>
      <c r="BK62" s="88">
        <v>212.50393748127007</v>
      </c>
      <c r="BL62" s="88">
        <v>243.59769874126616</v>
      </c>
      <c r="BM62" s="88">
        <v>112.67009131323383</v>
      </c>
      <c r="BN62" s="88">
        <v>124.59197481886982</v>
      </c>
      <c r="BO62" s="88">
        <v>229.38313285461015</v>
      </c>
      <c r="BP62" s="88">
        <v>88.003418961528297</v>
      </c>
      <c r="BQ62" s="88">
        <v>200.50366794835642</v>
      </c>
      <c r="BR62" s="88">
        <v>51.115669312829311</v>
      </c>
      <c r="BS62" s="88">
        <v>217.30525673191863</v>
      </c>
      <c r="BT62" s="88">
        <v>228.13938672705538</v>
      </c>
      <c r="BU62" s="88">
        <v>184.59634196077798</v>
      </c>
      <c r="BV62" s="88">
        <v>207.01678900637481</v>
      </c>
      <c r="BW62" s="88">
        <v>231.78235335888363</v>
      </c>
      <c r="BX62" s="88">
        <v>132.91973284098202</v>
      </c>
      <c r="BY62" s="88">
        <v>129.16355581631791</v>
      </c>
      <c r="BZ62" s="88">
        <v>243.26179019570782</v>
      </c>
      <c r="CA62" s="88">
        <v>178.25415451091419</v>
      </c>
      <c r="CB62" s="88">
        <v>286.43845417718831</v>
      </c>
      <c r="CC62" s="88">
        <v>75.088986874468475</v>
      </c>
      <c r="CD62" s="88">
        <v>163.92178233448345</v>
      </c>
      <c r="CE62" s="88">
        <v>100.13892581873677</v>
      </c>
      <c r="CF62" s="88">
        <v>362.25543027847016</v>
      </c>
      <c r="CG62" s="88">
        <v>147.80941988440006</v>
      </c>
      <c r="CH62" s="88">
        <v>70.780304481836808</v>
      </c>
      <c r="CI62" s="88">
        <v>158.84496666182173</v>
      </c>
      <c r="CJ62" s="88">
        <v>350.00760777630728</v>
      </c>
      <c r="CK62" s="88">
        <v>275.79221979262661</v>
      </c>
      <c r="CL62" s="88">
        <v>178.67240206579777</v>
      </c>
      <c r="CM62" s="88">
        <v>160.50977983834738</v>
      </c>
      <c r="CN62" s="88">
        <v>348.60609108440372</v>
      </c>
      <c r="CO62" s="88">
        <v>43.979137435464814</v>
      </c>
      <c r="CP62" s="88">
        <v>78.011853800667623</v>
      </c>
      <c r="CQ62" s="88">
        <v>182.15718285692421</v>
      </c>
      <c r="CR62" s="88">
        <v>105.88701170844375</v>
      </c>
      <c r="CS62" s="89">
        <v>144.223353137054</v>
      </c>
    </row>
    <row r="63" spans="2:97" x14ac:dyDescent="0.3">
      <c r="B63" s="83" t="s">
        <v>120</v>
      </c>
      <c r="C63" s="88">
        <v>54.164728998618358</v>
      </c>
      <c r="D63" s="88">
        <v>92.493187995943444</v>
      </c>
      <c r="E63" s="88">
        <v>186.31953356243332</v>
      </c>
      <c r="F63" s="88">
        <v>22.753225341422841</v>
      </c>
      <c r="G63" s="88">
        <v>51.278891498673275</v>
      </c>
      <c r="H63" s="88">
        <v>24.912780959026676</v>
      </c>
      <c r="I63" s="88">
        <v>71.825459864751679</v>
      </c>
      <c r="J63" s="88">
        <v>72.956654353783946</v>
      </c>
      <c r="K63" s="88">
        <v>206.28865074192672</v>
      </c>
      <c r="L63" s="88">
        <v>159.57890170077863</v>
      </c>
      <c r="M63" s="88">
        <v>137.27714469735218</v>
      </c>
      <c r="N63" s="88">
        <v>213.79385039523257</v>
      </c>
      <c r="O63" s="88">
        <v>93.070191591320324</v>
      </c>
      <c r="P63" s="88">
        <v>82.484991914538057</v>
      </c>
      <c r="Q63" s="88">
        <v>99.04590047359396</v>
      </c>
      <c r="R63" s="88">
        <v>70.931606452889582</v>
      </c>
      <c r="S63" s="88">
        <v>243.57378622769076</v>
      </c>
      <c r="T63" s="88">
        <v>31.942310824900634</v>
      </c>
      <c r="U63" s="88">
        <v>119.3001629252533</v>
      </c>
      <c r="V63" s="88">
        <v>65.60763474899565</v>
      </c>
      <c r="W63" s="88">
        <v>185.22305650048287</v>
      </c>
      <c r="X63" s="88">
        <v>149.00443216872418</v>
      </c>
      <c r="Y63" s="88">
        <v>260.41404721075412</v>
      </c>
      <c r="Z63" s="88">
        <v>260.01500620484006</v>
      </c>
      <c r="AA63" s="88">
        <v>60.278362569080755</v>
      </c>
      <c r="AB63" s="88">
        <v>76.163678887112681</v>
      </c>
      <c r="AC63" s="88">
        <v>233.22065019082544</v>
      </c>
      <c r="AD63" s="88">
        <v>126.93026460188007</v>
      </c>
      <c r="AE63" s="88">
        <v>89.98298322227582</v>
      </c>
      <c r="AF63" s="88">
        <v>119.24757457858232</v>
      </c>
      <c r="AG63" s="88">
        <v>51.866153455986819</v>
      </c>
      <c r="AH63" s="88">
        <v>99.270236155993885</v>
      </c>
      <c r="AI63" s="88">
        <v>30.29569100917147</v>
      </c>
      <c r="AJ63" s="88">
        <v>113.00463099564207</v>
      </c>
      <c r="AK63" s="88">
        <v>236.31134943356619</v>
      </c>
      <c r="AL63" s="88">
        <v>191.08211647755809</v>
      </c>
      <c r="AM63" s="88">
        <v>122.5201480063687</v>
      </c>
      <c r="AN63" s="88">
        <v>251.1900757844877</v>
      </c>
      <c r="AO63" s="88">
        <v>200.97316353265148</v>
      </c>
      <c r="AP63" s="88">
        <v>203.0637285549976</v>
      </c>
      <c r="AQ63" s="88">
        <v>150.5760092014595</v>
      </c>
      <c r="AR63" s="88">
        <v>170.96452277057264</v>
      </c>
      <c r="AS63" s="88">
        <v>169.90247501256187</v>
      </c>
      <c r="AT63" s="88">
        <v>75.672489556628975</v>
      </c>
      <c r="AU63" s="88">
        <v>85.114501813305253</v>
      </c>
      <c r="AV63" s="88">
        <v>177.79109148448953</v>
      </c>
      <c r="AW63" s="88">
        <v>59.252260012917716</v>
      </c>
      <c r="AX63" s="88">
        <v>267.76642399895229</v>
      </c>
      <c r="AY63" s="88">
        <v>270.85632288040165</v>
      </c>
      <c r="AZ63" s="88">
        <v>146.83097320919612</v>
      </c>
      <c r="BA63" s="88">
        <v>150.60950218214069</v>
      </c>
      <c r="BB63" s="88">
        <v>103.28872225007898</v>
      </c>
      <c r="BC63" s="88">
        <v>32.044149226764247</v>
      </c>
      <c r="BD63" s="88">
        <v>96.944973027844313</v>
      </c>
      <c r="BE63" s="88">
        <v>226.19122287732444</v>
      </c>
      <c r="BF63" s="88">
        <v>52.703005353487249</v>
      </c>
      <c r="BG63" s="88">
        <v>109.77012980772643</v>
      </c>
      <c r="BH63" s="88">
        <v>127.35383707613211</v>
      </c>
      <c r="BI63" s="88">
        <v>12.58015210110846</v>
      </c>
      <c r="BJ63" s="88">
        <v>212.50393748127007</v>
      </c>
      <c r="BK63" s="88">
        <v>0</v>
      </c>
      <c r="BL63" s="88">
        <v>31.894068218455736</v>
      </c>
      <c r="BM63" s="88">
        <v>158.79682749756972</v>
      </c>
      <c r="BN63" s="88">
        <v>88.402073187486735</v>
      </c>
      <c r="BO63" s="88">
        <v>43.928811914343335</v>
      </c>
      <c r="BP63" s="88">
        <v>249.30123664706031</v>
      </c>
      <c r="BQ63" s="88">
        <v>63.294719902528136</v>
      </c>
      <c r="BR63" s="88">
        <v>171.2796376432913</v>
      </c>
      <c r="BS63" s="88">
        <v>73.656805328609536</v>
      </c>
      <c r="BT63" s="88">
        <v>31.676989103895576</v>
      </c>
      <c r="BU63" s="88">
        <v>57.769903114996481</v>
      </c>
      <c r="BV63" s="88">
        <v>9.0944795423972078</v>
      </c>
      <c r="BW63" s="88">
        <v>28.282048267241382</v>
      </c>
      <c r="BX63" s="88">
        <v>134.49943842310785</v>
      </c>
      <c r="BY63" s="88">
        <v>92.779971511426751</v>
      </c>
      <c r="BZ63" s="88">
        <v>65.551589512858797</v>
      </c>
      <c r="CA63" s="88">
        <v>34.997783581746802</v>
      </c>
      <c r="CB63" s="88">
        <v>74.728566633838014</v>
      </c>
      <c r="CC63" s="88">
        <v>287.02237298322694</v>
      </c>
      <c r="CD63" s="88">
        <v>81.769394099278159</v>
      </c>
      <c r="CE63" s="88">
        <v>182.22885733223438</v>
      </c>
      <c r="CF63" s="88">
        <v>156.2266012161524</v>
      </c>
      <c r="CG63" s="88">
        <v>113.27026844344671</v>
      </c>
      <c r="CH63" s="88">
        <v>277.84961586026316</v>
      </c>
      <c r="CI63" s="88">
        <v>96.56725213148529</v>
      </c>
      <c r="CJ63" s="88">
        <v>139.56885998309343</v>
      </c>
      <c r="CK63" s="88">
        <v>76.43853601134721</v>
      </c>
      <c r="CL63" s="88">
        <v>38.054006782646084</v>
      </c>
      <c r="CM63" s="88">
        <v>55.391061155274542</v>
      </c>
      <c r="CN63" s="88">
        <v>140.29173535637776</v>
      </c>
      <c r="CO63" s="88">
        <v>168.54018690000387</v>
      </c>
      <c r="CP63" s="88">
        <v>224.99797278322424</v>
      </c>
      <c r="CQ63" s="88">
        <v>45.937699444320828</v>
      </c>
      <c r="CR63" s="88">
        <v>119.85485809620705</v>
      </c>
      <c r="CS63" s="89">
        <v>94.34035423256951</v>
      </c>
    </row>
    <row r="64" spans="2:97" x14ac:dyDescent="0.3">
      <c r="B64" s="83" t="s">
        <v>121</v>
      </c>
      <c r="C64" s="88">
        <v>46.764043231295815</v>
      </c>
      <c r="D64" s="88">
        <v>124.15258467680137</v>
      </c>
      <c r="E64" s="88">
        <v>218.13763483295912</v>
      </c>
      <c r="F64" s="88">
        <v>54.569217199598938</v>
      </c>
      <c r="G64" s="88">
        <v>24.95662534961415</v>
      </c>
      <c r="H64" s="88">
        <v>39.585165255454847</v>
      </c>
      <c r="I64" s="88">
        <v>66.596182920771383</v>
      </c>
      <c r="J64" s="88">
        <v>104.63222816964564</v>
      </c>
      <c r="K64" s="88">
        <v>238.1751286076518</v>
      </c>
      <c r="L64" s="88">
        <v>132.61575130307196</v>
      </c>
      <c r="M64" s="88">
        <v>168.37943576721017</v>
      </c>
      <c r="N64" s="88">
        <v>245.33353943745055</v>
      </c>
      <c r="O64" s="88">
        <v>79.276781496040144</v>
      </c>
      <c r="P64" s="88">
        <v>105.17076812226911</v>
      </c>
      <c r="Q64" s="88">
        <v>71.682602094589129</v>
      </c>
      <c r="R64" s="88">
        <v>102.52621855388473</v>
      </c>
      <c r="S64" s="88">
        <v>275.44245055064607</v>
      </c>
      <c r="T64" s="88">
        <v>54.568554134764817</v>
      </c>
      <c r="U64" s="88">
        <v>150.40892637792442</v>
      </c>
      <c r="V64" s="88">
        <v>96.044034442267815</v>
      </c>
      <c r="W64" s="88">
        <v>216.98269413800043</v>
      </c>
      <c r="X64" s="88">
        <v>180.55234811826409</v>
      </c>
      <c r="Y64" s="88">
        <v>292.30297213459386</v>
      </c>
      <c r="Z64" s="88">
        <v>291.2817506790355</v>
      </c>
      <c r="AA64" s="88">
        <v>75.089318285227222</v>
      </c>
      <c r="AB64" s="88">
        <v>105.55291369482144</v>
      </c>
      <c r="AC64" s="88">
        <v>265.11159944864545</v>
      </c>
      <c r="AD64" s="88">
        <v>157.61715966038258</v>
      </c>
      <c r="AE64" s="88">
        <v>71.01208837495372</v>
      </c>
      <c r="AF64" s="88">
        <v>93.626442265440588</v>
      </c>
      <c r="AG64" s="88">
        <v>82.803358419587326</v>
      </c>
      <c r="AH64" s="88">
        <v>76.853345491331964</v>
      </c>
      <c r="AI64" s="88">
        <v>54.483527040686603</v>
      </c>
      <c r="AJ64" s="88">
        <v>94.276389943925722</v>
      </c>
      <c r="AK64" s="88">
        <v>267.53853113352591</v>
      </c>
      <c r="AL64" s="88">
        <v>222.14862764887275</v>
      </c>
      <c r="AM64" s="88">
        <v>100.50182100042576</v>
      </c>
      <c r="AN64" s="88">
        <v>282.91999435200501</v>
      </c>
      <c r="AO64" s="88">
        <v>232.77237098169917</v>
      </c>
      <c r="AP64" s="88">
        <v>234.64712483722667</v>
      </c>
      <c r="AQ64" s="88">
        <v>182.46998095206501</v>
      </c>
      <c r="AR64" s="88">
        <v>202.41114300113165</v>
      </c>
      <c r="AS64" s="88">
        <v>201.70726423033412</v>
      </c>
      <c r="AT64" s="88">
        <v>101.57630452321541</v>
      </c>
      <c r="AU64" s="88">
        <v>61.698660002877375</v>
      </c>
      <c r="AV64" s="88">
        <v>151.31381616469699</v>
      </c>
      <c r="AW64" s="88">
        <v>41.929193458984749</v>
      </c>
      <c r="AX64" s="88">
        <v>299.55074249723191</v>
      </c>
      <c r="AY64" s="88">
        <v>302.69535225745113</v>
      </c>
      <c r="AZ64" s="88">
        <v>177.72989183974528</v>
      </c>
      <c r="BA64" s="88">
        <v>182.28286281820385</v>
      </c>
      <c r="BB64" s="88">
        <v>133.31796613220939</v>
      </c>
      <c r="BC64" s="88">
        <v>20.442215321777319</v>
      </c>
      <c r="BD64" s="88">
        <v>123.56252974249442</v>
      </c>
      <c r="BE64" s="88">
        <v>257.94488671548783</v>
      </c>
      <c r="BF64" s="88">
        <v>80.157307678479398</v>
      </c>
      <c r="BG64" s="88">
        <v>141.31776434313633</v>
      </c>
      <c r="BH64" s="88">
        <v>159.16251493859255</v>
      </c>
      <c r="BI64" s="88">
        <v>20.561795605351186</v>
      </c>
      <c r="BJ64" s="88">
        <v>243.59769874126616</v>
      </c>
      <c r="BK64" s="88">
        <v>31.894068218455736</v>
      </c>
      <c r="BL64" s="88">
        <v>0</v>
      </c>
      <c r="BM64" s="88">
        <v>189.45690886556545</v>
      </c>
      <c r="BN64" s="88">
        <v>119.09136514985525</v>
      </c>
      <c r="BO64" s="88">
        <v>52.711777762379775</v>
      </c>
      <c r="BP64" s="88">
        <v>281.02843876400044</v>
      </c>
      <c r="BQ64" s="88">
        <v>85.06744555694668</v>
      </c>
      <c r="BR64" s="88">
        <v>203.08339239612738</v>
      </c>
      <c r="BS64" s="88">
        <v>89.693209118623443</v>
      </c>
      <c r="BT64" s="88">
        <v>27.00944669163637</v>
      </c>
      <c r="BU64" s="88">
        <v>84.657428237215342</v>
      </c>
      <c r="BV64" s="88">
        <v>39.45032752697054</v>
      </c>
      <c r="BW64" s="88">
        <v>31.83194431223831</v>
      </c>
      <c r="BX64" s="88">
        <v>164.26928013942381</v>
      </c>
      <c r="BY64" s="88">
        <v>124.53974628394801</v>
      </c>
      <c r="BZ64" s="88">
        <v>69.500646444348789</v>
      </c>
      <c r="CA64" s="88">
        <v>65.354599658730606</v>
      </c>
      <c r="CB64" s="88">
        <v>47.224277903402779</v>
      </c>
      <c r="CC64" s="88">
        <v>318.32535590938772</v>
      </c>
      <c r="CD64" s="88">
        <v>110.48845508086995</v>
      </c>
      <c r="CE64" s="88">
        <v>213.2804973233138</v>
      </c>
      <c r="CF64" s="88">
        <v>131.58716965473599</v>
      </c>
      <c r="CG64" s="88">
        <v>142.30998797528028</v>
      </c>
      <c r="CH64" s="88">
        <v>309.50749586720275</v>
      </c>
      <c r="CI64" s="88">
        <v>125.04137546147196</v>
      </c>
      <c r="CJ64" s="88">
        <v>111.92637444597418</v>
      </c>
      <c r="CK64" s="88">
        <v>62.817410734025778</v>
      </c>
      <c r="CL64" s="88">
        <v>69.627848497441988</v>
      </c>
      <c r="CM64" s="88">
        <v>87.244515714415684</v>
      </c>
      <c r="CN64" s="88">
        <v>114.44131332293959</v>
      </c>
      <c r="CO64" s="88">
        <v>199.62013717431472</v>
      </c>
      <c r="CP64" s="88">
        <v>256.71197544625232</v>
      </c>
      <c r="CQ64" s="88">
        <v>75.261050033331713</v>
      </c>
      <c r="CR64" s="88">
        <v>151.6640363938194</v>
      </c>
      <c r="CS64" s="89">
        <v>124.84973845812009</v>
      </c>
    </row>
    <row r="65" spans="2:97" x14ac:dyDescent="0.3">
      <c r="B65" s="83" t="s">
        <v>122</v>
      </c>
      <c r="C65" s="88">
        <v>179.09943004992755</v>
      </c>
      <c r="D65" s="88">
        <v>85.274469780636068</v>
      </c>
      <c r="E65" s="88">
        <v>48.22562803358641</v>
      </c>
      <c r="F65" s="88">
        <v>136.5565829161313</v>
      </c>
      <c r="G65" s="88">
        <v>200.83907064333872</v>
      </c>
      <c r="H65" s="88">
        <v>168.96974283932775</v>
      </c>
      <c r="I65" s="88">
        <v>179.70212082523284</v>
      </c>
      <c r="J65" s="88">
        <v>87.656747809756567</v>
      </c>
      <c r="K65" s="88">
        <v>69.589872467925503</v>
      </c>
      <c r="L65" s="88">
        <v>292.41001185025965</v>
      </c>
      <c r="M65" s="88">
        <v>23.149892567555721</v>
      </c>
      <c r="N65" s="88">
        <v>101.20179339248591</v>
      </c>
      <c r="O65" s="88">
        <v>206.63432931359949</v>
      </c>
      <c r="P65" s="88">
        <v>102.10899840211323</v>
      </c>
      <c r="Q65" s="88">
        <v>240.66801091800667</v>
      </c>
      <c r="R65" s="88">
        <v>100.83729773400319</v>
      </c>
      <c r="S65" s="88">
        <v>108.7163391748241</v>
      </c>
      <c r="T65" s="88">
        <v>138.07627479398784</v>
      </c>
      <c r="U65" s="88">
        <v>40.224778334774527</v>
      </c>
      <c r="V65" s="88">
        <v>93.416084515365171</v>
      </c>
      <c r="W65" s="88">
        <v>73.842961951451713</v>
      </c>
      <c r="X65" s="88">
        <v>24.067052050952128</v>
      </c>
      <c r="Y65" s="88">
        <v>117.02110107666175</v>
      </c>
      <c r="Z65" s="88">
        <v>144.86084176641452</v>
      </c>
      <c r="AA65" s="88">
        <v>136.35769294423994</v>
      </c>
      <c r="AB65" s="88">
        <v>117.50094100399633</v>
      </c>
      <c r="AC65" s="88">
        <v>92.962639232015462</v>
      </c>
      <c r="AD65" s="88">
        <v>91.505407662525684</v>
      </c>
      <c r="AE65" s="88">
        <v>215.83132970691568</v>
      </c>
      <c r="AF65" s="88">
        <v>253.32290314193048</v>
      </c>
      <c r="AG65" s="88">
        <v>120.30136797032914</v>
      </c>
      <c r="AH65" s="88">
        <v>229.69369787526048</v>
      </c>
      <c r="AI65" s="88">
        <v>153.85803461428478</v>
      </c>
      <c r="AJ65" s="88">
        <v>230.92189392776712</v>
      </c>
      <c r="AK65" s="88">
        <v>126.71925886574664</v>
      </c>
      <c r="AL65" s="88">
        <v>100.24598934689497</v>
      </c>
      <c r="AM65" s="88">
        <v>246.45653957162273</v>
      </c>
      <c r="AN65" s="88">
        <v>123.47586842734324</v>
      </c>
      <c r="AO65" s="88">
        <v>80.828424492539639</v>
      </c>
      <c r="AP65" s="88">
        <v>52.297893327021065</v>
      </c>
      <c r="AQ65" s="88">
        <v>48.166449753683871</v>
      </c>
      <c r="AR65" s="88">
        <v>23.608969919326832</v>
      </c>
      <c r="AS65" s="88">
        <v>38.342322780467342</v>
      </c>
      <c r="AT65" s="88">
        <v>95.457961213939043</v>
      </c>
      <c r="AU65" s="88">
        <v>221.27941995256089</v>
      </c>
      <c r="AV65" s="88">
        <v>307.08158753668624</v>
      </c>
      <c r="AW65" s="88">
        <v>195.00682259237348</v>
      </c>
      <c r="AX65" s="88">
        <v>117.81541560961172</v>
      </c>
      <c r="AY65" s="88">
        <v>135.276787739127</v>
      </c>
      <c r="AZ65" s="88">
        <v>88.355001003654579</v>
      </c>
      <c r="BA65" s="88">
        <v>67.235709061360723</v>
      </c>
      <c r="BB65" s="88">
        <v>103.67197228010089</v>
      </c>
      <c r="BC65" s="88">
        <v>179.19235325136859</v>
      </c>
      <c r="BD65" s="88">
        <v>76.374768634962649</v>
      </c>
      <c r="BE65" s="88">
        <v>101.8363204553284</v>
      </c>
      <c r="BF65" s="88">
        <v>136.52210479810881</v>
      </c>
      <c r="BG65" s="88">
        <v>78.933618416251988</v>
      </c>
      <c r="BH65" s="88">
        <v>63.118028889648109</v>
      </c>
      <c r="BI65" s="88">
        <v>171.3632709063329</v>
      </c>
      <c r="BJ65" s="88">
        <v>112.67009131323383</v>
      </c>
      <c r="BK65" s="88">
        <v>158.79682749756972</v>
      </c>
      <c r="BL65" s="88">
        <v>189.45690886556545</v>
      </c>
      <c r="BM65" s="88">
        <v>0</v>
      </c>
      <c r="BN65" s="88">
        <v>101.43686475672064</v>
      </c>
      <c r="BO65" s="88">
        <v>154.13010279600846</v>
      </c>
      <c r="BP65" s="88">
        <v>98.583611041867812</v>
      </c>
      <c r="BQ65" s="88">
        <v>116.86043119675557</v>
      </c>
      <c r="BR65" s="88">
        <v>64.702138504553687</v>
      </c>
      <c r="BS65" s="88">
        <v>128.12838059844628</v>
      </c>
      <c r="BT65" s="88">
        <v>186.22054285206559</v>
      </c>
      <c r="BU65" s="88">
        <v>107.85962623087802</v>
      </c>
      <c r="BV65" s="88">
        <v>150.31885639341783</v>
      </c>
      <c r="BW65" s="88">
        <v>165.57183987740083</v>
      </c>
      <c r="BX65" s="88">
        <v>28.49554909354606</v>
      </c>
      <c r="BY65" s="88">
        <v>70.286755079326539</v>
      </c>
      <c r="BZ65" s="88">
        <v>159.96481170114055</v>
      </c>
      <c r="CA65" s="88">
        <v>134.90652251561858</v>
      </c>
      <c r="CB65" s="88">
        <v>220.70361703081505</v>
      </c>
      <c r="CC65" s="88">
        <v>167.2510896374759</v>
      </c>
      <c r="CD65" s="88">
        <v>81.09297378875597</v>
      </c>
      <c r="CE65" s="88">
        <v>25.291457955414732</v>
      </c>
      <c r="CF65" s="88">
        <v>281.85439423641037</v>
      </c>
      <c r="CG65" s="88">
        <v>51.246682879801597</v>
      </c>
      <c r="CH65" s="88">
        <v>149.49656580106972</v>
      </c>
      <c r="CI65" s="88">
        <v>68.484443008596728</v>
      </c>
      <c r="CJ65" s="88">
        <v>276.74333251547188</v>
      </c>
      <c r="CK65" s="88">
        <v>197.58192299062745</v>
      </c>
      <c r="CL65" s="88">
        <v>121.06331275545718</v>
      </c>
      <c r="CM65" s="88">
        <v>105.85807684470311</v>
      </c>
      <c r="CN65" s="88">
        <v>271.87992421353437</v>
      </c>
      <c r="CO65" s="88">
        <v>89.712170650074029</v>
      </c>
      <c r="CP65" s="88">
        <v>75.45697192239767</v>
      </c>
      <c r="CQ65" s="88">
        <v>114.38880568474995</v>
      </c>
      <c r="CR65" s="88">
        <v>49.619111998027797</v>
      </c>
      <c r="CS65" s="89">
        <v>64.929535889067395</v>
      </c>
    </row>
    <row r="66" spans="2:97" x14ac:dyDescent="0.3">
      <c r="B66" s="83" t="s">
        <v>123</v>
      </c>
      <c r="C66" s="88">
        <v>134.1182977601741</v>
      </c>
      <c r="D66" s="88">
        <v>16.801611882991498</v>
      </c>
      <c r="E66" s="88">
        <v>110.15908015152668</v>
      </c>
      <c r="F66" s="88">
        <v>68.376813771577915</v>
      </c>
      <c r="G66" s="88">
        <v>139.60153535693024</v>
      </c>
      <c r="H66" s="88">
        <v>85.045267718801782</v>
      </c>
      <c r="I66" s="88">
        <v>145.80979975026935</v>
      </c>
      <c r="J66" s="88">
        <v>39.851787538735699</v>
      </c>
      <c r="K66" s="88">
        <v>126.65360241542783</v>
      </c>
      <c r="L66" s="88">
        <v>246.99287261787987</v>
      </c>
      <c r="M66" s="88">
        <v>78.807105388847546</v>
      </c>
      <c r="N66" s="88">
        <v>127.3323374394282</v>
      </c>
      <c r="O66" s="88">
        <v>172.23729001141086</v>
      </c>
      <c r="P66" s="88">
        <v>98.611706697924362</v>
      </c>
      <c r="Q66" s="88">
        <v>187.06036301361632</v>
      </c>
      <c r="R66" s="88">
        <v>21.395562295099801</v>
      </c>
      <c r="S66" s="88">
        <v>160.43647850984499</v>
      </c>
      <c r="T66" s="88">
        <v>89.129880459654686</v>
      </c>
      <c r="U66" s="88">
        <v>65.604544629413795</v>
      </c>
      <c r="V66" s="88">
        <v>56.358428583843171</v>
      </c>
      <c r="W66" s="88">
        <v>100.87651456695315</v>
      </c>
      <c r="X66" s="88">
        <v>81.811890541855178</v>
      </c>
      <c r="Y66" s="88">
        <v>179.51604072012748</v>
      </c>
      <c r="Z66" s="88">
        <v>172.43177790992519</v>
      </c>
      <c r="AA66" s="88">
        <v>110.00763113282409</v>
      </c>
      <c r="AB66" s="88">
        <v>17.495716081272025</v>
      </c>
      <c r="AC66" s="88">
        <v>152.57355192912738</v>
      </c>
      <c r="AD66" s="88">
        <v>38.552074172011189</v>
      </c>
      <c r="AE66" s="88">
        <v>173.66535087441324</v>
      </c>
      <c r="AF66" s="88">
        <v>206.28230716103482</v>
      </c>
      <c r="AG66" s="88">
        <v>36.541637609978302</v>
      </c>
      <c r="AH66" s="88">
        <v>184.8425050767334</v>
      </c>
      <c r="AI66" s="88">
        <v>67.719267209010354</v>
      </c>
      <c r="AJ66" s="88">
        <v>195.18193416244409</v>
      </c>
      <c r="AK66" s="88">
        <v>148.65644897865218</v>
      </c>
      <c r="AL66" s="88">
        <v>103.13810820682029</v>
      </c>
      <c r="AM66" s="88">
        <v>207.0564373316752</v>
      </c>
      <c r="AN66" s="88">
        <v>165.85382410093592</v>
      </c>
      <c r="AO66" s="88">
        <v>116.93973928267903</v>
      </c>
      <c r="AP66" s="88">
        <v>130.62132730197115</v>
      </c>
      <c r="AQ66" s="88">
        <v>72.13944523751718</v>
      </c>
      <c r="AR66" s="88">
        <v>102.81578070086572</v>
      </c>
      <c r="AS66" s="88">
        <v>95.106007469433095</v>
      </c>
      <c r="AT66" s="88">
        <v>83.541243526071639</v>
      </c>
      <c r="AU66" s="88">
        <v>171.73036091757939</v>
      </c>
      <c r="AV66" s="88">
        <v>264.7892192979221</v>
      </c>
      <c r="AW66" s="88">
        <v>144.43276968244973</v>
      </c>
      <c r="AX66" s="88">
        <v>189.93149622722788</v>
      </c>
      <c r="AY66" s="88">
        <v>186.78076920903152</v>
      </c>
      <c r="AZ66" s="88">
        <v>58.654437978877951</v>
      </c>
      <c r="BA66" s="88">
        <v>66.008825422387631</v>
      </c>
      <c r="BB66" s="88">
        <v>16.365292417820825</v>
      </c>
      <c r="BC66" s="88">
        <v>119.17301156813542</v>
      </c>
      <c r="BD66" s="88">
        <v>88.349022111955236</v>
      </c>
      <c r="BE66" s="88">
        <v>141.27149879844137</v>
      </c>
      <c r="BF66" s="88">
        <v>42.926088381681673</v>
      </c>
      <c r="BG66" s="88">
        <v>26.177357596613465</v>
      </c>
      <c r="BH66" s="88">
        <v>46.46568090788228</v>
      </c>
      <c r="BI66" s="88">
        <v>98.536054577534131</v>
      </c>
      <c r="BJ66" s="88">
        <v>124.59197481886982</v>
      </c>
      <c r="BK66" s="88">
        <v>88.402073187486735</v>
      </c>
      <c r="BL66" s="88">
        <v>119.09136514985525</v>
      </c>
      <c r="BM66" s="88">
        <v>101.43686475672064</v>
      </c>
      <c r="BN66" s="88">
        <v>0</v>
      </c>
      <c r="BO66" s="88">
        <v>112.40486804270694</v>
      </c>
      <c r="BP66" s="88">
        <v>172.90702523412887</v>
      </c>
      <c r="BQ66" s="88">
        <v>94.631361895827695</v>
      </c>
      <c r="BR66" s="88">
        <v>87.925131475970176</v>
      </c>
      <c r="BS66" s="88">
        <v>113.53354152490817</v>
      </c>
      <c r="BT66" s="88">
        <v>104.18160235133081</v>
      </c>
      <c r="BU66" s="88">
        <v>76.414901827947645</v>
      </c>
      <c r="BV66" s="88">
        <v>83.729947610770111</v>
      </c>
      <c r="BW66" s="88">
        <v>110.19096560954806</v>
      </c>
      <c r="BX66" s="88">
        <v>90.343104706807793</v>
      </c>
      <c r="BY66" s="88">
        <v>38.675886997320674</v>
      </c>
      <c r="BZ66" s="88">
        <v>130.45357775018235</v>
      </c>
      <c r="CA66" s="88">
        <v>53.746157855935557</v>
      </c>
      <c r="CB66" s="88">
        <v>162.97042624382152</v>
      </c>
      <c r="CC66" s="88">
        <v>199.50655303596216</v>
      </c>
      <c r="CD66" s="88">
        <v>70.397544108514225</v>
      </c>
      <c r="CE66" s="88">
        <v>117.93341301065128</v>
      </c>
      <c r="CF66" s="88">
        <v>242.10763543284642</v>
      </c>
      <c r="CG66" s="88">
        <v>82.010495234639336</v>
      </c>
      <c r="CH66" s="88">
        <v>191.82990993085866</v>
      </c>
      <c r="CI66" s="88">
        <v>77.305720238549938</v>
      </c>
      <c r="CJ66" s="88">
        <v>227.43382038062583</v>
      </c>
      <c r="CK66" s="88">
        <v>157.29599419946592</v>
      </c>
      <c r="CL66" s="88">
        <v>58.328703124718416</v>
      </c>
      <c r="CM66" s="88">
        <v>42.484030250518323</v>
      </c>
      <c r="CN66" s="88">
        <v>227.2033896836177</v>
      </c>
      <c r="CO66" s="88">
        <v>80.651174211735167</v>
      </c>
      <c r="CP66" s="88">
        <v>149.52566838957864</v>
      </c>
      <c r="CQ66" s="88">
        <v>67.356930841838405</v>
      </c>
      <c r="CR66" s="88">
        <v>51.856108397088498</v>
      </c>
      <c r="CS66" s="89">
        <v>60.293768065606187</v>
      </c>
    </row>
    <row r="67" spans="2:97" x14ac:dyDescent="0.3">
      <c r="B67" s="83" t="s">
        <v>124</v>
      </c>
      <c r="C67" s="88">
        <v>25.163287205844082</v>
      </c>
      <c r="D67" s="88">
        <v>110.02561744298326</v>
      </c>
      <c r="E67" s="88">
        <v>190.80051053220916</v>
      </c>
      <c r="F67" s="88">
        <v>48.485815282647366</v>
      </c>
      <c r="G67" s="88">
        <v>50.934236492885397</v>
      </c>
      <c r="H67" s="88">
        <v>68.75439867245322</v>
      </c>
      <c r="I67" s="88">
        <v>33.436400041243402</v>
      </c>
      <c r="J67" s="88">
        <v>82.088296136247209</v>
      </c>
      <c r="K67" s="88">
        <v>212.48022936449831</v>
      </c>
      <c r="L67" s="88">
        <v>140.90774613816615</v>
      </c>
      <c r="M67" s="88">
        <v>136.10714354383467</v>
      </c>
      <c r="N67" s="88">
        <v>227.45452735149811</v>
      </c>
      <c r="O67" s="88">
        <v>60.119020950711217</v>
      </c>
      <c r="P67" s="88">
        <v>57.46229203549985</v>
      </c>
      <c r="Q67" s="88">
        <v>86.54571339094062</v>
      </c>
      <c r="R67" s="88">
        <v>91.39113324902921</v>
      </c>
      <c r="S67" s="88">
        <v>251.8864747029503</v>
      </c>
      <c r="T67" s="88">
        <v>23.294361782718358</v>
      </c>
      <c r="U67" s="88">
        <v>119.08886050431597</v>
      </c>
      <c r="V67" s="88">
        <v>66.934689210487662</v>
      </c>
      <c r="W67" s="88">
        <v>197.03162092222186</v>
      </c>
      <c r="X67" s="88">
        <v>150.97793362482778</v>
      </c>
      <c r="Y67" s="88">
        <v>265.86214331047466</v>
      </c>
      <c r="Z67" s="88">
        <v>275.02753402830581</v>
      </c>
      <c r="AA67" s="88">
        <v>23.15246503934458</v>
      </c>
      <c r="AB67" s="88">
        <v>105.52510431038884</v>
      </c>
      <c r="AC67" s="88">
        <v>239.26073334515587</v>
      </c>
      <c r="AD67" s="88">
        <v>148.51847244851737</v>
      </c>
      <c r="AE67" s="88">
        <v>64.241380262474522</v>
      </c>
      <c r="AF67" s="88">
        <v>100.58412247601225</v>
      </c>
      <c r="AG67" s="88">
        <v>79.215806353902735</v>
      </c>
      <c r="AH67" s="88">
        <v>77.26717906274321</v>
      </c>
      <c r="AI67" s="88">
        <v>71.959733207965542</v>
      </c>
      <c r="AJ67" s="88">
        <v>83.811433989182319</v>
      </c>
      <c r="AK67" s="88">
        <v>251.94011053907593</v>
      </c>
      <c r="AL67" s="88">
        <v>208.58471578343145</v>
      </c>
      <c r="AM67" s="88">
        <v>97.197681532149204</v>
      </c>
      <c r="AN67" s="88">
        <v>262.12766560767142</v>
      </c>
      <c r="AO67" s="88">
        <v>211.74877841004479</v>
      </c>
      <c r="AP67" s="88">
        <v>203.85757463404312</v>
      </c>
      <c r="AQ67" s="88">
        <v>159.47642065603014</v>
      </c>
      <c r="AR67" s="88">
        <v>171.23788991041843</v>
      </c>
      <c r="AS67" s="88">
        <v>174.57287642222218</v>
      </c>
      <c r="AT67" s="88">
        <v>59.089032535071603</v>
      </c>
      <c r="AU67" s="88">
        <v>67.369529196601022</v>
      </c>
      <c r="AV67" s="88">
        <v>157.241584205507</v>
      </c>
      <c r="AW67" s="88">
        <v>40.936740493681782</v>
      </c>
      <c r="AX67" s="88">
        <v>270.13978486009569</v>
      </c>
      <c r="AY67" s="88">
        <v>279.62782379543393</v>
      </c>
      <c r="AZ67" s="88">
        <v>166.56621829859523</v>
      </c>
      <c r="BA67" s="88">
        <v>164.64180745743155</v>
      </c>
      <c r="BB67" s="88">
        <v>128.70698469533033</v>
      </c>
      <c r="BC67" s="88">
        <v>33.456153100350143</v>
      </c>
      <c r="BD67" s="88">
        <v>80.366205104264452</v>
      </c>
      <c r="BE67" s="88">
        <v>237.19978600475895</v>
      </c>
      <c r="BF67" s="88">
        <v>88.336443157945084</v>
      </c>
      <c r="BG67" s="88">
        <v>127.10396264180824</v>
      </c>
      <c r="BH67" s="88">
        <v>140.46791954340742</v>
      </c>
      <c r="BI67" s="88">
        <v>49.072906388437033</v>
      </c>
      <c r="BJ67" s="88">
        <v>229.38313285461015</v>
      </c>
      <c r="BK67" s="88">
        <v>43.928811914343335</v>
      </c>
      <c r="BL67" s="88">
        <v>52.711777762379775</v>
      </c>
      <c r="BM67" s="88">
        <v>154.13010279600846</v>
      </c>
      <c r="BN67" s="88">
        <v>112.40486804270694</v>
      </c>
      <c r="BO67" s="88">
        <v>0</v>
      </c>
      <c r="BP67" s="88">
        <v>251.02921507755002</v>
      </c>
      <c r="BQ67" s="88">
        <v>38.423965721164649</v>
      </c>
      <c r="BR67" s="88">
        <v>182.74711451279555</v>
      </c>
      <c r="BS67" s="88">
        <v>37.621099428725103</v>
      </c>
      <c r="BT67" s="88">
        <v>70.449999851052922</v>
      </c>
      <c r="BU67" s="88">
        <v>47.179952935650753</v>
      </c>
      <c r="BV67" s="88">
        <v>39.469813805913944</v>
      </c>
      <c r="BW67" s="88">
        <v>21.037608933839632</v>
      </c>
      <c r="BX67" s="88">
        <v>126.47963359841309</v>
      </c>
      <c r="BY67" s="88">
        <v>100.79950287187258</v>
      </c>
      <c r="BZ67" s="88">
        <v>21.829291203049433</v>
      </c>
      <c r="CA67" s="88">
        <v>67.839371133776766</v>
      </c>
      <c r="CB67" s="88">
        <v>67.370877037813145</v>
      </c>
      <c r="CC67" s="88">
        <v>301.44953346435074</v>
      </c>
      <c r="CD67" s="88">
        <v>73.298218632229407</v>
      </c>
      <c r="CE67" s="88">
        <v>179.2249743311279</v>
      </c>
      <c r="CF67" s="88">
        <v>133.04190112292451</v>
      </c>
      <c r="CG67" s="88">
        <v>103.40164211123488</v>
      </c>
      <c r="CH67" s="88">
        <v>289.31937891891425</v>
      </c>
      <c r="CI67" s="88">
        <v>85.794526295951613</v>
      </c>
      <c r="CJ67" s="88">
        <v>123.66101520880324</v>
      </c>
      <c r="CK67" s="88">
        <v>46.439103462640801</v>
      </c>
      <c r="CL67" s="88">
        <v>54.199116008321006</v>
      </c>
      <c r="CM67" s="88">
        <v>70.584120031937388</v>
      </c>
      <c r="CN67" s="88">
        <v>120.37625846914298</v>
      </c>
      <c r="CO67" s="88">
        <v>186.56848997978616</v>
      </c>
      <c r="CP67" s="88">
        <v>226.92687839711559</v>
      </c>
      <c r="CQ67" s="88">
        <v>47.257615227746122</v>
      </c>
      <c r="CR67" s="88">
        <v>126.73985744208028</v>
      </c>
      <c r="CS67" s="89">
        <v>92.085438369166695</v>
      </c>
    </row>
    <row r="68" spans="2:97" x14ac:dyDescent="0.3">
      <c r="B68" s="83" t="s">
        <v>125</v>
      </c>
      <c r="C68" s="88">
        <v>276.17266652704677</v>
      </c>
      <c r="D68" s="88">
        <v>161.29102432161025</v>
      </c>
      <c r="E68" s="88">
        <v>63.405280039065872</v>
      </c>
      <c r="F68" s="88">
        <v>226.54801188615266</v>
      </c>
      <c r="G68" s="88">
        <v>295.32989769920846</v>
      </c>
      <c r="H68" s="88">
        <v>254.29812705656113</v>
      </c>
      <c r="I68" s="88">
        <v>277.91948883092743</v>
      </c>
      <c r="J68" s="88">
        <v>176.39635905471252</v>
      </c>
      <c r="K68" s="88">
        <v>47.148619552682788</v>
      </c>
      <c r="L68" s="88">
        <v>390.55479054756552</v>
      </c>
      <c r="M68" s="88">
        <v>114.931700578697</v>
      </c>
      <c r="N68" s="88">
        <v>71.260032995733823</v>
      </c>
      <c r="O68" s="88">
        <v>305.04250692112709</v>
      </c>
      <c r="P68" s="88">
        <v>200.64849971009414</v>
      </c>
      <c r="Q68" s="88">
        <v>337.39123927704634</v>
      </c>
      <c r="R68" s="88">
        <v>182.02162685425748</v>
      </c>
      <c r="S68" s="88">
        <v>37.616231425297102</v>
      </c>
      <c r="T68" s="88">
        <v>233.09291981227787</v>
      </c>
      <c r="U68" s="88">
        <v>132.26545093207821</v>
      </c>
      <c r="V68" s="88">
        <v>186.67494480669052</v>
      </c>
      <c r="W68" s="88">
        <v>78.079473532733331</v>
      </c>
      <c r="X68" s="88">
        <v>100.8300504091782</v>
      </c>
      <c r="Y68" s="88">
        <v>25.379376088100834</v>
      </c>
      <c r="Z68" s="88">
        <v>81.545189766439009</v>
      </c>
      <c r="AA68" s="88">
        <v>234.42452041957674</v>
      </c>
      <c r="AB68" s="88">
        <v>190.35400443628407</v>
      </c>
      <c r="AC68" s="88">
        <v>27.725049620462798</v>
      </c>
      <c r="AD68" s="88">
        <v>142.8139609606518</v>
      </c>
      <c r="AE68" s="88">
        <v>313.76415107584393</v>
      </c>
      <c r="AF68" s="88">
        <v>351.08260488598881</v>
      </c>
      <c r="AG68" s="88">
        <v>203.05406872115944</v>
      </c>
      <c r="AH68" s="88">
        <v>327.49092687375395</v>
      </c>
      <c r="AI68" s="88">
        <v>237.53369654757785</v>
      </c>
      <c r="AJ68" s="88">
        <v>329.38702206667313</v>
      </c>
      <c r="AK68" s="88">
        <v>79.983466460679495</v>
      </c>
      <c r="AL68" s="88">
        <v>96.584243201607165</v>
      </c>
      <c r="AM68" s="88">
        <v>344.81071060650225</v>
      </c>
      <c r="AN68" s="88">
        <v>54.044503434802316</v>
      </c>
      <c r="AO68" s="88">
        <v>64.569485528957415</v>
      </c>
      <c r="AP68" s="88">
        <v>47.17208277585074</v>
      </c>
      <c r="AQ68" s="88">
        <v>101.05177391701162</v>
      </c>
      <c r="AR68" s="88">
        <v>79.808088657470662</v>
      </c>
      <c r="AS68" s="88">
        <v>79.594432771737502</v>
      </c>
      <c r="AT68" s="88">
        <v>193.26454417086697</v>
      </c>
      <c r="AU68" s="88">
        <v>318.39818061073601</v>
      </c>
      <c r="AV68" s="88">
        <v>405.48813073764126</v>
      </c>
      <c r="AW68" s="88">
        <v>291.55310072358077</v>
      </c>
      <c r="AX68" s="88">
        <v>19.237069608811431</v>
      </c>
      <c r="AY68" s="88">
        <v>49.258924917092699</v>
      </c>
      <c r="AZ68" s="88">
        <v>125.89047680774939</v>
      </c>
      <c r="BA68" s="88">
        <v>108.89897391999654</v>
      </c>
      <c r="BB68" s="88">
        <v>166.27173084546325</v>
      </c>
      <c r="BC68" s="88">
        <v>273.42909385218996</v>
      </c>
      <c r="BD68" s="88">
        <v>174.90615460694261</v>
      </c>
      <c r="BE68" s="88">
        <v>54.620765786513779</v>
      </c>
      <c r="BF68" s="88">
        <v>215.08714480254866</v>
      </c>
      <c r="BG68" s="88">
        <v>146.77213067476646</v>
      </c>
      <c r="BH68" s="88">
        <v>126.56674996238254</v>
      </c>
      <c r="BI68" s="88">
        <v>261.52249462748239</v>
      </c>
      <c r="BJ68" s="88">
        <v>88.003418961528297</v>
      </c>
      <c r="BK68" s="88">
        <v>249.30123664706031</v>
      </c>
      <c r="BL68" s="88">
        <v>281.02843876400044</v>
      </c>
      <c r="BM68" s="88">
        <v>98.583611041867812</v>
      </c>
      <c r="BN68" s="88">
        <v>172.90702523412887</v>
      </c>
      <c r="BO68" s="88">
        <v>251.02921507755002</v>
      </c>
      <c r="BP68" s="88">
        <v>0</v>
      </c>
      <c r="BQ68" s="88">
        <v>214.6972507218176</v>
      </c>
      <c r="BR68" s="88">
        <v>87.367892353674762</v>
      </c>
      <c r="BS68" s="88">
        <v>226.66044645354441</v>
      </c>
      <c r="BT68" s="88">
        <v>272.95465207621595</v>
      </c>
      <c r="BU68" s="88">
        <v>203.99878181423517</v>
      </c>
      <c r="BV68" s="88">
        <v>241.62753440472866</v>
      </c>
      <c r="BW68" s="88">
        <v>260.43600830521166</v>
      </c>
      <c r="BX68" s="88">
        <v>127.07628634922482</v>
      </c>
      <c r="BY68" s="88">
        <v>156.52164631501637</v>
      </c>
      <c r="BZ68" s="88">
        <v>258.22653443855711</v>
      </c>
      <c r="CA68" s="88">
        <v>219.99359830381277</v>
      </c>
      <c r="CB68" s="88">
        <v>316.37049822308791</v>
      </c>
      <c r="CC68" s="88">
        <v>91.185616146275962</v>
      </c>
      <c r="CD68" s="88">
        <v>177.78114246682949</v>
      </c>
      <c r="CE68" s="88">
        <v>73.469605758713769</v>
      </c>
      <c r="CF68" s="88">
        <v>380.31572985964959</v>
      </c>
      <c r="CG68" s="88">
        <v>149.58588686534338</v>
      </c>
      <c r="CH68" s="88">
        <v>68.475412816485246</v>
      </c>
      <c r="CI68" s="88">
        <v>166.35703603159629</v>
      </c>
      <c r="CJ68" s="88">
        <v>374.40841883516856</v>
      </c>
      <c r="CK68" s="88">
        <v>295.49446791175569</v>
      </c>
      <c r="CL68" s="88">
        <v>211.40371158584659</v>
      </c>
      <c r="CM68" s="88">
        <v>193.98324525028571</v>
      </c>
      <c r="CN68" s="88">
        <v>369.98893737649178</v>
      </c>
      <c r="CO68" s="88">
        <v>108.49020794273849</v>
      </c>
      <c r="CP68" s="88">
        <v>24.331019207296968</v>
      </c>
      <c r="CQ68" s="88">
        <v>208.10081060668836</v>
      </c>
      <c r="CR68" s="88">
        <v>129.52773054611862</v>
      </c>
      <c r="CS68" s="89">
        <v>159.63467653991228</v>
      </c>
    </row>
    <row r="69" spans="2:97" x14ac:dyDescent="0.3">
      <c r="B69" s="83" t="s">
        <v>126</v>
      </c>
      <c r="C69" s="88">
        <v>62.672843206275125</v>
      </c>
      <c r="D69" s="88">
        <v>87.061194461998497</v>
      </c>
      <c r="E69" s="88">
        <v>156.06000706954481</v>
      </c>
      <c r="F69" s="88">
        <v>51.900048314732395</v>
      </c>
      <c r="G69" s="88">
        <v>88.628038858475435</v>
      </c>
      <c r="H69" s="88">
        <v>85.668230583235299</v>
      </c>
      <c r="I69" s="88">
        <v>63.43778645099259</v>
      </c>
      <c r="J69" s="88">
        <v>56.880602509446874</v>
      </c>
      <c r="K69" s="88">
        <v>178.14801924105942</v>
      </c>
      <c r="L69" s="88">
        <v>175.8770211948239</v>
      </c>
      <c r="M69" s="88">
        <v>100.26159770121731</v>
      </c>
      <c r="N69" s="88">
        <v>196.64549561813749</v>
      </c>
      <c r="O69" s="88">
        <v>90.969530447400984</v>
      </c>
      <c r="P69" s="88">
        <v>20.110166450276953</v>
      </c>
      <c r="Q69" s="88">
        <v>124.26628900039545</v>
      </c>
      <c r="R69" s="88">
        <v>73.594556402623141</v>
      </c>
      <c r="S69" s="88">
        <v>218.03433693985843</v>
      </c>
      <c r="T69" s="88">
        <v>31.676227935967955</v>
      </c>
      <c r="U69" s="88">
        <v>84.208569203742627</v>
      </c>
      <c r="V69" s="88">
        <v>39.467727809089567</v>
      </c>
      <c r="W69" s="88">
        <v>165.73849552850299</v>
      </c>
      <c r="X69" s="88">
        <v>115.98783273559849</v>
      </c>
      <c r="Y69" s="88">
        <v>230.70927911858143</v>
      </c>
      <c r="Z69" s="88">
        <v>244.36595621304591</v>
      </c>
      <c r="AA69" s="88">
        <v>19.930438030615424</v>
      </c>
      <c r="AB69" s="88">
        <v>93.715812974997576</v>
      </c>
      <c r="AC69" s="88">
        <v>204.56235399697573</v>
      </c>
      <c r="AD69" s="88">
        <v>125.71133841511605</v>
      </c>
      <c r="AE69" s="88">
        <v>99.074016776417864</v>
      </c>
      <c r="AF69" s="88">
        <v>136.48607788940242</v>
      </c>
      <c r="AG69" s="88">
        <v>70.387656895541809</v>
      </c>
      <c r="AH69" s="88">
        <v>112.86422843736982</v>
      </c>
      <c r="AI69" s="88">
        <v>80.686689854132254</v>
      </c>
      <c r="AJ69" s="88">
        <v>115.44609670468822</v>
      </c>
      <c r="AK69" s="88">
        <v>221.92596536393208</v>
      </c>
      <c r="AL69" s="88">
        <v>180.53669014248038</v>
      </c>
      <c r="AM69" s="88">
        <v>130.42276065647465</v>
      </c>
      <c r="AN69" s="88">
        <v>229.41107472464714</v>
      </c>
      <c r="AO69" s="88">
        <v>179.61448642779078</v>
      </c>
      <c r="AP69" s="88">
        <v>167.60069382399095</v>
      </c>
      <c r="AQ69" s="88">
        <v>127.56556404990957</v>
      </c>
      <c r="AR69" s="88">
        <v>135.20723891316723</v>
      </c>
      <c r="AS69" s="88">
        <v>140.20000776053669</v>
      </c>
      <c r="AT69" s="88">
        <v>21.439296117461982</v>
      </c>
      <c r="AU69" s="88">
        <v>104.61869051153974</v>
      </c>
      <c r="AV69" s="88">
        <v>191.12874501193434</v>
      </c>
      <c r="AW69" s="88">
        <v>79.130630888513593</v>
      </c>
      <c r="AX69" s="88">
        <v>233.89687118118709</v>
      </c>
      <c r="AY69" s="88">
        <v>245.73704910537955</v>
      </c>
      <c r="AZ69" s="88">
        <v>141.41810859976079</v>
      </c>
      <c r="BA69" s="88">
        <v>135.59097833437002</v>
      </c>
      <c r="BB69" s="88">
        <v>110.60332829225206</v>
      </c>
      <c r="BC69" s="88">
        <v>68.893632075704986</v>
      </c>
      <c r="BD69" s="88">
        <v>41.987745155264541</v>
      </c>
      <c r="BE69" s="88">
        <v>204.80684580452058</v>
      </c>
      <c r="BF69" s="88">
        <v>86.007251242028104</v>
      </c>
      <c r="BG69" s="88">
        <v>102.38477977603024</v>
      </c>
      <c r="BH69" s="88">
        <v>111.88869633099678</v>
      </c>
      <c r="BI69" s="88">
        <v>73.790265843173728</v>
      </c>
      <c r="BJ69" s="88">
        <v>200.50366794835642</v>
      </c>
      <c r="BK69" s="88">
        <v>63.294719902528136</v>
      </c>
      <c r="BL69" s="88">
        <v>85.06744555694668</v>
      </c>
      <c r="BM69" s="88">
        <v>116.86043119675557</v>
      </c>
      <c r="BN69" s="88">
        <v>94.631361895827695</v>
      </c>
      <c r="BO69" s="88">
        <v>38.423965721164649</v>
      </c>
      <c r="BP69" s="88">
        <v>214.6972507218176</v>
      </c>
      <c r="BQ69" s="88">
        <v>0</v>
      </c>
      <c r="BR69" s="88">
        <v>151.59475460511197</v>
      </c>
      <c r="BS69" s="88">
        <v>18.904123084486127</v>
      </c>
      <c r="BT69" s="88">
        <v>94.836868708186415</v>
      </c>
      <c r="BU69" s="88">
        <v>18.21672683019144</v>
      </c>
      <c r="BV69" s="88">
        <v>54.754496298524835</v>
      </c>
      <c r="BW69" s="88">
        <v>54.769098935630318</v>
      </c>
      <c r="BX69" s="88">
        <v>88.792804557558782</v>
      </c>
      <c r="BY69" s="88">
        <v>71.897626874019466</v>
      </c>
      <c r="BZ69" s="88">
        <v>43.99449908141375</v>
      </c>
      <c r="CA69" s="88">
        <v>67.591441373512311</v>
      </c>
      <c r="CB69" s="88">
        <v>105.78468807800471</v>
      </c>
      <c r="CC69" s="88">
        <v>270.19914146126592</v>
      </c>
      <c r="CD69" s="88">
        <v>37.777097846312643</v>
      </c>
      <c r="CE69" s="88">
        <v>142.10809830762003</v>
      </c>
      <c r="CF69" s="88">
        <v>166.18022792269605</v>
      </c>
      <c r="CG69" s="88">
        <v>65.713322950141617</v>
      </c>
      <c r="CH69" s="88">
        <v>256.61650687270617</v>
      </c>
      <c r="CI69" s="88">
        <v>48.410708946855259</v>
      </c>
      <c r="CJ69" s="88">
        <v>159.88962815029308</v>
      </c>
      <c r="CK69" s="88">
        <v>80.805798760103201</v>
      </c>
      <c r="CL69" s="88">
        <v>45.74678528169656</v>
      </c>
      <c r="CM69" s="88">
        <v>53.545740576047457</v>
      </c>
      <c r="CN69" s="88">
        <v>155.3027449048227</v>
      </c>
      <c r="CO69" s="88">
        <v>159.46211752433695</v>
      </c>
      <c r="CP69" s="88">
        <v>190.8304787710658</v>
      </c>
      <c r="CQ69" s="88">
        <v>30.370207363163143</v>
      </c>
      <c r="CR69" s="88">
        <v>95.086240532638044</v>
      </c>
      <c r="CS69" s="89">
        <v>57.829524564324878</v>
      </c>
    </row>
    <row r="70" spans="2:97" x14ac:dyDescent="0.3">
      <c r="B70" s="83" t="s">
        <v>127</v>
      </c>
      <c r="C70" s="88">
        <v>207.40690809217875</v>
      </c>
      <c r="D70" s="88">
        <v>79.132494328120799</v>
      </c>
      <c r="E70" s="88">
        <v>31.739591420108543</v>
      </c>
      <c r="F70" s="88">
        <v>148.99990944398212</v>
      </c>
      <c r="G70" s="88">
        <v>220.67886894056539</v>
      </c>
      <c r="H70" s="88">
        <v>172.15765687381563</v>
      </c>
      <c r="I70" s="88">
        <v>213.71638232105647</v>
      </c>
      <c r="J70" s="88">
        <v>101.40226643273006</v>
      </c>
      <c r="K70" s="88">
        <v>40.219319281577299</v>
      </c>
      <c r="L70" s="88">
        <v>323.39843708065212</v>
      </c>
      <c r="M70" s="88">
        <v>60.72206578717639</v>
      </c>
      <c r="N70" s="88">
        <v>45.050860756766873</v>
      </c>
      <c r="O70" s="88">
        <v>241.46363425858024</v>
      </c>
      <c r="P70" s="88">
        <v>143.59434719960615</v>
      </c>
      <c r="Q70" s="88">
        <v>266.08783382871945</v>
      </c>
      <c r="R70" s="88">
        <v>100.76466011196905</v>
      </c>
      <c r="S70" s="88">
        <v>72.743122831954977</v>
      </c>
      <c r="T70" s="88">
        <v>161.61423345992361</v>
      </c>
      <c r="U70" s="88">
        <v>70.242695835192208</v>
      </c>
      <c r="V70" s="88">
        <v>115.82603274006189</v>
      </c>
      <c r="W70" s="88">
        <v>14.285488961696291</v>
      </c>
      <c r="X70" s="88">
        <v>44.857792715653432</v>
      </c>
      <c r="Y70" s="88">
        <v>91.646626119080167</v>
      </c>
      <c r="Z70" s="88">
        <v>92.773378997179378</v>
      </c>
      <c r="AA70" s="88">
        <v>171.21691838637184</v>
      </c>
      <c r="AB70" s="88">
        <v>104.99118601240481</v>
      </c>
      <c r="AC70" s="88">
        <v>64.892313169769935</v>
      </c>
      <c r="AD70" s="88">
        <v>55.462813637467377</v>
      </c>
      <c r="AE70" s="88">
        <v>246.98488328741001</v>
      </c>
      <c r="AF70" s="88">
        <v>282.75131617802424</v>
      </c>
      <c r="AG70" s="88">
        <v>121.35102836861981</v>
      </c>
      <c r="AH70" s="88">
        <v>259.79380083687403</v>
      </c>
      <c r="AI70" s="88">
        <v>154.93572801892688</v>
      </c>
      <c r="AJ70" s="88">
        <v>265.7993275096515</v>
      </c>
      <c r="AK70" s="88">
        <v>70.553521110909443</v>
      </c>
      <c r="AL70" s="88">
        <v>35.707793653573518</v>
      </c>
      <c r="AM70" s="88">
        <v>279.84021771614459</v>
      </c>
      <c r="AN70" s="88">
        <v>80.088708160420879</v>
      </c>
      <c r="AO70" s="88">
        <v>29.694175316444461</v>
      </c>
      <c r="AP70" s="88">
        <v>53.624375237782239</v>
      </c>
      <c r="AQ70" s="88">
        <v>24.300324144822589</v>
      </c>
      <c r="AR70" s="88">
        <v>45.130364477681681</v>
      </c>
      <c r="AS70" s="88">
        <v>27.89001299611505</v>
      </c>
      <c r="AT70" s="88">
        <v>131.74774974568251</v>
      </c>
      <c r="AU70" s="88">
        <v>248.57292838058316</v>
      </c>
      <c r="AV70" s="88">
        <v>339.97880406078161</v>
      </c>
      <c r="AW70" s="88">
        <v>220.91392820382947</v>
      </c>
      <c r="AX70" s="88">
        <v>103.08593403763795</v>
      </c>
      <c r="AY70" s="88">
        <v>99.668424759088353</v>
      </c>
      <c r="AZ70" s="88">
        <v>39.266704462002231</v>
      </c>
      <c r="BA70" s="88">
        <v>22.036317309719688</v>
      </c>
      <c r="BB70" s="88">
        <v>79.453725153877699</v>
      </c>
      <c r="BC70" s="88">
        <v>199.02646398328966</v>
      </c>
      <c r="BD70" s="88">
        <v>120.19919186752477</v>
      </c>
      <c r="BE70" s="88">
        <v>55.029211310656827</v>
      </c>
      <c r="BF70" s="88">
        <v>130.82356212221887</v>
      </c>
      <c r="BG70" s="88">
        <v>62.617089514291372</v>
      </c>
      <c r="BH70" s="88">
        <v>43.925805216632135</v>
      </c>
      <c r="BI70" s="88">
        <v>182.76017669091405</v>
      </c>
      <c r="BJ70" s="88">
        <v>51.115669312829311</v>
      </c>
      <c r="BK70" s="88">
        <v>171.2796376432913</v>
      </c>
      <c r="BL70" s="88">
        <v>203.08339239612738</v>
      </c>
      <c r="BM70" s="88">
        <v>64.702138504553687</v>
      </c>
      <c r="BN70" s="88">
        <v>87.925131475970176</v>
      </c>
      <c r="BO70" s="88">
        <v>182.74711451279555</v>
      </c>
      <c r="BP70" s="88">
        <v>87.367892353674762</v>
      </c>
      <c r="BQ70" s="88">
        <v>151.59475460511197</v>
      </c>
      <c r="BR70" s="88">
        <v>0</v>
      </c>
      <c r="BS70" s="88">
        <v>167.70354682784097</v>
      </c>
      <c r="BT70" s="88">
        <v>191.22435885953158</v>
      </c>
      <c r="BU70" s="88">
        <v>136.63065593591978</v>
      </c>
      <c r="BV70" s="88">
        <v>164.72454827138685</v>
      </c>
      <c r="BW70" s="88">
        <v>187.47969069971776</v>
      </c>
      <c r="BX70" s="88">
        <v>82.213200971850995</v>
      </c>
      <c r="BY70" s="88">
        <v>82.001239599252074</v>
      </c>
      <c r="BZ70" s="88">
        <v>195.05616606948399</v>
      </c>
      <c r="CA70" s="88">
        <v>138.89454610297489</v>
      </c>
      <c r="CB70" s="88">
        <v>243.21486146643059</v>
      </c>
      <c r="CC70" s="88">
        <v>118.8146751861246</v>
      </c>
      <c r="CD70" s="88">
        <v>114.32482139815716</v>
      </c>
      <c r="CE70" s="88">
        <v>59.299236463705554</v>
      </c>
      <c r="CF70" s="88">
        <v>315.7309025307224</v>
      </c>
      <c r="CG70" s="88">
        <v>96.721494336868062</v>
      </c>
      <c r="CH70" s="88">
        <v>107.05264861374637</v>
      </c>
      <c r="CI70" s="88">
        <v>108.24282755440632</v>
      </c>
      <c r="CJ70" s="88">
        <v>305.30688482086094</v>
      </c>
      <c r="CK70" s="88">
        <v>229.11302815490117</v>
      </c>
      <c r="CL70" s="88">
        <v>135.04026561527309</v>
      </c>
      <c r="CM70" s="88">
        <v>116.7481633678254</v>
      </c>
      <c r="CN70" s="88">
        <v>302.95229490534837</v>
      </c>
      <c r="CO70" s="88">
        <v>28.091865451206395</v>
      </c>
      <c r="CP70" s="88">
        <v>65.980380148614913</v>
      </c>
      <c r="CQ70" s="88">
        <v>136.06745125976923</v>
      </c>
      <c r="CR70" s="88">
        <v>56.530383168385114</v>
      </c>
      <c r="CS70" s="89">
        <v>94.381240928653497</v>
      </c>
    </row>
    <row r="71" spans="2:97" x14ac:dyDescent="0.3">
      <c r="B71" s="83" t="s">
        <v>128</v>
      </c>
      <c r="C71" s="88">
        <v>57.437520856073704</v>
      </c>
      <c r="D71" s="88">
        <v>105.71082824663212</v>
      </c>
      <c r="E71" s="88">
        <v>169.9306245775268</v>
      </c>
      <c r="F71" s="88">
        <v>66.824290532608074</v>
      </c>
      <c r="G71" s="88">
        <v>87.91402441532604</v>
      </c>
      <c r="H71" s="88">
        <v>97.715462850700419</v>
      </c>
      <c r="I71" s="88">
        <v>52.486454837702304</v>
      </c>
      <c r="J71" s="88">
        <v>75.529011648055814</v>
      </c>
      <c r="K71" s="88">
        <v>192.21077168986113</v>
      </c>
      <c r="L71" s="88">
        <v>164.77831749965043</v>
      </c>
      <c r="M71" s="88">
        <v>113.67327655465242</v>
      </c>
      <c r="N71" s="88">
        <v>212.69165812651877</v>
      </c>
      <c r="O71" s="88">
        <v>78.652316505864377</v>
      </c>
      <c r="P71" s="88">
        <v>26.019672856458008</v>
      </c>
      <c r="Q71" s="88">
        <v>117.25464898339213</v>
      </c>
      <c r="R71" s="88">
        <v>92.491427074354434</v>
      </c>
      <c r="S71" s="88">
        <v>232.27551047610882</v>
      </c>
      <c r="T71" s="88">
        <v>42.199193043523508</v>
      </c>
      <c r="U71" s="88">
        <v>98.792182646952227</v>
      </c>
      <c r="V71" s="88">
        <v>58.103912797125297</v>
      </c>
      <c r="W71" s="88">
        <v>181.70087066895232</v>
      </c>
      <c r="X71" s="88">
        <v>130.00423436931572</v>
      </c>
      <c r="Y71" s="88">
        <v>243.85769983779903</v>
      </c>
      <c r="Z71" s="88">
        <v>260.32731613131244</v>
      </c>
      <c r="AA71" s="88">
        <v>14.612357337603038</v>
      </c>
      <c r="AB71" s="88">
        <v>112.39264649187872</v>
      </c>
      <c r="AC71" s="88">
        <v>218.2064172884175</v>
      </c>
      <c r="AD71" s="88">
        <v>144.19972678240069</v>
      </c>
      <c r="AE71" s="88">
        <v>89.132716751223356</v>
      </c>
      <c r="AF71" s="88">
        <v>126.73356346670037</v>
      </c>
      <c r="AG71" s="88">
        <v>88.527740328505587</v>
      </c>
      <c r="AH71" s="88">
        <v>103.23894098535789</v>
      </c>
      <c r="AI71" s="88">
        <v>95.259006041774526</v>
      </c>
      <c r="AJ71" s="88">
        <v>102.82825700495306</v>
      </c>
      <c r="AK71" s="88">
        <v>238.22831234714542</v>
      </c>
      <c r="AL71" s="88">
        <v>197.68441058035356</v>
      </c>
      <c r="AM71" s="88">
        <v>118.51753775777878</v>
      </c>
      <c r="AN71" s="88">
        <v>244.35228324101033</v>
      </c>
      <c r="AO71" s="88">
        <v>195.08172103376609</v>
      </c>
      <c r="AP71" s="88">
        <v>179.8909258937293</v>
      </c>
      <c r="AQ71" s="88">
        <v>143.4830810767821</v>
      </c>
      <c r="AR71" s="88">
        <v>148.00553579794027</v>
      </c>
      <c r="AS71" s="88">
        <v>154.48265661014298</v>
      </c>
      <c r="AT71" s="88">
        <v>35.962525981177386</v>
      </c>
      <c r="AU71" s="88">
        <v>97.162996079646575</v>
      </c>
      <c r="AV71" s="88">
        <v>179.02664889017061</v>
      </c>
      <c r="AW71" s="88">
        <v>74.397200818555575</v>
      </c>
      <c r="AX71" s="88">
        <v>245.89750198307726</v>
      </c>
      <c r="AY71" s="88">
        <v>259.85921838147488</v>
      </c>
      <c r="AZ71" s="88">
        <v>159.45892660149084</v>
      </c>
      <c r="BA71" s="88">
        <v>152.63325548469604</v>
      </c>
      <c r="BB71" s="88">
        <v>129.48680828484856</v>
      </c>
      <c r="BC71" s="88">
        <v>71.023472960181522</v>
      </c>
      <c r="BD71" s="88">
        <v>51.757307436514175</v>
      </c>
      <c r="BE71" s="88">
        <v>220.02251634724752</v>
      </c>
      <c r="BF71" s="88">
        <v>103.32415097238071</v>
      </c>
      <c r="BG71" s="88">
        <v>120.70751549923177</v>
      </c>
      <c r="BH71" s="88">
        <v>129.25608620437549</v>
      </c>
      <c r="BI71" s="88">
        <v>82.342916561880855</v>
      </c>
      <c r="BJ71" s="88">
        <v>217.30525673191863</v>
      </c>
      <c r="BK71" s="88">
        <v>73.656805328609536</v>
      </c>
      <c r="BL71" s="88">
        <v>89.693209118623443</v>
      </c>
      <c r="BM71" s="88">
        <v>128.12838059844628</v>
      </c>
      <c r="BN71" s="88">
        <v>113.53354152490817</v>
      </c>
      <c r="BO71" s="88">
        <v>37.621099428725103</v>
      </c>
      <c r="BP71" s="88">
        <v>226.66044645354441</v>
      </c>
      <c r="BQ71" s="88">
        <v>18.904123084486127</v>
      </c>
      <c r="BR71" s="88">
        <v>167.70354682784097</v>
      </c>
      <c r="BS71" s="88">
        <v>0</v>
      </c>
      <c r="BT71" s="88">
        <v>104.01927095464443</v>
      </c>
      <c r="BU71" s="88">
        <v>37.120304574540874</v>
      </c>
      <c r="BV71" s="88">
        <v>66.11431962500771</v>
      </c>
      <c r="BW71" s="88">
        <v>57.896352551634031</v>
      </c>
      <c r="BX71" s="88">
        <v>99.646073537204359</v>
      </c>
      <c r="BY71" s="88">
        <v>89.627789701501314</v>
      </c>
      <c r="BZ71" s="88">
        <v>32.963745055821057</v>
      </c>
      <c r="CA71" s="88">
        <v>84.097977272622614</v>
      </c>
      <c r="CB71" s="88">
        <v>101.61542379466145</v>
      </c>
      <c r="CC71" s="88">
        <v>285.8217837660888</v>
      </c>
      <c r="CD71" s="88">
        <v>53.420170540642175</v>
      </c>
      <c r="CE71" s="88">
        <v>153.38278110546017</v>
      </c>
      <c r="CF71" s="88">
        <v>153.7518608013265</v>
      </c>
      <c r="CG71" s="88">
        <v>77.136997925951746</v>
      </c>
      <c r="CH71" s="88">
        <v>271.48700045137508</v>
      </c>
      <c r="CI71" s="88">
        <v>61.160599776972717</v>
      </c>
      <c r="CJ71" s="88">
        <v>150.20831898471863</v>
      </c>
      <c r="CK71" s="88">
        <v>71.245123218399982</v>
      </c>
      <c r="CL71" s="88">
        <v>63.16651340185048</v>
      </c>
      <c r="CM71" s="88">
        <v>72.320138190039955</v>
      </c>
      <c r="CN71" s="88">
        <v>144.36933449301728</v>
      </c>
      <c r="CO71" s="88">
        <v>176.96780770997921</v>
      </c>
      <c r="CP71" s="88">
        <v>203.17981338307115</v>
      </c>
      <c r="CQ71" s="88">
        <v>48.50870748177487</v>
      </c>
      <c r="CR71" s="88">
        <v>111.47411554614405</v>
      </c>
      <c r="CS71" s="89">
        <v>73.609399509332846</v>
      </c>
    </row>
    <row r="72" spans="2:97" x14ac:dyDescent="0.3">
      <c r="B72" s="83" t="s">
        <v>129</v>
      </c>
      <c r="C72" s="88">
        <v>71.324790157411627</v>
      </c>
      <c r="D72" s="88">
        <v>112.39833362819735</v>
      </c>
      <c r="E72" s="88">
        <v>209.56439431466424</v>
      </c>
      <c r="F72" s="88">
        <v>50.565235763538048</v>
      </c>
      <c r="G72" s="88">
        <v>51.639109943635248</v>
      </c>
      <c r="H72" s="88">
        <v>19.136877254423794</v>
      </c>
      <c r="I72" s="88">
        <v>91.077332037733726</v>
      </c>
      <c r="J72" s="88">
        <v>98.73125203547356</v>
      </c>
      <c r="K72" s="88">
        <v>228.34682279896541</v>
      </c>
      <c r="L72" s="88">
        <v>156.85437031536529</v>
      </c>
      <c r="M72" s="88">
        <v>163.93937582826072</v>
      </c>
      <c r="N72" s="88">
        <v>231.50808723913832</v>
      </c>
      <c r="O72" s="88">
        <v>105.98244407696883</v>
      </c>
      <c r="P72" s="88">
        <v>114.15181974268482</v>
      </c>
      <c r="Q72" s="88">
        <v>96.450068738276471</v>
      </c>
      <c r="R72" s="88">
        <v>91.09954593081406</v>
      </c>
      <c r="S72" s="88">
        <v>263.96715860154262</v>
      </c>
      <c r="T72" s="88">
        <v>63.256954292249361</v>
      </c>
      <c r="U72" s="88">
        <v>146.13084938657479</v>
      </c>
      <c r="V72" s="88">
        <v>94.54465062541982</v>
      </c>
      <c r="W72" s="88">
        <v>204.63559502929621</v>
      </c>
      <c r="X72" s="88">
        <v>174.16214282813127</v>
      </c>
      <c r="Y72" s="88">
        <v>282.13422530804706</v>
      </c>
      <c r="Z72" s="88">
        <v>276.14744182780049</v>
      </c>
      <c r="AA72" s="88">
        <v>90.015224819404551</v>
      </c>
      <c r="AB72" s="88">
        <v>88.626363637824738</v>
      </c>
      <c r="AC72" s="88">
        <v>254.95941753477325</v>
      </c>
      <c r="AD72" s="88">
        <v>141.89051233665271</v>
      </c>
      <c r="AE72" s="88">
        <v>98.017475404616278</v>
      </c>
      <c r="AF72" s="88">
        <v>119.04038009491194</v>
      </c>
      <c r="AG72" s="88">
        <v>70.120948909983341</v>
      </c>
      <c r="AH72" s="88">
        <v>103.48417368742507</v>
      </c>
      <c r="AI72" s="88">
        <v>36.462336332896179</v>
      </c>
      <c r="AJ72" s="88">
        <v>121.25908765082271</v>
      </c>
      <c r="AK72" s="88">
        <v>252.37464490175887</v>
      </c>
      <c r="AL72" s="88">
        <v>206.74852844408088</v>
      </c>
      <c r="AM72" s="88">
        <v>127.05763001607515</v>
      </c>
      <c r="AN72" s="88">
        <v>269.98605933979502</v>
      </c>
      <c r="AO72" s="88">
        <v>220.65489898352865</v>
      </c>
      <c r="AP72" s="88">
        <v>227.69886224054022</v>
      </c>
      <c r="AQ72" s="88">
        <v>172.48776262627959</v>
      </c>
      <c r="AR72" s="88">
        <v>196.34395156466616</v>
      </c>
      <c r="AS72" s="88">
        <v>193.38982335405973</v>
      </c>
      <c r="AT72" s="88">
        <v>107.12892360510737</v>
      </c>
      <c r="AU72" s="88">
        <v>88.269014341690777</v>
      </c>
      <c r="AV72" s="88">
        <v>175.74682999004841</v>
      </c>
      <c r="AW72" s="88">
        <v>68.708456931041042</v>
      </c>
      <c r="AX72" s="88">
        <v>290.93543894986755</v>
      </c>
      <c r="AY72" s="88">
        <v>290.67149915827844</v>
      </c>
      <c r="AZ72" s="88">
        <v>162.2676286855687</v>
      </c>
      <c r="BA72" s="88">
        <v>169.6585806194135</v>
      </c>
      <c r="BB72" s="88">
        <v>116.66487613523074</v>
      </c>
      <c r="BC72" s="88">
        <v>44.094728652297974</v>
      </c>
      <c r="BD72" s="88">
        <v>128.10155045462213</v>
      </c>
      <c r="BE72" s="88">
        <v>245.30119058799909</v>
      </c>
      <c r="BF72" s="88">
        <v>62.055306886235918</v>
      </c>
      <c r="BG72" s="88">
        <v>128.61667455840427</v>
      </c>
      <c r="BH72" s="88">
        <v>147.82817803978529</v>
      </c>
      <c r="BI72" s="88">
        <v>21.713391667534523</v>
      </c>
      <c r="BJ72" s="88">
        <v>228.13938672705538</v>
      </c>
      <c r="BK72" s="88">
        <v>31.676989103895576</v>
      </c>
      <c r="BL72" s="88">
        <v>27.00944669163637</v>
      </c>
      <c r="BM72" s="88">
        <v>186.22054285206559</v>
      </c>
      <c r="BN72" s="88">
        <v>104.18160235133081</v>
      </c>
      <c r="BO72" s="88">
        <v>70.449999851052922</v>
      </c>
      <c r="BP72" s="88">
        <v>272.95465207621595</v>
      </c>
      <c r="BQ72" s="88">
        <v>94.836868708186415</v>
      </c>
      <c r="BR72" s="88">
        <v>191.22435885953158</v>
      </c>
      <c r="BS72" s="88">
        <v>104.01927095464443</v>
      </c>
      <c r="BT72" s="88">
        <v>0</v>
      </c>
      <c r="BU72" s="88">
        <v>89.133739103593769</v>
      </c>
      <c r="BV72" s="88">
        <v>40.612535790867199</v>
      </c>
      <c r="BW72" s="88">
        <v>50.269892311331475</v>
      </c>
      <c r="BX72" s="88">
        <v>163.37039855449814</v>
      </c>
      <c r="BY72" s="88">
        <v>117.58534878658273</v>
      </c>
      <c r="BZ72" s="88">
        <v>90.368319558260126</v>
      </c>
      <c r="CA72" s="88">
        <v>52.961511211503421</v>
      </c>
      <c r="CB72" s="88">
        <v>72.564202445183938</v>
      </c>
      <c r="CC72" s="88">
        <v>303.21904310961719</v>
      </c>
      <c r="CD72" s="88">
        <v>112.0605110589169</v>
      </c>
      <c r="CE72" s="88">
        <v>208.6914706915739</v>
      </c>
      <c r="CF72" s="88">
        <v>157.12881903914084</v>
      </c>
      <c r="CG72" s="88">
        <v>143.01448193526056</v>
      </c>
      <c r="CH72" s="88">
        <v>296.01015162707625</v>
      </c>
      <c r="CI72" s="88">
        <v>126.86609963324464</v>
      </c>
      <c r="CJ72" s="88">
        <v>135.85797672837077</v>
      </c>
      <c r="CK72" s="88">
        <v>89.350592168254153</v>
      </c>
      <c r="CL72" s="88">
        <v>65.710754367347874</v>
      </c>
      <c r="CM72" s="88">
        <v>80.500397269442644</v>
      </c>
      <c r="CN72" s="88">
        <v>139.52556231356658</v>
      </c>
      <c r="CO72" s="88">
        <v>184.44151533761482</v>
      </c>
      <c r="CP72" s="88">
        <v>248.8360601459398</v>
      </c>
      <c r="CQ72" s="88">
        <v>76.447472219763767</v>
      </c>
      <c r="CR72" s="88">
        <v>143.81628715812226</v>
      </c>
      <c r="CS72" s="89">
        <v>122.77266860504722</v>
      </c>
    </row>
    <row r="73" spans="2:97" x14ac:dyDescent="0.3">
      <c r="B73" s="83" t="s">
        <v>130</v>
      </c>
      <c r="C73" s="88">
        <v>72.335790018694269</v>
      </c>
      <c r="D73" s="88">
        <v>69.176981479174117</v>
      </c>
      <c r="E73" s="88">
        <v>143.63168850879867</v>
      </c>
      <c r="F73" s="88">
        <v>40.947097084928913</v>
      </c>
      <c r="G73" s="88">
        <v>93.204756561260567</v>
      </c>
      <c r="H73" s="88">
        <v>76.903391853891407</v>
      </c>
      <c r="I73" s="88">
        <v>77.085834776403331</v>
      </c>
      <c r="J73" s="88">
        <v>39.090360182004993</v>
      </c>
      <c r="K73" s="88">
        <v>165.3641207161867</v>
      </c>
      <c r="L73" s="88">
        <v>187.89938924225891</v>
      </c>
      <c r="M73" s="88">
        <v>89.073638324799489</v>
      </c>
      <c r="N73" s="88">
        <v>181.58663800652675</v>
      </c>
      <c r="O73" s="88">
        <v>104.83336544952444</v>
      </c>
      <c r="P73" s="88">
        <v>28.461234265585375</v>
      </c>
      <c r="Q73" s="88">
        <v>133.39446037964532</v>
      </c>
      <c r="R73" s="88">
        <v>55.399070093734501</v>
      </c>
      <c r="S73" s="88">
        <v>204.88297374366988</v>
      </c>
      <c r="T73" s="88">
        <v>30.695477696013299</v>
      </c>
      <c r="U73" s="88">
        <v>71.921781375024253</v>
      </c>
      <c r="V73" s="88">
        <v>21.876664676335707</v>
      </c>
      <c r="W73" s="88">
        <v>150.8795453270202</v>
      </c>
      <c r="X73" s="88">
        <v>103.79990838682529</v>
      </c>
      <c r="Y73" s="88">
        <v>218.68403123693687</v>
      </c>
      <c r="Z73" s="88">
        <v>229.29254837945129</v>
      </c>
      <c r="AA73" s="88">
        <v>35.438830793831542</v>
      </c>
      <c r="AB73" s="88">
        <v>75.867361422327718</v>
      </c>
      <c r="AC73" s="88">
        <v>192.10857547832842</v>
      </c>
      <c r="AD73" s="88">
        <v>107.98127643368821</v>
      </c>
      <c r="AE73" s="88">
        <v>111.02300976444066</v>
      </c>
      <c r="AF73" s="88">
        <v>147.72425787132991</v>
      </c>
      <c r="AG73" s="88">
        <v>53.494235838191948</v>
      </c>
      <c r="AH73" s="88">
        <v>124.3193867789233</v>
      </c>
      <c r="AI73" s="88">
        <v>68.832735538035791</v>
      </c>
      <c r="AJ73" s="88">
        <v>129.1887738540243</v>
      </c>
      <c r="AK73" s="88">
        <v>206.52547848429973</v>
      </c>
      <c r="AL73" s="88">
        <v>164.28259572272202</v>
      </c>
      <c r="AM73" s="88">
        <v>143.45732588170333</v>
      </c>
      <c r="AN73" s="88">
        <v>215.46985793189288</v>
      </c>
      <c r="AO73" s="88">
        <v>165.25875500394571</v>
      </c>
      <c r="AP73" s="88">
        <v>156.83958581988449</v>
      </c>
      <c r="AQ73" s="88">
        <v>112.97341707110246</v>
      </c>
      <c r="AR73" s="88">
        <v>124.19070060364089</v>
      </c>
      <c r="AS73" s="88">
        <v>127.43033900859837</v>
      </c>
      <c r="AT73" s="88">
        <v>18.046812278641184</v>
      </c>
      <c r="AU73" s="88">
        <v>114.48688027276421</v>
      </c>
      <c r="AV73" s="88">
        <v>203.90859781933781</v>
      </c>
      <c r="AW73" s="88">
        <v>87.56232758654734</v>
      </c>
      <c r="AX73" s="88">
        <v>223.07431656787207</v>
      </c>
      <c r="AY73" s="88">
        <v>232.62862331663294</v>
      </c>
      <c r="AZ73" s="88">
        <v>124.20608431103923</v>
      </c>
      <c r="BA73" s="88">
        <v>119.59669007993854</v>
      </c>
      <c r="BB73" s="88">
        <v>92.403807992515567</v>
      </c>
      <c r="BC73" s="88">
        <v>71.850709031687927</v>
      </c>
      <c r="BD73" s="88">
        <v>39.257209824897018</v>
      </c>
      <c r="BE73" s="88">
        <v>190.63951580358474</v>
      </c>
      <c r="BF73" s="88">
        <v>70.207704324127704</v>
      </c>
      <c r="BG73" s="88">
        <v>84.907213476483463</v>
      </c>
      <c r="BH73" s="88">
        <v>95.608394318531779</v>
      </c>
      <c r="BI73" s="88">
        <v>69.725990597944445</v>
      </c>
      <c r="BJ73" s="88">
        <v>184.59634196077798</v>
      </c>
      <c r="BK73" s="88">
        <v>57.769903114996481</v>
      </c>
      <c r="BL73" s="88">
        <v>84.657428237215342</v>
      </c>
      <c r="BM73" s="88">
        <v>107.85962623087802</v>
      </c>
      <c r="BN73" s="88">
        <v>76.414901827947645</v>
      </c>
      <c r="BO73" s="88">
        <v>47.179952935650753</v>
      </c>
      <c r="BP73" s="88">
        <v>203.99878181423517</v>
      </c>
      <c r="BQ73" s="88">
        <v>18.21672683019144</v>
      </c>
      <c r="BR73" s="88">
        <v>136.63065593591978</v>
      </c>
      <c r="BS73" s="88">
        <v>37.120304574540874</v>
      </c>
      <c r="BT73" s="88">
        <v>89.133739103593769</v>
      </c>
      <c r="BU73" s="88">
        <v>0</v>
      </c>
      <c r="BV73" s="88">
        <v>48.682913575996103</v>
      </c>
      <c r="BW73" s="88">
        <v>57.947777497292542</v>
      </c>
      <c r="BX73" s="88">
        <v>80.989275165607978</v>
      </c>
      <c r="BY73" s="88">
        <v>55.451722691318615</v>
      </c>
      <c r="BZ73" s="88">
        <v>58.665667556820658</v>
      </c>
      <c r="CA73" s="88">
        <v>53.353482711376564</v>
      </c>
      <c r="CB73" s="88">
        <v>112.86921344254549</v>
      </c>
      <c r="CC73" s="88">
        <v>255.44366705257926</v>
      </c>
      <c r="CD73" s="88">
        <v>26.809627433027561</v>
      </c>
      <c r="CE73" s="88">
        <v>132.71671442920206</v>
      </c>
      <c r="CF73" s="88">
        <v>179.36225585695101</v>
      </c>
      <c r="CG73" s="88">
        <v>58.306670626030638</v>
      </c>
      <c r="CH73" s="88">
        <v>242.6856773997516</v>
      </c>
      <c r="CI73" s="88">
        <v>40.717204744076014</v>
      </c>
      <c r="CJ73" s="88">
        <v>170.83901991960497</v>
      </c>
      <c r="CK73" s="88">
        <v>92.909588836534539</v>
      </c>
      <c r="CL73" s="88">
        <v>30.806599471565011</v>
      </c>
      <c r="CM73" s="88">
        <v>35.626169132861733</v>
      </c>
      <c r="CN73" s="88">
        <v>167.33270741820175</v>
      </c>
      <c r="CO73" s="88">
        <v>142.8436804971748</v>
      </c>
      <c r="CP73" s="88">
        <v>179.84643992125552</v>
      </c>
      <c r="CQ73" s="88">
        <v>14.972305725446072</v>
      </c>
      <c r="CR73" s="88">
        <v>80.221564251589044</v>
      </c>
      <c r="CS73" s="89">
        <v>44.832115648998247</v>
      </c>
    </row>
    <row r="74" spans="2:97" x14ac:dyDescent="0.3">
      <c r="B74" s="83" t="s">
        <v>131</v>
      </c>
      <c r="C74" s="88">
        <v>53.752546976686098</v>
      </c>
      <c r="D74" s="88">
        <v>86.445992256917521</v>
      </c>
      <c r="E74" s="88">
        <v>178.83742551138585</v>
      </c>
      <c r="F74" s="88">
        <v>15.782621644639448</v>
      </c>
      <c r="G74" s="88">
        <v>56.31213704153258</v>
      </c>
      <c r="H74" s="88">
        <v>31.602339582954713</v>
      </c>
      <c r="I74" s="88">
        <v>69.901073767935415</v>
      </c>
      <c r="J74" s="88">
        <v>65.246218184758192</v>
      </c>
      <c r="K74" s="88">
        <v>199.07868627084017</v>
      </c>
      <c r="L74" s="88">
        <v>163.31749524250333</v>
      </c>
      <c r="M74" s="88">
        <v>129.01707256457746</v>
      </c>
      <c r="N74" s="88">
        <v>207.73168636984423</v>
      </c>
      <c r="O74" s="88">
        <v>92.999120048801515</v>
      </c>
      <c r="P74" s="88">
        <v>73.687967529291456</v>
      </c>
      <c r="Q74" s="88">
        <v>103.36920842226071</v>
      </c>
      <c r="R74" s="88">
        <v>65.143354485620947</v>
      </c>
      <c r="S74" s="88">
        <v>236.73745804611721</v>
      </c>
      <c r="T74" s="88">
        <v>23.956480192695867</v>
      </c>
      <c r="U74" s="88">
        <v>111.03896172982218</v>
      </c>
      <c r="V74" s="88">
        <v>56.97062601520048</v>
      </c>
      <c r="W74" s="88">
        <v>178.77175663084336</v>
      </c>
      <c r="X74" s="88">
        <v>141.10403094067425</v>
      </c>
      <c r="Y74" s="88">
        <v>253.21294695053149</v>
      </c>
      <c r="Z74" s="88">
        <v>254.28642906906896</v>
      </c>
      <c r="AA74" s="88">
        <v>53.296245772779592</v>
      </c>
      <c r="AB74" s="88">
        <v>72.827972088239775</v>
      </c>
      <c r="AC74" s="88">
        <v>226.0500077010648</v>
      </c>
      <c r="AD74" s="88">
        <v>122.04896260502728</v>
      </c>
      <c r="AE74" s="88">
        <v>91.546488390053099</v>
      </c>
      <c r="AF74" s="88">
        <v>122.68093007076715</v>
      </c>
      <c r="AG74" s="88">
        <v>47.380920856438443</v>
      </c>
      <c r="AH74" s="88">
        <v>101.78103315943318</v>
      </c>
      <c r="AI74" s="88">
        <v>32.498654376932315</v>
      </c>
      <c r="AJ74" s="88">
        <v>114.1094793835444</v>
      </c>
      <c r="AK74" s="88">
        <v>230.64816465226355</v>
      </c>
      <c r="AL74" s="88">
        <v>185.65245869537935</v>
      </c>
      <c r="AM74" s="88">
        <v>124.60758737220233</v>
      </c>
      <c r="AN74" s="88">
        <v>244.76277042603718</v>
      </c>
      <c r="AO74" s="88">
        <v>194.40711262847753</v>
      </c>
      <c r="AP74" s="88">
        <v>195.20074367936959</v>
      </c>
      <c r="AQ74" s="88">
        <v>143.54702383914778</v>
      </c>
      <c r="AR74" s="88">
        <v>162.96389367486046</v>
      </c>
      <c r="AS74" s="88">
        <v>162.39149955414553</v>
      </c>
      <c r="AT74" s="88">
        <v>66.604562846208935</v>
      </c>
      <c r="AU74" s="88">
        <v>88.205853331752351</v>
      </c>
      <c r="AV74" s="88">
        <v>181.24548882830155</v>
      </c>
      <c r="AW74" s="88">
        <v>61.337315080920355</v>
      </c>
      <c r="AX74" s="88">
        <v>260.19439173631025</v>
      </c>
      <c r="AY74" s="88">
        <v>264.13299184932202</v>
      </c>
      <c r="AZ74" s="88">
        <v>141.66835608157768</v>
      </c>
      <c r="BA74" s="88">
        <v>144.38590859974869</v>
      </c>
      <c r="BB74" s="88">
        <v>99.141422571890999</v>
      </c>
      <c r="BC74" s="88">
        <v>35.444851516296616</v>
      </c>
      <c r="BD74" s="88">
        <v>87.850549378882548</v>
      </c>
      <c r="BE74" s="88">
        <v>219.72457673580817</v>
      </c>
      <c r="BF74" s="88">
        <v>51.368902675766002</v>
      </c>
      <c r="BG74" s="88">
        <v>103.86979457814556</v>
      </c>
      <c r="BH74" s="88">
        <v>120.84005216277501</v>
      </c>
      <c r="BI74" s="88">
        <v>21.41938864702696</v>
      </c>
      <c r="BJ74" s="88">
        <v>207.01678900637481</v>
      </c>
      <c r="BK74" s="88">
        <v>9.0944795423972078</v>
      </c>
      <c r="BL74" s="88">
        <v>39.45032752697054</v>
      </c>
      <c r="BM74" s="88">
        <v>150.31885639341783</v>
      </c>
      <c r="BN74" s="88">
        <v>83.729947610770111</v>
      </c>
      <c r="BO74" s="88">
        <v>39.469813805913944</v>
      </c>
      <c r="BP74" s="88">
        <v>241.62753440472866</v>
      </c>
      <c r="BQ74" s="88">
        <v>54.754496298524835</v>
      </c>
      <c r="BR74" s="88">
        <v>164.72454827138685</v>
      </c>
      <c r="BS74" s="88">
        <v>66.11431962500771</v>
      </c>
      <c r="BT74" s="88">
        <v>40.612535790867199</v>
      </c>
      <c r="BU74" s="88">
        <v>48.682913575996103</v>
      </c>
      <c r="BV74" s="88">
        <v>0</v>
      </c>
      <c r="BW74" s="88">
        <v>27.90348210359279</v>
      </c>
      <c r="BX74" s="88">
        <v>125.72709213160563</v>
      </c>
      <c r="BY74" s="88">
        <v>85.206051028562584</v>
      </c>
      <c r="BZ74" s="88">
        <v>61.295613750350043</v>
      </c>
      <c r="CA74" s="88">
        <v>31.877853672735753</v>
      </c>
      <c r="CB74" s="88">
        <v>79.45511736967488</v>
      </c>
      <c r="CC74" s="88">
        <v>281.23317603250257</v>
      </c>
      <c r="CD74" s="88">
        <v>72.770484832375445</v>
      </c>
      <c r="CE74" s="88">
        <v>173.94805257499135</v>
      </c>
      <c r="CF74" s="88">
        <v>159.02416182897844</v>
      </c>
      <c r="CG74" s="88">
        <v>104.34281262367115</v>
      </c>
      <c r="CH74" s="88">
        <v>271.55092298894192</v>
      </c>
      <c r="CI74" s="88">
        <v>87.555333376050299</v>
      </c>
      <c r="CJ74" s="88">
        <v>143.70516310151314</v>
      </c>
      <c r="CK74" s="88">
        <v>76.753440038274817</v>
      </c>
      <c r="CL74" s="88">
        <v>30.24387427871817</v>
      </c>
      <c r="CM74" s="88">
        <v>48.171299198148617</v>
      </c>
      <c r="CN74" s="88">
        <v>143.6617854117701</v>
      </c>
      <c r="CO74" s="88">
        <v>163.13201508652259</v>
      </c>
      <c r="CP74" s="88">
        <v>217.3052975701097</v>
      </c>
      <c r="CQ74" s="88">
        <v>36.955697552009781</v>
      </c>
      <c r="CR74" s="88">
        <v>112.37541640949489</v>
      </c>
      <c r="CS74" s="89">
        <v>85.73298151053973</v>
      </c>
    </row>
    <row r="75" spans="2:97" x14ac:dyDescent="0.3">
      <c r="B75" s="83" t="s">
        <v>132</v>
      </c>
      <c r="C75" s="88">
        <v>26.044457029115105</v>
      </c>
      <c r="D75" s="88">
        <v>110.99435159061315</v>
      </c>
      <c r="E75" s="88">
        <v>198.72812951301887</v>
      </c>
      <c r="F75" s="88">
        <v>41.987350455798001</v>
      </c>
      <c r="G75" s="88">
        <v>35.27877431188675</v>
      </c>
      <c r="H75" s="88">
        <v>51.505521346516147</v>
      </c>
      <c r="I75" s="88">
        <v>43.664149725323561</v>
      </c>
      <c r="J75" s="88">
        <v>86.175571040103065</v>
      </c>
      <c r="K75" s="88">
        <v>219.78865687865311</v>
      </c>
      <c r="L75" s="88">
        <v>137.19418851776251</v>
      </c>
      <c r="M75" s="88">
        <v>145.92627328845799</v>
      </c>
      <c r="N75" s="88">
        <v>231.40969995545274</v>
      </c>
      <c r="O75" s="88">
        <v>65.223862748466473</v>
      </c>
      <c r="P75" s="88">
        <v>74.783512213742313</v>
      </c>
      <c r="Q75" s="88">
        <v>78.615812844230049</v>
      </c>
      <c r="R75" s="88">
        <v>90.469097856079401</v>
      </c>
      <c r="S75" s="88">
        <v>258.4257346177489</v>
      </c>
      <c r="T75" s="88">
        <v>27.506779656433476</v>
      </c>
      <c r="U75" s="88">
        <v>128.25703366478135</v>
      </c>
      <c r="V75" s="88">
        <v>73.804075964088341</v>
      </c>
      <c r="W75" s="88">
        <v>201.70061181211238</v>
      </c>
      <c r="X75" s="88">
        <v>159.64818024165436</v>
      </c>
      <c r="Y75" s="88">
        <v>273.72523020977985</v>
      </c>
      <c r="Z75" s="88">
        <v>278.50596030531358</v>
      </c>
      <c r="AA75" s="88">
        <v>43.285054531214939</v>
      </c>
      <c r="AB75" s="88">
        <v>100.34151132212956</v>
      </c>
      <c r="AC75" s="88">
        <v>246.76318815856621</v>
      </c>
      <c r="AD75" s="88">
        <v>148.0204103277147</v>
      </c>
      <c r="AE75" s="88">
        <v>63.845525382426118</v>
      </c>
      <c r="AF75" s="88">
        <v>96.380484081708175</v>
      </c>
      <c r="AG75" s="88">
        <v>74.427847015796402</v>
      </c>
      <c r="AH75" s="88">
        <v>74.651817543601794</v>
      </c>
      <c r="AI75" s="88">
        <v>58.50104971161025</v>
      </c>
      <c r="AJ75" s="88">
        <v>86.235663184107452</v>
      </c>
      <c r="AK75" s="88">
        <v>255.04244663730486</v>
      </c>
      <c r="AL75" s="88">
        <v>210.57754540566071</v>
      </c>
      <c r="AM75" s="88">
        <v>97.085367683813573</v>
      </c>
      <c r="AN75" s="88">
        <v>267.50189574974803</v>
      </c>
      <c r="AO75" s="88">
        <v>216.98216313685742</v>
      </c>
      <c r="AP75" s="88">
        <v>213.43701418602072</v>
      </c>
      <c r="AQ75" s="88">
        <v>165.19159892169358</v>
      </c>
      <c r="AR75" s="88">
        <v>180.81286383869187</v>
      </c>
      <c r="AS75" s="88">
        <v>182.29976902699897</v>
      </c>
      <c r="AT75" s="88">
        <v>73.231505485369595</v>
      </c>
      <c r="AU75" s="88">
        <v>61.810459140855507</v>
      </c>
      <c r="AV75" s="88">
        <v>154.72764237776849</v>
      </c>
      <c r="AW75" s="88">
        <v>34.276274194740154</v>
      </c>
      <c r="AX75" s="88">
        <v>279.34125118817013</v>
      </c>
      <c r="AY75" s="88">
        <v>286.05355054117973</v>
      </c>
      <c r="AZ75" s="88">
        <v>167.17126523034025</v>
      </c>
      <c r="BA75" s="88">
        <v>168.02399417171978</v>
      </c>
      <c r="BB75" s="88">
        <v>125.99075459195869</v>
      </c>
      <c r="BC75" s="88">
        <v>14.179786645366935</v>
      </c>
      <c r="BD75" s="88">
        <v>95.245729780595553</v>
      </c>
      <c r="BE75" s="88">
        <v>242.44606950767999</v>
      </c>
      <c r="BF75" s="88">
        <v>79.238490640427315</v>
      </c>
      <c r="BG75" s="88">
        <v>128.46742044668068</v>
      </c>
      <c r="BH75" s="88">
        <v>144.03046025756032</v>
      </c>
      <c r="BI75" s="88">
        <v>29.691362898292819</v>
      </c>
      <c r="BJ75" s="88">
        <v>231.78235335888363</v>
      </c>
      <c r="BK75" s="88">
        <v>28.282048267241382</v>
      </c>
      <c r="BL75" s="88">
        <v>31.83194431223831</v>
      </c>
      <c r="BM75" s="88">
        <v>165.57183987740083</v>
      </c>
      <c r="BN75" s="88">
        <v>110.19096560954806</v>
      </c>
      <c r="BO75" s="88">
        <v>21.037608933839632</v>
      </c>
      <c r="BP75" s="88">
        <v>260.43600830521166</v>
      </c>
      <c r="BQ75" s="88">
        <v>54.769098935630318</v>
      </c>
      <c r="BR75" s="88">
        <v>187.47969069971776</v>
      </c>
      <c r="BS75" s="88">
        <v>57.896352551634031</v>
      </c>
      <c r="BT75" s="88">
        <v>50.269892311331475</v>
      </c>
      <c r="BU75" s="88">
        <v>57.947777497292542</v>
      </c>
      <c r="BV75" s="88">
        <v>27.90348210359279</v>
      </c>
      <c r="BW75" s="88">
        <v>0</v>
      </c>
      <c r="BX75" s="88">
        <v>138.93527405713678</v>
      </c>
      <c r="BY75" s="88">
        <v>105.99068721237616</v>
      </c>
      <c r="BZ75" s="88">
        <v>40.106668647058036</v>
      </c>
      <c r="CA75" s="88">
        <v>59.710483600547029</v>
      </c>
      <c r="CB75" s="88">
        <v>56.107859108799538</v>
      </c>
      <c r="CC75" s="88">
        <v>305.28445156250814</v>
      </c>
      <c r="CD75" s="88">
        <v>84.721365828135404</v>
      </c>
      <c r="CE75" s="88">
        <v>190.20595629453649</v>
      </c>
      <c r="CF75" s="88">
        <v>131.92386571057071</v>
      </c>
      <c r="CG75" s="88">
        <v>116.21338795980576</v>
      </c>
      <c r="CH75" s="88">
        <v>294.52990284959776</v>
      </c>
      <c r="CI75" s="88">
        <v>98.563493687546838</v>
      </c>
      <c r="CJ75" s="88">
        <v>118.23567241650916</v>
      </c>
      <c r="CK75" s="88">
        <v>48.866434325664557</v>
      </c>
      <c r="CL75" s="88">
        <v>53.115715388150939</v>
      </c>
      <c r="CM75" s="88">
        <v>71.299561021415926</v>
      </c>
      <c r="CN75" s="88">
        <v>117.17408566005911</v>
      </c>
      <c r="CO75" s="88">
        <v>188.17311996317127</v>
      </c>
      <c r="CP75" s="88">
        <v>236.14820314171928</v>
      </c>
      <c r="CQ75" s="88">
        <v>52.420719270484611</v>
      </c>
      <c r="CR75" s="88">
        <v>132.95709949807909</v>
      </c>
      <c r="CS75" s="89">
        <v>101.53848059207085</v>
      </c>
    </row>
    <row r="76" spans="2:97" x14ac:dyDescent="0.3">
      <c r="B76" s="83" t="s">
        <v>133</v>
      </c>
      <c r="C76" s="88">
        <v>151.29080576953041</v>
      </c>
      <c r="D76" s="88">
        <v>73.546466802383563</v>
      </c>
      <c r="E76" s="88">
        <v>73.708699079361494</v>
      </c>
      <c r="F76" s="88">
        <v>112.95461260682717</v>
      </c>
      <c r="G76" s="88">
        <v>174.19308461570304</v>
      </c>
      <c r="H76" s="88">
        <v>147.09828424769375</v>
      </c>
      <c r="I76" s="88">
        <v>151.3470426191937</v>
      </c>
      <c r="J76" s="88">
        <v>66.956499823617449</v>
      </c>
      <c r="K76" s="88">
        <v>95.878416574949128</v>
      </c>
      <c r="L76" s="88">
        <v>264.05075851696591</v>
      </c>
      <c r="M76" s="88">
        <v>21.857423080116302</v>
      </c>
      <c r="N76" s="88">
        <v>123.66377482251922</v>
      </c>
      <c r="O76" s="88">
        <v>178.19126994926333</v>
      </c>
      <c r="P76" s="88">
        <v>73.626612524003392</v>
      </c>
      <c r="Q76" s="88">
        <v>212.91297328607158</v>
      </c>
      <c r="R76" s="88">
        <v>84.15857577052563</v>
      </c>
      <c r="S76" s="88">
        <v>135.69263974845285</v>
      </c>
      <c r="T76" s="88">
        <v>111.57613447382495</v>
      </c>
      <c r="U76" s="88">
        <v>25.042466938512796</v>
      </c>
      <c r="V76" s="88">
        <v>68.985010751108376</v>
      </c>
      <c r="W76" s="88">
        <v>93.990814142497868</v>
      </c>
      <c r="X76" s="88">
        <v>37.510018803427506</v>
      </c>
      <c r="Y76" s="88">
        <v>145.15125018814473</v>
      </c>
      <c r="Z76" s="88">
        <v>169.34056538820326</v>
      </c>
      <c r="AA76" s="88">
        <v>108.11355124004052</v>
      </c>
      <c r="AB76" s="88">
        <v>104.18386084402013</v>
      </c>
      <c r="AC76" s="88">
        <v>120.47547458593215</v>
      </c>
      <c r="AD76" s="88">
        <v>91.844237458489246</v>
      </c>
      <c r="AE76" s="88">
        <v>187.58188017864427</v>
      </c>
      <c r="AF76" s="88">
        <v>225.12477582332841</v>
      </c>
      <c r="AG76" s="88">
        <v>101.40157119404243</v>
      </c>
      <c r="AH76" s="88">
        <v>201.4934107475797</v>
      </c>
      <c r="AI76" s="88">
        <v>133.17363511659227</v>
      </c>
      <c r="AJ76" s="88">
        <v>202.45559520061232</v>
      </c>
      <c r="AK76" s="88">
        <v>149.65483775449931</v>
      </c>
      <c r="AL76" s="88">
        <v>117.47170958058273</v>
      </c>
      <c r="AM76" s="88">
        <v>218.02815578689896</v>
      </c>
      <c r="AN76" s="88">
        <v>149.60265442077269</v>
      </c>
      <c r="AO76" s="88">
        <v>103.86837402767648</v>
      </c>
      <c r="AP76" s="88">
        <v>80.605016583224128</v>
      </c>
      <c r="AQ76" s="88">
        <v>60.137355295177763</v>
      </c>
      <c r="AR76" s="88">
        <v>49.866602788371075</v>
      </c>
      <c r="AS76" s="88">
        <v>60.479708640871991</v>
      </c>
      <c r="AT76" s="88">
        <v>67.498193682460567</v>
      </c>
      <c r="AU76" s="88">
        <v>193.37905761094069</v>
      </c>
      <c r="AV76" s="88">
        <v>278.62971239673027</v>
      </c>
      <c r="AW76" s="88">
        <v>167.41430383832591</v>
      </c>
      <c r="AX76" s="88">
        <v>146.30932685925146</v>
      </c>
      <c r="AY76" s="88">
        <v>162.70554165712932</v>
      </c>
      <c r="AZ76" s="88">
        <v>94.9833865861644</v>
      </c>
      <c r="BA76" s="88">
        <v>77.197661741731267</v>
      </c>
      <c r="BB76" s="88">
        <v>96.927524461982216</v>
      </c>
      <c r="BC76" s="88">
        <v>152.78553464948357</v>
      </c>
      <c r="BD76" s="88">
        <v>47.904168479951998</v>
      </c>
      <c r="BE76" s="88">
        <v>126.79600276552483</v>
      </c>
      <c r="BF76" s="88">
        <v>119.08371176160573</v>
      </c>
      <c r="BG76" s="88">
        <v>73.198501267080076</v>
      </c>
      <c r="BH76" s="88">
        <v>63.789472995980937</v>
      </c>
      <c r="BI76" s="88">
        <v>147.06316969408414</v>
      </c>
      <c r="BJ76" s="88">
        <v>132.91973284098202</v>
      </c>
      <c r="BK76" s="88">
        <v>134.49943842310785</v>
      </c>
      <c r="BL76" s="88">
        <v>164.26928013942381</v>
      </c>
      <c r="BM76" s="88">
        <v>28.49554909354606</v>
      </c>
      <c r="BN76" s="88">
        <v>90.343104706807793</v>
      </c>
      <c r="BO76" s="88">
        <v>126.47963359841309</v>
      </c>
      <c r="BP76" s="88">
        <v>127.07628634922482</v>
      </c>
      <c r="BQ76" s="88">
        <v>88.792804557558782</v>
      </c>
      <c r="BR76" s="88">
        <v>82.213200971850995</v>
      </c>
      <c r="BS76" s="88">
        <v>99.646073537204359</v>
      </c>
      <c r="BT76" s="88">
        <v>163.37039855449814</v>
      </c>
      <c r="BU76" s="88">
        <v>80.989275165607978</v>
      </c>
      <c r="BV76" s="88">
        <v>125.72709213160563</v>
      </c>
      <c r="BW76" s="88">
        <v>138.93527405713678</v>
      </c>
      <c r="BX76" s="88">
        <v>0</v>
      </c>
      <c r="BY76" s="88">
        <v>53.5038581829115</v>
      </c>
      <c r="BZ76" s="88">
        <v>131.59914083217532</v>
      </c>
      <c r="CA76" s="88">
        <v>114.07678471510116</v>
      </c>
      <c r="CB76" s="88">
        <v>193.44910682998398</v>
      </c>
      <c r="CC76" s="88">
        <v>192.8857119040627</v>
      </c>
      <c r="CD76" s="88">
        <v>54.234728156966284</v>
      </c>
      <c r="CE76" s="88">
        <v>53.737320468485017</v>
      </c>
      <c r="CF76" s="88">
        <v>253.38643186167175</v>
      </c>
      <c r="CG76" s="88">
        <v>23.097268136849266</v>
      </c>
      <c r="CH76" s="88">
        <v>176.13337407195263</v>
      </c>
      <c r="CI76" s="88">
        <v>40.698693937455801</v>
      </c>
      <c r="CJ76" s="88">
        <v>248.57118898448209</v>
      </c>
      <c r="CK76" s="88">
        <v>169.35320433662261</v>
      </c>
      <c r="CL76" s="88">
        <v>97.66227133090031</v>
      </c>
      <c r="CM76" s="88">
        <v>84.447679778746377</v>
      </c>
      <c r="CN76" s="88">
        <v>243.5383141760442</v>
      </c>
      <c r="CO76" s="88">
        <v>102.54429339135261</v>
      </c>
      <c r="CP76" s="88">
        <v>103.84109207296959</v>
      </c>
      <c r="CQ76" s="88">
        <v>89.035854912559458</v>
      </c>
      <c r="CR76" s="88">
        <v>43.648265922358036</v>
      </c>
      <c r="CS76" s="89">
        <v>40.93774880001007</v>
      </c>
    </row>
    <row r="77" spans="2:97" x14ac:dyDescent="0.3">
      <c r="B77" s="83" t="s">
        <v>134</v>
      </c>
      <c r="C77" s="88">
        <v>125.40575415285812</v>
      </c>
      <c r="D77" s="88">
        <v>22.833656157396323</v>
      </c>
      <c r="E77" s="88">
        <v>93.632302705913986</v>
      </c>
      <c r="F77" s="88">
        <v>70.026809915768069</v>
      </c>
      <c r="G77" s="88">
        <v>139.99685300948988</v>
      </c>
      <c r="H77" s="88">
        <v>99.619833975850938</v>
      </c>
      <c r="I77" s="88">
        <v>132.2605082105195</v>
      </c>
      <c r="J77" s="88">
        <v>20.019292315794935</v>
      </c>
      <c r="K77" s="88">
        <v>114.08679335449307</v>
      </c>
      <c r="L77" s="88">
        <v>241.40081184989214</v>
      </c>
      <c r="M77" s="88">
        <v>47.26288962448254</v>
      </c>
      <c r="N77" s="88">
        <v>126.65765657121874</v>
      </c>
      <c r="O77" s="88">
        <v>159.94583788516638</v>
      </c>
      <c r="P77" s="88">
        <v>68.983767113236709</v>
      </c>
      <c r="Q77" s="88">
        <v>184.45628603139804</v>
      </c>
      <c r="R77" s="88">
        <v>30.971488011883203</v>
      </c>
      <c r="S77" s="88">
        <v>152.44095982807787</v>
      </c>
      <c r="T77" s="88">
        <v>79.688766937262045</v>
      </c>
      <c r="U77" s="88">
        <v>30.521615320571041</v>
      </c>
      <c r="V77" s="88">
        <v>34.007615206451497</v>
      </c>
      <c r="W77" s="88">
        <v>96.285417043300029</v>
      </c>
      <c r="X77" s="88">
        <v>56.608917880000938</v>
      </c>
      <c r="Y77" s="88">
        <v>168.18265619455144</v>
      </c>
      <c r="Z77" s="88">
        <v>174.2623511471817</v>
      </c>
      <c r="AA77" s="88">
        <v>90.751878437625052</v>
      </c>
      <c r="AB77" s="88">
        <v>50.872452357757759</v>
      </c>
      <c r="AC77" s="88">
        <v>141.08323292118612</v>
      </c>
      <c r="AD77" s="88">
        <v>56.240459568429905</v>
      </c>
      <c r="AE77" s="88">
        <v>165.01796486304903</v>
      </c>
      <c r="AF77" s="88">
        <v>200.77460680862436</v>
      </c>
      <c r="AG77" s="88">
        <v>50.026675032996472</v>
      </c>
      <c r="AH77" s="88">
        <v>177.79256158685394</v>
      </c>
      <c r="AI77" s="88">
        <v>83.911202525979377</v>
      </c>
      <c r="AJ77" s="88">
        <v>184.15778304868891</v>
      </c>
      <c r="AK77" s="88">
        <v>151.29183276518364</v>
      </c>
      <c r="AL77" s="88">
        <v>108.8441078496443</v>
      </c>
      <c r="AM77" s="88">
        <v>197.96590351640396</v>
      </c>
      <c r="AN77" s="88">
        <v>161.73352175335262</v>
      </c>
      <c r="AO77" s="88">
        <v>111.23208703725534</v>
      </c>
      <c r="AP77" s="88">
        <v>110.44758802964465</v>
      </c>
      <c r="AQ77" s="88">
        <v>59.215399242414605</v>
      </c>
      <c r="AR77" s="88">
        <v>78.7710311070053</v>
      </c>
      <c r="AS77" s="88">
        <v>77.185524927169226</v>
      </c>
      <c r="AT77" s="88">
        <v>54.710040524713747</v>
      </c>
      <c r="AU77" s="88">
        <v>166.67177288763315</v>
      </c>
      <c r="AV77" s="88">
        <v>257.99869042435313</v>
      </c>
      <c r="AW77" s="88">
        <v>139.05569751945865</v>
      </c>
      <c r="AX77" s="88">
        <v>175.01105575697079</v>
      </c>
      <c r="AY77" s="88">
        <v>180.0630028808321</v>
      </c>
      <c r="AZ77" s="88">
        <v>69.926364489767394</v>
      </c>
      <c r="BA77" s="88">
        <v>64.174120964320821</v>
      </c>
      <c r="BB77" s="88">
        <v>49.445402353813293</v>
      </c>
      <c r="BC77" s="88">
        <v>118.13579586107241</v>
      </c>
      <c r="BD77" s="88">
        <v>52.785924465949485</v>
      </c>
      <c r="BE77" s="88">
        <v>136.71551584921596</v>
      </c>
      <c r="BF77" s="88">
        <v>66.510958969886858</v>
      </c>
      <c r="BG77" s="88">
        <v>32.371473152194952</v>
      </c>
      <c r="BH77" s="88">
        <v>40.157918607873441</v>
      </c>
      <c r="BI77" s="88">
        <v>105.02169075776281</v>
      </c>
      <c r="BJ77" s="88">
        <v>129.16355581631791</v>
      </c>
      <c r="BK77" s="88">
        <v>92.779971511426751</v>
      </c>
      <c r="BL77" s="88">
        <v>124.53974628394801</v>
      </c>
      <c r="BM77" s="88">
        <v>70.286755079326539</v>
      </c>
      <c r="BN77" s="88">
        <v>38.675886997320674</v>
      </c>
      <c r="BO77" s="88">
        <v>100.79950287187258</v>
      </c>
      <c r="BP77" s="88">
        <v>156.52164631501637</v>
      </c>
      <c r="BQ77" s="88">
        <v>71.897626874019466</v>
      </c>
      <c r="BR77" s="88">
        <v>82.001239599252074</v>
      </c>
      <c r="BS77" s="88">
        <v>89.627789701501314</v>
      </c>
      <c r="BT77" s="88">
        <v>117.58534878658273</v>
      </c>
      <c r="BU77" s="88">
        <v>55.451722691318615</v>
      </c>
      <c r="BV77" s="88">
        <v>85.206051028562584</v>
      </c>
      <c r="BW77" s="88">
        <v>105.99068721237616</v>
      </c>
      <c r="BX77" s="88">
        <v>53.5038581829115</v>
      </c>
      <c r="BY77" s="88">
        <v>0</v>
      </c>
      <c r="BZ77" s="88">
        <v>114.10848035977615</v>
      </c>
      <c r="CA77" s="88">
        <v>65.199794854356796</v>
      </c>
      <c r="CB77" s="88">
        <v>162.01751167378589</v>
      </c>
      <c r="CC77" s="88">
        <v>200.65003256181294</v>
      </c>
      <c r="CD77" s="88">
        <v>38.115824274604293</v>
      </c>
      <c r="CE77" s="88">
        <v>91.360685820882978</v>
      </c>
      <c r="CF77" s="88">
        <v>233.83312228346134</v>
      </c>
      <c r="CG77" s="88">
        <v>43.34313723536259</v>
      </c>
      <c r="CH77" s="88">
        <v>188.8555254439232</v>
      </c>
      <c r="CI77" s="88">
        <v>40.614840516489622</v>
      </c>
      <c r="CJ77" s="88">
        <v>223.40874975435585</v>
      </c>
      <c r="CK77" s="88">
        <v>147.21185597263388</v>
      </c>
      <c r="CL77" s="88">
        <v>54.962754866040648</v>
      </c>
      <c r="CM77" s="88">
        <v>37.515991440648698</v>
      </c>
      <c r="CN77" s="88">
        <v>220.95106527217993</v>
      </c>
      <c r="CO77" s="88">
        <v>87.573085757996367</v>
      </c>
      <c r="CP77" s="88">
        <v>132.22206954807808</v>
      </c>
      <c r="CQ77" s="88">
        <v>54.106972315599734</v>
      </c>
      <c r="CR77" s="88">
        <v>27.195753484076942</v>
      </c>
      <c r="CS77" s="89">
        <v>22.599132602535327</v>
      </c>
    </row>
    <row r="78" spans="2:97" x14ac:dyDescent="0.3">
      <c r="B78" s="83" t="s">
        <v>135</v>
      </c>
      <c r="C78" s="88">
        <v>27.322478895861799</v>
      </c>
      <c r="D78" s="88">
        <v>126.21342057201842</v>
      </c>
      <c r="E78" s="88">
        <v>200.04125552334801</v>
      </c>
      <c r="F78" s="88">
        <v>69.549147072952636</v>
      </c>
      <c r="G78" s="88">
        <v>60.508552667966434</v>
      </c>
      <c r="H78" s="88">
        <v>90.231812072557844</v>
      </c>
      <c r="I78" s="88">
        <v>19.75224230378527</v>
      </c>
      <c r="J78" s="88">
        <v>96.880620926543131</v>
      </c>
      <c r="K78" s="88">
        <v>222.14160189184409</v>
      </c>
      <c r="L78" s="88">
        <v>132.45234520987415</v>
      </c>
      <c r="M78" s="88">
        <v>144.14044720528423</v>
      </c>
      <c r="N78" s="88">
        <v>240.07420621517912</v>
      </c>
      <c r="O78" s="88">
        <v>46.991919928458849</v>
      </c>
      <c r="P78" s="88">
        <v>58.374916405962267</v>
      </c>
      <c r="Q78" s="88">
        <v>84.516270813324198</v>
      </c>
      <c r="R78" s="88">
        <v>109.11876725111757</v>
      </c>
      <c r="S78" s="88">
        <v>262.02536806092559</v>
      </c>
      <c r="T78" s="88">
        <v>43.018482882769135</v>
      </c>
      <c r="U78" s="88">
        <v>128.20304804027933</v>
      </c>
      <c r="V78" s="88">
        <v>80.283335534581099</v>
      </c>
      <c r="W78" s="88">
        <v>209.26446129850413</v>
      </c>
      <c r="X78" s="88">
        <v>159.96870259301403</v>
      </c>
      <c r="Y78" s="88">
        <v>274.61022067018882</v>
      </c>
      <c r="Z78" s="88">
        <v>287.79927576099709</v>
      </c>
      <c r="AA78" s="88">
        <v>24.066011998818873</v>
      </c>
      <c r="AB78" s="88">
        <v>125.10172427494902</v>
      </c>
      <c r="AC78" s="88">
        <v>248.53281179967371</v>
      </c>
      <c r="AD78" s="88">
        <v>165.1020439368325</v>
      </c>
      <c r="AE78" s="88">
        <v>56.264340675088761</v>
      </c>
      <c r="AF78" s="88">
        <v>93.89134243356709</v>
      </c>
      <c r="AG78" s="88">
        <v>99.029341498020187</v>
      </c>
      <c r="AH78" s="88">
        <v>70.339847972411192</v>
      </c>
      <c r="AI78" s="88">
        <v>93.777912895244896</v>
      </c>
      <c r="AJ78" s="88">
        <v>71.462817674339064</v>
      </c>
      <c r="AK78" s="88">
        <v>265.13193922650572</v>
      </c>
      <c r="AL78" s="88">
        <v>222.90868847418622</v>
      </c>
      <c r="AM78" s="88">
        <v>86.602058106450244</v>
      </c>
      <c r="AN78" s="88">
        <v>273.30101778090796</v>
      </c>
      <c r="AO78" s="88">
        <v>223.36588036644699</v>
      </c>
      <c r="AP78" s="88">
        <v>211.22588061838081</v>
      </c>
      <c r="AQ78" s="88">
        <v>171.18794155077296</v>
      </c>
      <c r="AR78" s="88">
        <v>178.97104871893359</v>
      </c>
      <c r="AS78" s="88">
        <v>184.1944365474522</v>
      </c>
      <c r="AT78" s="88">
        <v>65.192020953424006</v>
      </c>
      <c r="AU78" s="88">
        <v>64.391322166053016</v>
      </c>
      <c r="AV78" s="88">
        <v>147.30785304905984</v>
      </c>
      <c r="AW78" s="88">
        <v>43.581140189581987</v>
      </c>
      <c r="AX78" s="88">
        <v>277.45066300200421</v>
      </c>
      <c r="AY78" s="88">
        <v>289.73060928461734</v>
      </c>
      <c r="AZ78" s="88">
        <v>182.23544470840875</v>
      </c>
      <c r="BA78" s="88">
        <v>178.26232695042535</v>
      </c>
      <c r="BB78" s="88">
        <v>146.81847326245912</v>
      </c>
      <c r="BC78" s="88">
        <v>49.080247885169797</v>
      </c>
      <c r="BD78" s="88">
        <v>83.798607424559322</v>
      </c>
      <c r="BE78" s="88">
        <v>248.63001755954065</v>
      </c>
      <c r="BF78" s="88">
        <v>109.42570931845287</v>
      </c>
      <c r="BG78" s="88">
        <v>142.72643785639752</v>
      </c>
      <c r="BH78" s="88">
        <v>154.25840310740764</v>
      </c>
      <c r="BI78" s="88">
        <v>69.600045028978926</v>
      </c>
      <c r="BJ78" s="88">
        <v>243.26179019570782</v>
      </c>
      <c r="BK78" s="88">
        <v>65.551589512858797</v>
      </c>
      <c r="BL78" s="88">
        <v>69.500646444348789</v>
      </c>
      <c r="BM78" s="88">
        <v>159.96481170114055</v>
      </c>
      <c r="BN78" s="88">
        <v>130.45357775018235</v>
      </c>
      <c r="BO78" s="88">
        <v>21.829291203049433</v>
      </c>
      <c r="BP78" s="88">
        <v>258.22653443855711</v>
      </c>
      <c r="BQ78" s="88">
        <v>43.99449908141375</v>
      </c>
      <c r="BR78" s="88">
        <v>195.05616606948399</v>
      </c>
      <c r="BS78" s="88">
        <v>32.963745055821057</v>
      </c>
      <c r="BT78" s="88">
        <v>90.368319558260126</v>
      </c>
      <c r="BU78" s="88">
        <v>58.665667556820658</v>
      </c>
      <c r="BV78" s="88">
        <v>61.295613750350043</v>
      </c>
      <c r="BW78" s="88">
        <v>40.106668647058036</v>
      </c>
      <c r="BX78" s="88">
        <v>131.59914083217532</v>
      </c>
      <c r="BY78" s="88">
        <v>114.10848035977615</v>
      </c>
      <c r="BZ78" s="88">
        <v>0</v>
      </c>
      <c r="CA78" s="88">
        <v>88.907204404708068</v>
      </c>
      <c r="CB78" s="88">
        <v>70.434795049418639</v>
      </c>
      <c r="CC78" s="88">
        <v>313.81254188520285</v>
      </c>
      <c r="CD78" s="88">
        <v>81.759393353826155</v>
      </c>
      <c r="CE78" s="88">
        <v>185.25626710604274</v>
      </c>
      <c r="CF78" s="88">
        <v>122.26114953639208</v>
      </c>
      <c r="CG78" s="88">
        <v>108.72992083072113</v>
      </c>
      <c r="CH78" s="88">
        <v>300.5147153769156</v>
      </c>
      <c r="CI78" s="88">
        <v>91.910764372646582</v>
      </c>
      <c r="CJ78" s="88">
        <v>117.37632139182854</v>
      </c>
      <c r="CK78" s="88">
        <v>38.28719366538494</v>
      </c>
      <c r="CL78" s="88">
        <v>73.246453112218859</v>
      </c>
      <c r="CM78" s="88">
        <v>88.015882713854893</v>
      </c>
      <c r="CN78" s="88">
        <v>111.94214658299097</v>
      </c>
      <c r="CO78" s="88">
        <v>201.34734683651402</v>
      </c>
      <c r="CP78" s="88">
        <v>234.49293681141614</v>
      </c>
      <c r="CQ78" s="88">
        <v>63.371169626698816</v>
      </c>
      <c r="CR78" s="88">
        <v>138.53823640818524</v>
      </c>
      <c r="CS78" s="89">
        <v>101.79922239700349</v>
      </c>
    </row>
    <row r="79" spans="2:97" x14ac:dyDescent="0.3">
      <c r="B79" s="83" t="s">
        <v>136</v>
      </c>
      <c r="C79" s="88">
        <v>85.307042936885367</v>
      </c>
      <c r="D79" s="88">
        <v>59.789848338153924</v>
      </c>
      <c r="E79" s="88">
        <v>156.60303085401404</v>
      </c>
      <c r="F79" s="88">
        <v>19.373470808801919</v>
      </c>
      <c r="G79" s="88">
        <v>86.260933528226104</v>
      </c>
      <c r="H79" s="88">
        <v>34.49429055155202</v>
      </c>
      <c r="I79" s="88">
        <v>100.29454095618976</v>
      </c>
      <c r="J79" s="88">
        <v>47.427600260437821</v>
      </c>
      <c r="K79" s="88">
        <v>175.4991138408958</v>
      </c>
      <c r="L79" s="88">
        <v>194.49034396337629</v>
      </c>
      <c r="M79" s="88">
        <v>112.18109530779761</v>
      </c>
      <c r="N79" s="88">
        <v>180.30737654005713</v>
      </c>
      <c r="O79" s="88">
        <v>124.50184282834782</v>
      </c>
      <c r="P79" s="88">
        <v>81.814419997942224</v>
      </c>
      <c r="Q79" s="88">
        <v>134.03852839748535</v>
      </c>
      <c r="R79" s="88">
        <v>38.269587483876833</v>
      </c>
      <c r="S79" s="88">
        <v>211.58591350132335</v>
      </c>
      <c r="T79" s="88">
        <v>46.199465390585395</v>
      </c>
      <c r="U79" s="88">
        <v>94.684687810013841</v>
      </c>
      <c r="V79" s="88">
        <v>48.244552263746385</v>
      </c>
      <c r="W79" s="88">
        <v>152.5443933670054</v>
      </c>
      <c r="X79" s="88">
        <v>121.55273863732208</v>
      </c>
      <c r="Y79" s="88">
        <v>229.38963809576413</v>
      </c>
      <c r="Z79" s="88">
        <v>225.98668597103898</v>
      </c>
      <c r="AA79" s="88">
        <v>74.653441952894823</v>
      </c>
      <c r="AB79" s="88">
        <v>41.227555060975938</v>
      </c>
      <c r="AC79" s="88">
        <v>202.19224522223666</v>
      </c>
      <c r="AD79" s="88">
        <v>92.289030631565296</v>
      </c>
      <c r="AE79" s="88">
        <v>123.42423688972201</v>
      </c>
      <c r="AF79" s="88">
        <v>154.03966552235951</v>
      </c>
      <c r="AG79" s="88">
        <v>17.605806725627907</v>
      </c>
      <c r="AH79" s="88">
        <v>133.52770969067879</v>
      </c>
      <c r="AI79" s="88">
        <v>19.101216037754497</v>
      </c>
      <c r="AJ79" s="88">
        <v>145.94612897776705</v>
      </c>
      <c r="AK79" s="88">
        <v>202.23043780254028</v>
      </c>
      <c r="AL79" s="88">
        <v>156.8027396392487</v>
      </c>
      <c r="AM79" s="88">
        <v>156.45582092554636</v>
      </c>
      <c r="AN79" s="88">
        <v>218.27609565407562</v>
      </c>
      <c r="AO79" s="88">
        <v>168.48242150083078</v>
      </c>
      <c r="AP79" s="88">
        <v>174.84998645138108</v>
      </c>
      <c r="AQ79" s="88">
        <v>119.60822820677343</v>
      </c>
      <c r="AR79" s="88">
        <v>143.74731176733047</v>
      </c>
      <c r="AS79" s="88">
        <v>140.43465024210028</v>
      </c>
      <c r="AT79" s="88">
        <v>69.787998427121536</v>
      </c>
      <c r="AU79" s="88">
        <v>119.71809231557529</v>
      </c>
      <c r="AV79" s="88">
        <v>212.61424488896645</v>
      </c>
      <c r="AW79" s="88">
        <v>93.139011805096828</v>
      </c>
      <c r="AX79" s="88">
        <v>237.98759934487123</v>
      </c>
      <c r="AY79" s="88">
        <v>238.53303489426179</v>
      </c>
      <c r="AZ79" s="88">
        <v>112.37549836499075</v>
      </c>
      <c r="BA79" s="88">
        <v>117.63707672896437</v>
      </c>
      <c r="BB79" s="88">
        <v>68.32855212452543</v>
      </c>
      <c r="BC79" s="88">
        <v>66.634621165700139</v>
      </c>
      <c r="BD79" s="88">
        <v>86.817943165570355</v>
      </c>
      <c r="BE79" s="88">
        <v>193.41182429378611</v>
      </c>
      <c r="BF79" s="88">
        <v>20.521264413663392</v>
      </c>
      <c r="BG79" s="88">
        <v>76.512514463771296</v>
      </c>
      <c r="BH79" s="88">
        <v>95.208430366905162</v>
      </c>
      <c r="BI79" s="88">
        <v>44.79477265037378</v>
      </c>
      <c r="BJ79" s="88">
        <v>178.25415451091419</v>
      </c>
      <c r="BK79" s="88">
        <v>34.997783581746802</v>
      </c>
      <c r="BL79" s="88">
        <v>65.354599658730606</v>
      </c>
      <c r="BM79" s="88">
        <v>134.90652251561858</v>
      </c>
      <c r="BN79" s="88">
        <v>53.746157855935557</v>
      </c>
      <c r="BO79" s="88">
        <v>67.839371133776766</v>
      </c>
      <c r="BP79" s="88">
        <v>219.99359830381277</v>
      </c>
      <c r="BQ79" s="88">
        <v>67.591441373512311</v>
      </c>
      <c r="BR79" s="88">
        <v>138.89454610297489</v>
      </c>
      <c r="BS79" s="88">
        <v>84.097977272622614</v>
      </c>
      <c r="BT79" s="88">
        <v>52.961511211503421</v>
      </c>
      <c r="BU79" s="88">
        <v>53.353482711376564</v>
      </c>
      <c r="BV79" s="88">
        <v>31.877853672735753</v>
      </c>
      <c r="BW79" s="88">
        <v>59.710483600547029</v>
      </c>
      <c r="BX79" s="88">
        <v>114.07678471510116</v>
      </c>
      <c r="BY79" s="88">
        <v>65.199794854356796</v>
      </c>
      <c r="BZ79" s="88">
        <v>88.907204404708068</v>
      </c>
      <c r="CA79" s="88">
        <v>0</v>
      </c>
      <c r="CB79" s="88">
        <v>109.7216233464529</v>
      </c>
      <c r="CC79" s="88">
        <v>253.04386410413522</v>
      </c>
      <c r="CD79" s="88">
        <v>67.983290467472358</v>
      </c>
      <c r="CE79" s="88">
        <v>156.55837824037445</v>
      </c>
      <c r="CF79" s="88">
        <v>190.70757453050857</v>
      </c>
      <c r="CG79" s="88">
        <v>95.899286295777131</v>
      </c>
      <c r="CH79" s="88">
        <v>244.65122728420471</v>
      </c>
      <c r="CI79" s="88">
        <v>81.929117093919331</v>
      </c>
      <c r="CJ79" s="88">
        <v>174.55228909107322</v>
      </c>
      <c r="CK79" s="88">
        <v>108.45535904496337</v>
      </c>
      <c r="CL79" s="88">
        <v>22.551938949272841</v>
      </c>
      <c r="CM79" s="88">
        <v>29.636763265404699</v>
      </c>
      <c r="CN79" s="88">
        <v>175.06834168557947</v>
      </c>
      <c r="CO79" s="88">
        <v>134.28028544385771</v>
      </c>
      <c r="CP79" s="88">
        <v>195.88321270767585</v>
      </c>
      <c r="CQ79" s="88">
        <v>38.419291227969929</v>
      </c>
      <c r="CR79" s="88">
        <v>90.978737480950372</v>
      </c>
      <c r="CS79" s="89">
        <v>73.601249125041619</v>
      </c>
    </row>
    <row r="80" spans="2:97" x14ac:dyDescent="0.3">
      <c r="B80" s="83" t="s">
        <v>137</v>
      </c>
      <c r="C80" s="88">
        <v>44.181253607116687</v>
      </c>
      <c r="D80" s="88">
        <v>165.72362735378741</v>
      </c>
      <c r="E80" s="88">
        <v>254.82484544808469</v>
      </c>
      <c r="F80" s="88">
        <v>95.160612470753293</v>
      </c>
      <c r="G80" s="88">
        <v>23.479115114588719</v>
      </c>
      <c r="H80" s="88">
        <v>86.809353709616175</v>
      </c>
      <c r="I80" s="88">
        <v>55.16071596997989</v>
      </c>
      <c r="J80" s="88">
        <v>142.12584680555159</v>
      </c>
      <c r="K80" s="88">
        <v>275.89256690199704</v>
      </c>
      <c r="L80" s="88">
        <v>85.514856399801559</v>
      </c>
      <c r="M80" s="88">
        <v>201.65305752554059</v>
      </c>
      <c r="N80" s="88">
        <v>286.79183729210121</v>
      </c>
      <c r="O80" s="88">
        <v>49.011429197089697</v>
      </c>
      <c r="P80" s="88">
        <v>124.40208730394899</v>
      </c>
      <c r="Q80" s="88">
        <v>24.558146679286885</v>
      </c>
      <c r="R80" s="88">
        <v>144.56837396236938</v>
      </c>
      <c r="S80" s="88">
        <v>314.45510400166205</v>
      </c>
      <c r="T80" s="88">
        <v>83.2821007406164</v>
      </c>
      <c r="U80" s="88">
        <v>184.11643352105114</v>
      </c>
      <c r="V80" s="88">
        <v>129.85876373218784</v>
      </c>
      <c r="W80" s="88">
        <v>257.38835674159787</v>
      </c>
      <c r="X80" s="88">
        <v>215.64736647211629</v>
      </c>
      <c r="Y80" s="88">
        <v>329.83235797681306</v>
      </c>
      <c r="Z80" s="88">
        <v>333.58698297827164</v>
      </c>
      <c r="AA80" s="88">
        <v>88.701994623667687</v>
      </c>
      <c r="AB80" s="88">
        <v>150.81601114037628</v>
      </c>
      <c r="AC80" s="88">
        <v>302.8693666743884</v>
      </c>
      <c r="AD80" s="88">
        <v>201.41529327654035</v>
      </c>
      <c r="AE80" s="88">
        <v>33.955776772511896</v>
      </c>
      <c r="AF80" s="88">
        <v>46.523819995259757</v>
      </c>
      <c r="AG80" s="88">
        <v>126.44621496435188</v>
      </c>
      <c r="AH80" s="88">
        <v>33.142553593645246</v>
      </c>
      <c r="AI80" s="88">
        <v>101.23386502231502</v>
      </c>
      <c r="AJ80" s="88">
        <v>53.734272297376101</v>
      </c>
      <c r="AK80" s="88">
        <v>309.99437104118414</v>
      </c>
      <c r="AL80" s="88">
        <v>265.09138599650856</v>
      </c>
      <c r="AM80" s="88">
        <v>55.678075053242722</v>
      </c>
      <c r="AN80" s="88">
        <v>323.2933354808888</v>
      </c>
      <c r="AO80" s="88">
        <v>272.79686440024244</v>
      </c>
      <c r="AP80" s="88">
        <v>269.30555798682371</v>
      </c>
      <c r="AQ80" s="88">
        <v>221.17733733727914</v>
      </c>
      <c r="AR80" s="88">
        <v>236.65363404554958</v>
      </c>
      <c r="AS80" s="88">
        <v>238.40141430748167</v>
      </c>
      <c r="AT80" s="88">
        <v>126.32932538752416</v>
      </c>
      <c r="AU80" s="88">
        <v>18.897537382682305</v>
      </c>
      <c r="AV80" s="88">
        <v>104.1315983178264</v>
      </c>
      <c r="AW80" s="88">
        <v>27.218302796180208</v>
      </c>
      <c r="AX80" s="88">
        <v>335.32300282483919</v>
      </c>
      <c r="AY80" s="88">
        <v>342.05373461944293</v>
      </c>
      <c r="AZ80" s="88">
        <v>221.11458011687733</v>
      </c>
      <c r="BA80" s="88">
        <v>223.37556375384571</v>
      </c>
      <c r="BB80" s="88">
        <v>178.01042509416661</v>
      </c>
      <c r="BC80" s="88">
        <v>44.27213715571849</v>
      </c>
      <c r="BD80" s="88">
        <v>147.736340388564</v>
      </c>
      <c r="BE80" s="88">
        <v>298.23104114980032</v>
      </c>
      <c r="BF80" s="88">
        <v>126.37162650166613</v>
      </c>
      <c r="BG80" s="88">
        <v>183.19160945600777</v>
      </c>
      <c r="BH80" s="88">
        <v>199.55055658562642</v>
      </c>
      <c r="BI80" s="88">
        <v>66.220692357455022</v>
      </c>
      <c r="BJ80" s="88">
        <v>286.43845417718831</v>
      </c>
      <c r="BK80" s="88">
        <v>74.728566633838014</v>
      </c>
      <c r="BL80" s="88">
        <v>47.224277903402779</v>
      </c>
      <c r="BM80" s="88">
        <v>220.70361703081505</v>
      </c>
      <c r="BN80" s="88">
        <v>162.97042624382152</v>
      </c>
      <c r="BO80" s="88">
        <v>67.370877037813145</v>
      </c>
      <c r="BP80" s="88">
        <v>316.37049822308791</v>
      </c>
      <c r="BQ80" s="88">
        <v>105.78468807800471</v>
      </c>
      <c r="BR80" s="88">
        <v>243.21486146643059</v>
      </c>
      <c r="BS80" s="88">
        <v>101.61542379466145</v>
      </c>
      <c r="BT80" s="88">
        <v>72.564202445183938</v>
      </c>
      <c r="BU80" s="88">
        <v>112.86921344254549</v>
      </c>
      <c r="BV80" s="88">
        <v>79.45511736967488</v>
      </c>
      <c r="BW80" s="88">
        <v>56.107859108799538</v>
      </c>
      <c r="BX80" s="88">
        <v>193.44910682998398</v>
      </c>
      <c r="BY80" s="88">
        <v>162.01751167378589</v>
      </c>
      <c r="BZ80" s="88">
        <v>70.434795049418639</v>
      </c>
      <c r="CA80" s="88">
        <v>109.7216233464529</v>
      </c>
      <c r="CB80" s="88">
        <v>0</v>
      </c>
      <c r="CC80" s="88">
        <v>360.48265627991998</v>
      </c>
      <c r="CD80" s="88">
        <v>139.6106800125784</v>
      </c>
      <c r="CE80" s="88">
        <v>245.58357697359045</v>
      </c>
      <c r="CF80" s="88">
        <v>84.59142686668946</v>
      </c>
      <c r="CG80" s="88">
        <v>170.44407694017033</v>
      </c>
      <c r="CH80" s="88">
        <v>350.24984393123293</v>
      </c>
      <c r="CI80" s="88">
        <v>152.76740410527322</v>
      </c>
      <c r="CJ80" s="88">
        <v>65.056853163673551</v>
      </c>
      <c r="CK80" s="88">
        <v>38.902387646721643</v>
      </c>
      <c r="CL80" s="88">
        <v>108.25391251096775</v>
      </c>
      <c r="CM80" s="88">
        <v>126.57091513336587</v>
      </c>
      <c r="CN80" s="88">
        <v>67.233914572896452</v>
      </c>
      <c r="CO80" s="88">
        <v>242.57803059880783</v>
      </c>
      <c r="CP80" s="88">
        <v>292.10799681180845</v>
      </c>
      <c r="CQ80" s="88">
        <v>108.51140391185474</v>
      </c>
      <c r="CR80" s="88">
        <v>189.03828176012433</v>
      </c>
      <c r="CS80" s="89">
        <v>157.34930880149631</v>
      </c>
    </row>
    <row r="81" spans="2:97" x14ac:dyDescent="0.3">
      <c r="B81" s="83" t="s">
        <v>138</v>
      </c>
      <c r="C81" s="88">
        <v>325.97020289185309</v>
      </c>
      <c r="D81" s="88">
        <v>194.79490554941671</v>
      </c>
      <c r="E81" s="88">
        <v>119.32826866433918</v>
      </c>
      <c r="F81" s="88">
        <v>265.45655657241878</v>
      </c>
      <c r="G81" s="88">
        <v>337.53366927298941</v>
      </c>
      <c r="H81" s="88">
        <v>284.15379229924673</v>
      </c>
      <c r="I81" s="88">
        <v>332.52861738905239</v>
      </c>
      <c r="J81" s="88">
        <v>219.70477345975829</v>
      </c>
      <c r="K81" s="88">
        <v>97.682505048591779</v>
      </c>
      <c r="L81" s="88">
        <v>441.85468657904238</v>
      </c>
      <c r="M81" s="88">
        <v>174.04625112599246</v>
      </c>
      <c r="N81" s="88">
        <v>74.007672367083146</v>
      </c>
      <c r="O81" s="88">
        <v>360.2770302698645</v>
      </c>
      <c r="P81" s="88">
        <v>261.04870786663378</v>
      </c>
      <c r="Q81" s="88">
        <v>383.82813312713017</v>
      </c>
      <c r="R81" s="88">
        <v>216.15917689222681</v>
      </c>
      <c r="S81" s="88">
        <v>60.723460241391841</v>
      </c>
      <c r="T81" s="88">
        <v>279.99263835330618</v>
      </c>
      <c r="U81" s="88">
        <v>187.19687019738996</v>
      </c>
      <c r="V81" s="88">
        <v>234.57714432757325</v>
      </c>
      <c r="W81" s="88">
        <v>104.56671386864929</v>
      </c>
      <c r="X81" s="88">
        <v>157.15314827940853</v>
      </c>
      <c r="Y81" s="88">
        <v>66.162167261112259</v>
      </c>
      <c r="Z81" s="88">
        <v>27.079427482193701</v>
      </c>
      <c r="AA81" s="88">
        <v>289.91450390050915</v>
      </c>
      <c r="AB81" s="88">
        <v>214.5952420768561</v>
      </c>
      <c r="AC81" s="88">
        <v>77.854095041773206</v>
      </c>
      <c r="AD81" s="88">
        <v>161.34465147671119</v>
      </c>
      <c r="AE81" s="88">
        <v>365.65968078116629</v>
      </c>
      <c r="AF81" s="88">
        <v>401.1193963429568</v>
      </c>
      <c r="AG81" s="88">
        <v>235.52791059977713</v>
      </c>
      <c r="AH81" s="88">
        <v>378.33012720737753</v>
      </c>
      <c r="AI81" s="88">
        <v>266.88003745634376</v>
      </c>
      <c r="AJ81" s="88">
        <v>384.6130843713733</v>
      </c>
      <c r="AK81" s="88">
        <v>50.860348992061354</v>
      </c>
      <c r="AL81" s="88">
        <v>96.473603089282207</v>
      </c>
      <c r="AM81" s="88">
        <v>398.60115466120823</v>
      </c>
      <c r="AN81" s="88">
        <v>44.036344906226525</v>
      </c>
      <c r="AO81" s="88">
        <v>90.747384547523936</v>
      </c>
      <c r="AP81" s="88">
        <v>119.34762017124199</v>
      </c>
      <c r="AQ81" s="88">
        <v>142.6431247311495</v>
      </c>
      <c r="AR81" s="88">
        <v>143.78821070517196</v>
      </c>
      <c r="AS81" s="88">
        <v>132.81518407995694</v>
      </c>
      <c r="AT81" s="88">
        <v>249.97751213572806</v>
      </c>
      <c r="AU81" s="88">
        <v>366.77786392244053</v>
      </c>
      <c r="AV81" s="88">
        <v>458.61912138412322</v>
      </c>
      <c r="AW81" s="88">
        <v>339.08019949885613</v>
      </c>
      <c r="AX81" s="88">
        <v>82.586193950548122</v>
      </c>
      <c r="AY81" s="88">
        <v>42.463975876986119</v>
      </c>
      <c r="AZ81" s="88">
        <v>140.98707898283945</v>
      </c>
      <c r="BA81" s="88">
        <v>137.26795196022161</v>
      </c>
      <c r="BB81" s="88">
        <v>186.58859136948041</v>
      </c>
      <c r="BC81" s="88">
        <v>316.2125463066705</v>
      </c>
      <c r="BD81" s="88">
        <v>236.56680296451296</v>
      </c>
      <c r="BE81" s="88">
        <v>66.231622735580316</v>
      </c>
      <c r="BF81" s="88">
        <v>241.18939431485711</v>
      </c>
      <c r="BG81" s="88">
        <v>177.36505937812228</v>
      </c>
      <c r="BH81" s="88">
        <v>161.3417232641996</v>
      </c>
      <c r="BI81" s="88">
        <v>297.7739334159902</v>
      </c>
      <c r="BJ81" s="88">
        <v>75.088986874468475</v>
      </c>
      <c r="BK81" s="88">
        <v>287.02237298322694</v>
      </c>
      <c r="BL81" s="88">
        <v>318.32535590938772</v>
      </c>
      <c r="BM81" s="88">
        <v>167.2510896374759</v>
      </c>
      <c r="BN81" s="88">
        <v>199.50655303596216</v>
      </c>
      <c r="BO81" s="88">
        <v>301.44953346435074</v>
      </c>
      <c r="BP81" s="88">
        <v>91.185616146275962</v>
      </c>
      <c r="BQ81" s="88">
        <v>270.19914146126592</v>
      </c>
      <c r="BR81" s="88">
        <v>118.8146751861246</v>
      </c>
      <c r="BS81" s="88">
        <v>285.8217837660888</v>
      </c>
      <c r="BT81" s="88">
        <v>303.21904310961719</v>
      </c>
      <c r="BU81" s="88">
        <v>255.44366705257926</v>
      </c>
      <c r="BV81" s="88">
        <v>281.23317603250257</v>
      </c>
      <c r="BW81" s="88">
        <v>305.28445156250814</v>
      </c>
      <c r="BX81" s="88">
        <v>192.8857119040627</v>
      </c>
      <c r="BY81" s="88">
        <v>200.65003256181294</v>
      </c>
      <c r="BZ81" s="88">
        <v>313.81254188520285</v>
      </c>
      <c r="CA81" s="88">
        <v>253.04386410413522</v>
      </c>
      <c r="CB81" s="88">
        <v>360.48265627991998</v>
      </c>
      <c r="CC81" s="88">
        <v>0</v>
      </c>
      <c r="CD81" s="88">
        <v>232.67461637641935</v>
      </c>
      <c r="CE81" s="88">
        <v>146.65582792121907</v>
      </c>
      <c r="CF81" s="88">
        <v>434.47834949081533</v>
      </c>
      <c r="CG81" s="88">
        <v>211.71375769667642</v>
      </c>
      <c r="CH81" s="88">
        <v>22.963688282292086</v>
      </c>
      <c r="CI81" s="88">
        <v>225.31919033878873</v>
      </c>
      <c r="CJ81" s="88">
        <v>423.44678707692441</v>
      </c>
      <c r="CK81" s="88">
        <v>347.85503896671736</v>
      </c>
      <c r="CL81" s="88">
        <v>252.32934025550625</v>
      </c>
      <c r="CM81" s="88">
        <v>234.041435168372</v>
      </c>
      <c r="CN81" s="88">
        <v>421.47204999780149</v>
      </c>
      <c r="CO81" s="88">
        <v>118.86889793072929</v>
      </c>
      <c r="CP81" s="88">
        <v>101.31009072883235</v>
      </c>
      <c r="CQ81" s="88">
        <v>254.54841593797985</v>
      </c>
      <c r="CR81" s="88">
        <v>175.2819060337315</v>
      </c>
      <c r="CS81" s="89">
        <v>212.92547177027427</v>
      </c>
    </row>
    <row r="82" spans="2:97" x14ac:dyDescent="0.3">
      <c r="B82" s="83" t="s">
        <v>139</v>
      </c>
      <c r="C82" s="88">
        <v>98.411897986852082</v>
      </c>
      <c r="D82" s="88">
        <v>58.113931865995347</v>
      </c>
      <c r="E82" s="88">
        <v>118.37998706493453</v>
      </c>
      <c r="F82" s="88">
        <v>61.695818411240062</v>
      </c>
      <c r="G82" s="88">
        <v>119.99251056334798</v>
      </c>
      <c r="H82" s="88">
        <v>97.550424596093023</v>
      </c>
      <c r="I82" s="88">
        <v>101.09524475258407</v>
      </c>
      <c r="J82" s="88">
        <v>31.065571207856969</v>
      </c>
      <c r="K82" s="88">
        <v>140.41290850265119</v>
      </c>
      <c r="L82" s="88">
        <v>213.18234483921856</v>
      </c>
      <c r="M82" s="88">
        <v>62.930714683866988</v>
      </c>
      <c r="N82" s="88">
        <v>159.34404200771303</v>
      </c>
      <c r="O82" s="88">
        <v>128.70688929785464</v>
      </c>
      <c r="P82" s="88">
        <v>30.939176379513643</v>
      </c>
      <c r="Q82" s="88">
        <v>159.80479285672075</v>
      </c>
      <c r="R82" s="88">
        <v>52.887128357774429</v>
      </c>
      <c r="S82" s="88">
        <v>180.26720695620361</v>
      </c>
      <c r="T82" s="88">
        <v>57.341485516172888</v>
      </c>
      <c r="U82" s="88">
        <v>46.469823904327818</v>
      </c>
      <c r="V82" s="88">
        <v>19.922734966138112</v>
      </c>
      <c r="W82" s="88">
        <v>128.37104268053335</v>
      </c>
      <c r="X82" s="88">
        <v>78.324929521227645</v>
      </c>
      <c r="Y82" s="88">
        <v>193.18464878243503</v>
      </c>
      <c r="Z82" s="88">
        <v>207.01910396250699</v>
      </c>
      <c r="AA82" s="88">
        <v>57.69432516348504</v>
      </c>
      <c r="AB82" s="88">
        <v>76.027111850379171</v>
      </c>
      <c r="AC82" s="88">
        <v>166.90223431326942</v>
      </c>
      <c r="AD82" s="88">
        <v>94.303145967085186</v>
      </c>
      <c r="AE82" s="88">
        <v>136.25545668802246</v>
      </c>
      <c r="AF82" s="88">
        <v>173.38813029755627</v>
      </c>
      <c r="AG82" s="88">
        <v>60.95569921532789</v>
      </c>
      <c r="AH82" s="88">
        <v>149.84108172216023</v>
      </c>
      <c r="AI82" s="88">
        <v>86.180339678454018</v>
      </c>
      <c r="AJ82" s="88">
        <v>153.18408437080748</v>
      </c>
      <c r="AK82" s="88">
        <v>184.82547952502273</v>
      </c>
      <c r="AL82" s="88">
        <v>144.46486124026725</v>
      </c>
      <c r="AM82" s="88">
        <v>168.03201935393488</v>
      </c>
      <c r="AN82" s="88">
        <v>191.67125823720548</v>
      </c>
      <c r="AO82" s="88">
        <v>142.00064775863558</v>
      </c>
      <c r="AP82" s="88">
        <v>130.61162243037052</v>
      </c>
      <c r="AQ82" s="88">
        <v>90.149847148812668</v>
      </c>
      <c r="AR82" s="88">
        <v>98.037181911750011</v>
      </c>
      <c r="AS82" s="88">
        <v>102.45038609008037</v>
      </c>
      <c r="AT82" s="88">
        <v>17.470650922880473</v>
      </c>
      <c r="AU82" s="88">
        <v>140.64532518324029</v>
      </c>
      <c r="AV82" s="88">
        <v>228.70580192100098</v>
      </c>
      <c r="AW82" s="88">
        <v>114.03919074518849</v>
      </c>
      <c r="AX82" s="88">
        <v>196.92037244033989</v>
      </c>
      <c r="AY82" s="88">
        <v>207.97689933654419</v>
      </c>
      <c r="AZ82" s="88">
        <v>107.67299162589474</v>
      </c>
      <c r="BA82" s="88">
        <v>99.402998037470852</v>
      </c>
      <c r="BB82" s="88">
        <v>84.451812929886302</v>
      </c>
      <c r="BC82" s="88">
        <v>98.550831635938067</v>
      </c>
      <c r="BD82" s="88">
        <v>19.640587231023652</v>
      </c>
      <c r="BE82" s="88">
        <v>167.12052640671001</v>
      </c>
      <c r="BF82" s="88">
        <v>79.664032472915224</v>
      </c>
      <c r="BG82" s="88">
        <v>70.420286419672209</v>
      </c>
      <c r="BH82" s="88">
        <v>76.40335111926656</v>
      </c>
      <c r="BI82" s="88">
        <v>94.183831885144897</v>
      </c>
      <c r="BJ82" s="88">
        <v>163.92178233448345</v>
      </c>
      <c r="BK82" s="88">
        <v>81.769394099278159</v>
      </c>
      <c r="BL82" s="88">
        <v>110.48845508086995</v>
      </c>
      <c r="BM82" s="88">
        <v>81.09297378875597</v>
      </c>
      <c r="BN82" s="88">
        <v>70.397544108514225</v>
      </c>
      <c r="BO82" s="88">
        <v>73.298218632229407</v>
      </c>
      <c r="BP82" s="88">
        <v>177.78114246682949</v>
      </c>
      <c r="BQ82" s="88">
        <v>37.777097846312643</v>
      </c>
      <c r="BR82" s="88">
        <v>114.32482139815716</v>
      </c>
      <c r="BS82" s="88">
        <v>53.420170540642175</v>
      </c>
      <c r="BT82" s="88">
        <v>112.0605110589169</v>
      </c>
      <c r="BU82" s="88">
        <v>26.809627433027561</v>
      </c>
      <c r="BV82" s="88">
        <v>72.770484832375445</v>
      </c>
      <c r="BW82" s="88">
        <v>84.721365828135404</v>
      </c>
      <c r="BX82" s="88">
        <v>54.234728156966284</v>
      </c>
      <c r="BY82" s="88">
        <v>38.115824274604293</v>
      </c>
      <c r="BZ82" s="88">
        <v>81.759393353826155</v>
      </c>
      <c r="CA82" s="88">
        <v>67.983290467472358</v>
      </c>
      <c r="CB82" s="88">
        <v>139.6106800125784</v>
      </c>
      <c r="CC82" s="88">
        <v>232.67461637641935</v>
      </c>
      <c r="CD82" s="88">
        <v>0</v>
      </c>
      <c r="CE82" s="88">
        <v>106.0373312367704</v>
      </c>
      <c r="CF82" s="88">
        <v>203.84647046605448</v>
      </c>
      <c r="CG82" s="88">
        <v>31.828060880978629</v>
      </c>
      <c r="CH82" s="88">
        <v>218.86964862213162</v>
      </c>
      <c r="CI82" s="88">
        <v>14.816953405012386</v>
      </c>
      <c r="CJ82" s="88">
        <v>196.66234996366498</v>
      </c>
      <c r="CK82" s="88">
        <v>118.00805447540711</v>
      </c>
      <c r="CL82" s="88">
        <v>47.535751618701056</v>
      </c>
      <c r="CM82" s="88">
        <v>40.720662709767481</v>
      </c>
      <c r="CN82" s="88">
        <v>192.59526025308884</v>
      </c>
      <c r="CO82" s="88">
        <v>124.1114366568045</v>
      </c>
      <c r="CP82" s="88">
        <v>153.73860908058063</v>
      </c>
      <c r="CQ82" s="88">
        <v>35.832640292369511</v>
      </c>
      <c r="CR82" s="88">
        <v>58.059167934301776</v>
      </c>
      <c r="CS82" s="89">
        <v>20.148315857322089</v>
      </c>
    </row>
    <row r="83" spans="2:97" x14ac:dyDescent="0.3">
      <c r="B83" s="83" t="s">
        <v>140</v>
      </c>
      <c r="C83" s="88">
        <v>204.24237233172954</v>
      </c>
      <c r="D83" s="88">
        <v>102.88904392373067</v>
      </c>
      <c r="E83" s="88">
        <v>32.421245396969056</v>
      </c>
      <c r="F83" s="88">
        <v>159.73370666884816</v>
      </c>
      <c r="G83" s="88">
        <v>225.43032779506154</v>
      </c>
      <c r="H83" s="88">
        <v>190.94504284065229</v>
      </c>
      <c r="I83" s="88">
        <v>204.99330006800801</v>
      </c>
      <c r="J83" s="88">
        <v>109.99387292300993</v>
      </c>
      <c r="K83" s="88">
        <v>49.907229068851137</v>
      </c>
      <c r="L83" s="88">
        <v>317.70092397491277</v>
      </c>
      <c r="M83" s="88">
        <v>44.952654641165587</v>
      </c>
      <c r="N83" s="88">
        <v>86.206449021549588</v>
      </c>
      <c r="O83" s="88">
        <v>231.9158125929348</v>
      </c>
      <c r="P83" s="88">
        <v>127.36358995335138</v>
      </c>
      <c r="Q83" s="88">
        <v>265.77055131596063</v>
      </c>
      <c r="R83" s="88">
        <v>120.73331903373202</v>
      </c>
      <c r="S83" s="88">
        <v>86.699431065382214</v>
      </c>
      <c r="T83" s="88">
        <v>162.69979770187791</v>
      </c>
      <c r="U83" s="88">
        <v>62.928757915685956</v>
      </c>
      <c r="V83" s="88">
        <v>117.3528509787519</v>
      </c>
      <c r="W83" s="88">
        <v>63.833104358389107</v>
      </c>
      <c r="X83" s="88">
        <v>36.188654548796698</v>
      </c>
      <c r="Y83" s="88">
        <v>92.847564619230155</v>
      </c>
      <c r="Z83" s="88">
        <v>126.05218850108292</v>
      </c>
      <c r="AA83" s="88">
        <v>161.63811698444604</v>
      </c>
      <c r="AB83" s="88">
        <v>134.89726841240719</v>
      </c>
      <c r="AC83" s="88">
        <v>70.191401170822516</v>
      </c>
      <c r="AD83" s="88">
        <v>100.34820301518248</v>
      </c>
      <c r="AE83" s="88">
        <v>241.10775370589263</v>
      </c>
      <c r="AF83" s="88">
        <v>278.58544539619686</v>
      </c>
      <c r="AG83" s="88">
        <v>141.0429443257332</v>
      </c>
      <c r="AH83" s="88">
        <v>254.95806482895927</v>
      </c>
      <c r="AI83" s="88">
        <v>175.2343966586196</v>
      </c>
      <c r="AJ83" s="88">
        <v>256.19159117095722</v>
      </c>
      <c r="AK83" s="88">
        <v>110.29476463391742</v>
      </c>
      <c r="AL83" s="88">
        <v>92.002521095085982</v>
      </c>
      <c r="AM83" s="88">
        <v>271.74267791453627</v>
      </c>
      <c r="AN83" s="88">
        <v>102.61948463837827</v>
      </c>
      <c r="AO83" s="88">
        <v>66.041718993969909</v>
      </c>
      <c r="AP83" s="88">
        <v>28.257116997550465</v>
      </c>
      <c r="AQ83" s="88">
        <v>52.320712418168746</v>
      </c>
      <c r="AR83" s="88">
        <v>16.318053081246678</v>
      </c>
      <c r="AS83" s="88">
        <v>31.983224167335599</v>
      </c>
      <c r="AT83" s="88">
        <v>120.6904644159322</v>
      </c>
      <c r="AU83" s="88">
        <v>246.44559017524628</v>
      </c>
      <c r="AV83" s="88">
        <v>332.36002803175887</v>
      </c>
      <c r="AW83" s="88">
        <v>220.05545629527606</v>
      </c>
      <c r="AX83" s="88">
        <v>92.678571584268255</v>
      </c>
      <c r="AY83" s="88">
        <v>112.27180925093377</v>
      </c>
      <c r="AZ83" s="88">
        <v>92.047097505527972</v>
      </c>
      <c r="BA83" s="88">
        <v>69.960546026635612</v>
      </c>
      <c r="BB83" s="88">
        <v>117.1382522806539</v>
      </c>
      <c r="BC83" s="88">
        <v>203.69054844470355</v>
      </c>
      <c r="BD83" s="88">
        <v>101.63955726532858</v>
      </c>
      <c r="BE83" s="88">
        <v>83.187499548329811</v>
      </c>
      <c r="BF83" s="88">
        <v>156.12257072920337</v>
      </c>
      <c r="BG83" s="88">
        <v>93.15593480521558</v>
      </c>
      <c r="BH83" s="88">
        <v>74.398090435290811</v>
      </c>
      <c r="BI83" s="88">
        <v>194.74482619319937</v>
      </c>
      <c r="BJ83" s="88">
        <v>100.13892581873677</v>
      </c>
      <c r="BK83" s="88">
        <v>182.22885733223438</v>
      </c>
      <c r="BL83" s="88">
        <v>213.2804973233138</v>
      </c>
      <c r="BM83" s="88">
        <v>25.291457955414732</v>
      </c>
      <c r="BN83" s="88">
        <v>117.93341301065128</v>
      </c>
      <c r="BO83" s="88">
        <v>179.2249743311279</v>
      </c>
      <c r="BP83" s="88">
        <v>73.469605758713769</v>
      </c>
      <c r="BQ83" s="88">
        <v>142.10809830762003</v>
      </c>
      <c r="BR83" s="88">
        <v>59.299236463705554</v>
      </c>
      <c r="BS83" s="88">
        <v>153.38278110546017</v>
      </c>
      <c r="BT83" s="88">
        <v>208.6914706915739</v>
      </c>
      <c r="BU83" s="88">
        <v>132.71671442920206</v>
      </c>
      <c r="BV83" s="88">
        <v>173.94805257499135</v>
      </c>
      <c r="BW83" s="88">
        <v>190.20595629453649</v>
      </c>
      <c r="BX83" s="88">
        <v>53.737320468485017</v>
      </c>
      <c r="BY83" s="88">
        <v>91.360685820882978</v>
      </c>
      <c r="BZ83" s="88">
        <v>185.25626710604274</v>
      </c>
      <c r="CA83" s="88">
        <v>156.55837824037445</v>
      </c>
      <c r="CB83" s="88">
        <v>245.58357697359045</v>
      </c>
      <c r="CC83" s="88">
        <v>146.65582792121907</v>
      </c>
      <c r="CD83" s="88">
        <v>106.0373312367704</v>
      </c>
      <c r="CE83" s="88">
        <v>0</v>
      </c>
      <c r="CF83" s="88">
        <v>307.12297688921592</v>
      </c>
      <c r="CG83" s="88">
        <v>76.53534511376445</v>
      </c>
      <c r="CH83" s="88">
        <v>127.62272935705126</v>
      </c>
      <c r="CI83" s="88">
        <v>93.708560859551042</v>
      </c>
      <c r="CJ83" s="88">
        <v>301.99747840341439</v>
      </c>
      <c r="CK83" s="88">
        <v>222.85488791108887</v>
      </c>
      <c r="CL83" s="88">
        <v>144.25385243408519</v>
      </c>
      <c r="CM83" s="88">
        <v>128.20537532673893</v>
      </c>
      <c r="CN83" s="88">
        <v>297.16963585843928</v>
      </c>
      <c r="CO83" s="88">
        <v>87.140811434172306</v>
      </c>
      <c r="CP83" s="88">
        <v>50.845057117560714</v>
      </c>
      <c r="CQ83" s="88">
        <v>138.57494863278322</v>
      </c>
      <c r="CR83" s="88">
        <v>67.089770109685531</v>
      </c>
      <c r="CS83" s="89">
        <v>89.131337062500165</v>
      </c>
    </row>
    <row r="84" spans="2:97" x14ac:dyDescent="0.3">
      <c r="B84" s="83" t="s">
        <v>141</v>
      </c>
      <c r="C84" s="88">
        <v>108.85800065539981</v>
      </c>
      <c r="D84" s="88">
        <v>242.07390963538575</v>
      </c>
      <c r="E84" s="88">
        <v>322.219962282979</v>
      </c>
      <c r="F84" s="88">
        <v>173.8611971271861</v>
      </c>
      <c r="G84" s="88">
        <v>106.92472393490952</v>
      </c>
      <c r="H84" s="88">
        <v>171.07070394729536</v>
      </c>
      <c r="I84" s="88">
        <v>102.75501696564891</v>
      </c>
      <c r="J84" s="88">
        <v>215.03485670091337</v>
      </c>
      <c r="K84" s="88">
        <v>344.24864333912092</v>
      </c>
      <c r="L84" s="88">
        <v>18.095106384922556</v>
      </c>
      <c r="M84" s="88">
        <v>266.39957618883659</v>
      </c>
      <c r="N84" s="88">
        <v>360.49077884914487</v>
      </c>
      <c r="O84" s="88">
        <v>75.302943733514468</v>
      </c>
      <c r="P84" s="88">
        <v>179.76566165219327</v>
      </c>
      <c r="Q84" s="88">
        <v>60.969083119822535</v>
      </c>
      <c r="R84" s="88">
        <v>222.13209170277889</v>
      </c>
      <c r="S84" s="88">
        <v>384.02136344603804</v>
      </c>
      <c r="T84" s="88">
        <v>155.00524898966208</v>
      </c>
      <c r="U84" s="88">
        <v>250.31492560844288</v>
      </c>
      <c r="V84" s="88">
        <v>199.90947765271756</v>
      </c>
      <c r="W84" s="88">
        <v>330.01081848444232</v>
      </c>
      <c r="X84" s="88">
        <v>282.15300148269853</v>
      </c>
      <c r="Y84" s="88">
        <v>396.86831443594298</v>
      </c>
      <c r="Z84" s="88">
        <v>408.06879237515147</v>
      </c>
      <c r="AA84" s="88">
        <v>146.26779142709844</v>
      </c>
      <c r="AB84" s="88">
        <v>231.84014136856703</v>
      </c>
      <c r="AC84" s="88">
        <v>370.73386122914008</v>
      </c>
      <c r="AD84" s="88">
        <v>279.7549265360762</v>
      </c>
      <c r="AE84" s="88">
        <v>68.962897652984154</v>
      </c>
      <c r="AF84" s="88">
        <v>38.090233669760515</v>
      </c>
      <c r="AG84" s="88">
        <v>206.24362978150489</v>
      </c>
      <c r="AH84" s="88">
        <v>57.284311928922563</v>
      </c>
      <c r="AI84" s="88">
        <v>184.64335167243414</v>
      </c>
      <c r="AJ84" s="88">
        <v>50.932815927713079</v>
      </c>
      <c r="AK84" s="88">
        <v>384.95377420853208</v>
      </c>
      <c r="AL84" s="88">
        <v>341.31531557982782</v>
      </c>
      <c r="AM84" s="88">
        <v>35.906294947396454</v>
      </c>
      <c r="AN84" s="88">
        <v>394.83211378712338</v>
      </c>
      <c r="AO84" s="88">
        <v>344.58307633500539</v>
      </c>
      <c r="AP84" s="88">
        <v>333.40091974053041</v>
      </c>
      <c r="AQ84" s="88">
        <v>292.28698311031093</v>
      </c>
      <c r="AR84" s="88">
        <v>301.21659056377842</v>
      </c>
      <c r="AS84" s="88">
        <v>306.27628876579877</v>
      </c>
      <c r="AT84" s="88">
        <v>187.45169823654081</v>
      </c>
      <c r="AU84" s="88">
        <v>71.125331411011118</v>
      </c>
      <c r="AV84" s="88">
        <v>25.434302238922591</v>
      </c>
      <c r="AW84" s="88">
        <v>97.750904955016125</v>
      </c>
      <c r="AX84" s="88">
        <v>399.55005410021766</v>
      </c>
      <c r="AY84" s="88">
        <v>411.7542899412752</v>
      </c>
      <c r="AZ84" s="88">
        <v>298.5811818587398</v>
      </c>
      <c r="BA84" s="88">
        <v>297.642119502686</v>
      </c>
      <c r="BB84" s="88">
        <v>257.90077650373314</v>
      </c>
      <c r="BC84" s="88">
        <v>124.20120747822027</v>
      </c>
      <c r="BD84" s="88">
        <v>205.48348681403991</v>
      </c>
      <c r="BE84" s="88">
        <v>369.98872173938048</v>
      </c>
      <c r="BF84" s="88">
        <v>208.87652979198307</v>
      </c>
      <c r="BG84" s="88">
        <v>259.41550690154861</v>
      </c>
      <c r="BH84" s="88">
        <v>273.46661720361345</v>
      </c>
      <c r="BI84" s="88">
        <v>149.52281103939487</v>
      </c>
      <c r="BJ84" s="88">
        <v>362.25543027847016</v>
      </c>
      <c r="BK84" s="88">
        <v>156.2266012161524</v>
      </c>
      <c r="BL84" s="88">
        <v>131.58716965473599</v>
      </c>
      <c r="BM84" s="88">
        <v>281.85439423641037</v>
      </c>
      <c r="BN84" s="88">
        <v>242.10763543284642</v>
      </c>
      <c r="BO84" s="88">
        <v>133.04190112292451</v>
      </c>
      <c r="BP84" s="88">
        <v>380.31572985964959</v>
      </c>
      <c r="BQ84" s="88">
        <v>166.18022792269605</v>
      </c>
      <c r="BR84" s="88">
        <v>315.7309025307224</v>
      </c>
      <c r="BS84" s="88">
        <v>153.7518608013265</v>
      </c>
      <c r="BT84" s="88">
        <v>157.12881903914084</v>
      </c>
      <c r="BU84" s="88">
        <v>179.36225585695101</v>
      </c>
      <c r="BV84" s="88">
        <v>159.02416182897844</v>
      </c>
      <c r="BW84" s="88">
        <v>131.92386571057071</v>
      </c>
      <c r="BX84" s="88">
        <v>253.38643186167175</v>
      </c>
      <c r="BY84" s="88">
        <v>233.83312228346134</v>
      </c>
      <c r="BZ84" s="88">
        <v>122.26114953639208</v>
      </c>
      <c r="CA84" s="88">
        <v>190.70757453050857</v>
      </c>
      <c r="CB84" s="88">
        <v>84.59142686668946</v>
      </c>
      <c r="CC84" s="88">
        <v>434.47834949081533</v>
      </c>
      <c r="CD84" s="88">
        <v>203.84647046605448</v>
      </c>
      <c r="CE84" s="88">
        <v>307.12297688921592</v>
      </c>
      <c r="CF84" s="88">
        <v>0</v>
      </c>
      <c r="CG84" s="88">
        <v>230.73020608495688</v>
      </c>
      <c r="CH84" s="88">
        <v>422.04771382341579</v>
      </c>
      <c r="CI84" s="88">
        <v>214.12928930891661</v>
      </c>
      <c r="CJ84" s="88">
        <v>28.672808616124954</v>
      </c>
      <c r="CK84" s="88">
        <v>86.623387366784499</v>
      </c>
      <c r="CL84" s="88">
        <v>184.47425809076756</v>
      </c>
      <c r="CM84" s="88">
        <v>202.21642612250773</v>
      </c>
      <c r="CN84" s="88">
        <v>18.580532293128982</v>
      </c>
      <c r="CO84" s="88">
        <v>319.12251178182345</v>
      </c>
      <c r="CP84" s="88">
        <v>356.68122728126463</v>
      </c>
      <c r="CQ84" s="88">
        <v>180.13859847650414</v>
      </c>
      <c r="CR84" s="88">
        <v>259.52303437640757</v>
      </c>
      <c r="CS84" s="89">
        <v>223.87358888318039</v>
      </c>
    </row>
    <row r="85" spans="2:97" x14ac:dyDescent="0.3">
      <c r="B85" s="83" t="s">
        <v>142</v>
      </c>
      <c r="C85" s="88">
        <v>128.19413305608182</v>
      </c>
      <c r="D85" s="88">
        <v>65.986191665918341</v>
      </c>
      <c r="E85" s="88">
        <v>93.670959615519862</v>
      </c>
      <c r="F85" s="88">
        <v>92.451452238180778</v>
      </c>
      <c r="G85" s="88">
        <v>151.42347938794398</v>
      </c>
      <c r="H85" s="88">
        <v>127.60630944375536</v>
      </c>
      <c r="I85" s="88">
        <v>128.46164159756526</v>
      </c>
      <c r="J85" s="88">
        <v>50.751891590785206</v>
      </c>
      <c r="K85" s="88">
        <v>116.02341006782402</v>
      </c>
      <c r="L85" s="88">
        <v>241.16731113967066</v>
      </c>
      <c r="M85" s="88">
        <v>37.68354180058892</v>
      </c>
      <c r="N85" s="88">
        <v>140.4190604307596</v>
      </c>
      <c r="O85" s="88">
        <v>155.46585335220948</v>
      </c>
      <c r="P85" s="88">
        <v>51.178005789915801</v>
      </c>
      <c r="Q85" s="88">
        <v>189.81701772401863</v>
      </c>
      <c r="R85" s="88">
        <v>70.939334990891595</v>
      </c>
      <c r="S85" s="88">
        <v>156.10489545319555</v>
      </c>
      <c r="T85" s="88">
        <v>88.98955807371027</v>
      </c>
      <c r="U85" s="88">
        <v>27.466388523143319</v>
      </c>
      <c r="V85" s="88">
        <v>48.628216805848567</v>
      </c>
      <c r="W85" s="88">
        <v>109.77606112689003</v>
      </c>
      <c r="X85" s="88">
        <v>54.560749531488092</v>
      </c>
      <c r="Y85" s="88">
        <v>166.84396562412303</v>
      </c>
      <c r="Z85" s="88">
        <v>187.24637468792855</v>
      </c>
      <c r="AA85" s="88">
        <v>85.119043532807851</v>
      </c>
      <c r="AB85" s="88">
        <v>93.074169332961404</v>
      </c>
      <c r="AC85" s="88">
        <v>141.51128582476741</v>
      </c>
      <c r="AD85" s="88">
        <v>93.229733638036734</v>
      </c>
      <c r="AE85" s="88">
        <v>164.59586249882946</v>
      </c>
      <c r="AF85" s="88">
        <v>202.10905343513667</v>
      </c>
      <c r="AG85" s="88">
        <v>85.285715047970442</v>
      </c>
      <c r="AH85" s="88">
        <v>178.47787765540826</v>
      </c>
      <c r="AI85" s="88">
        <v>114.79822572370142</v>
      </c>
      <c r="AJ85" s="88">
        <v>179.80113694691315</v>
      </c>
      <c r="AK85" s="88">
        <v>166.42974288603298</v>
      </c>
      <c r="AL85" s="88">
        <v>130.43607026082944</v>
      </c>
      <c r="AM85" s="88">
        <v>195.26083310865982</v>
      </c>
      <c r="AN85" s="88">
        <v>169.12407151193389</v>
      </c>
      <c r="AO85" s="88">
        <v>121.43096387566743</v>
      </c>
      <c r="AP85" s="88">
        <v>102.75426109086463</v>
      </c>
      <c r="AQ85" s="88">
        <v>72.848358570833355</v>
      </c>
      <c r="AR85" s="88">
        <v>71.004798850181032</v>
      </c>
      <c r="AS85" s="88">
        <v>78.987478129189398</v>
      </c>
      <c r="AT85" s="88">
        <v>44.400972690570981</v>
      </c>
      <c r="AU85" s="88">
        <v>170.28431488964998</v>
      </c>
      <c r="AV85" s="88">
        <v>255.91657304966759</v>
      </c>
      <c r="AW85" s="88">
        <v>144.33822106019082</v>
      </c>
      <c r="AX85" s="88">
        <v>168.82088282358325</v>
      </c>
      <c r="AY85" s="88">
        <v>183.47661547418357</v>
      </c>
      <c r="AZ85" s="88">
        <v>101.06504933658661</v>
      </c>
      <c r="BA85" s="88">
        <v>86.949327037667942</v>
      </c>
      <c r="BB85" s="88">
        <v>92.045415264553625</v>
      </c>
      <c r="BC85" s="88">
        <v>130.15579017141846</v>
      </c>
      <c r="BD85" s="88">
        <v>25.519173581104393</v>
      </c>
      <c r="BE85" s="88">
        <v>145.49049221504836</v>
      </c>
      <c r="BF85" s="88">
        <v>103.76694830280624</v>
      </c>
      <c r="BG85" s="88">
        <v>71.152760243285044</v>
      </c>
      <c r="BH85" s="88">
        <v>68.194357801151639</v>
      </c>
      <c r="BI85" s="88">
        <v>125.75892703622218</v>
      </c>
      <c r="BJ85" s="88">
        <v>147.80941988440006</v>
      </c>
      <c r="BK85" s="88">
        <v>113.27026844344671</v>
      </c>
      <c r="BL85" s="88">
        <v>142.30998797528028</v>
      </c>
      <c r="BM85" s="88">
        <v>51.246682879801597</v>
      </c>
      <c r="BN85" s="88">
        <v>82.010495234639336</v>
      </c>
      <c r="BO85" s="88">
        <v>103.40164211123488</v>
      </c>
      <c r="BP85" s="88">
        <v>149.58588686534338</v>
      </c>
      <c r="BQ85" s="88">
        <v>65.713322950141617</v>
      </c>
      <c r="BR85" s="88">
        <v>96.721494336868062</v>
      </c>
      <c r="BS85" s="88">
        <v>77.136997925951746</v>
      </c>
      <c r="BT85" s="88">
        <v>143.01448193526056</v>
      </c>
      <c r="BU85" s="88">
        <v>58.306670626030638</v>
      </c>
      <c r="BV85" s="88">
        <v>104.34281262367115</v>
      </c>
      <c r="BW85" s="88">
        <v>116.21338795980576</v>
      </c>
      <c r="BX85" s="88">
        <v>23.097268136849266</v>
      </c>
      <c r="BY85" s="88">
        <v>43.34313723536259</v>
      </c>
      <c r="BZ85" s="88">
        <v>108.72992083072113</v>
      </c>
      <c r="CA85" s="88">
        <v>95.899286295777131</v>
      </c>
      <c r="CB85" s="88">
        <v>170.44407694017033</v>
      </c>
      <c r="CC85" s="88">
        <v>211.71375769667642</v>
      </c>
      <c r="CD85" s="88">
        <v>31.828060880978629</v>
      </c>
      <c r="CE85" s="88">
        <v>76.53534511376445</v>
      </c>
      <c r="CF85" s="88">
        <v>230.73020608495688</v>
      </c>
      <c r="CG85" s="88">
        <v>0</v>
      </c>
      <c r="CH85" s="88">
        <v>196.01607107720278</v>
      </c>
      <c r="CI85" s="88">
        <v>17.691692478706099</v>
      </c>
      <c r="CJ85" s="88">
        <v>225.54342474133273</v>
      </c>
      <c r="CK85" s="88">
        <v>146.35266202176018</v>
      </c>
      <c r="CL85" s="88">
        <v>77.556219454372524</v>
      </c>
      <c r="CM85" s="88">
        <v>66.55411580135646</v>
      </c>
      <c r="CN85" s="88">
        <v>220.63433490083059</v>
      </c>
      <c r="CO85" s="88">
        <v>112.82241013318648</v>
      </c>
      <c r="CP85" s="88">
        <v>126.04336066819749</v>
      </c>
      <c r="CQ85" s="88">
        <v>67.404154607741759</v>
      </c>
      <c r="CR85" s="88">
        <v>46.653248950400155</v>
      </c>
      <c r="CS85" s="89">
        <v>23.567558415820148</v>
      </c>
    </row>
    <row r="86" spans="2:97" x14ac:dyDescent="0.3">
      <c r="B86" s="83" t="s">
        <v>143</v>
      </c>
      <c r="C86" s="88">
        <v>314.15046635018746</v>
      </c>
      <c r="D86" s="88">
        <v>185.36669891297524</v>
      </c>
      <c r="E86" s="88">
        <v>102.50173776486746</v>
      </c>
      <c r="F86" s="88">
        <v>255.78810998608992</v>
      </c>
      <c r="G86" s="88">
        <v>327.64047525469562</v>
      </c>
      <c r="H86" s="88">
        <v>276.87449401193533</v>
      </c>
      <c r="I86" s="88">
        <v>319.57373930682894</v>
      </c>
      <c r="J86" s="88">
        <v>208.41674756931562</v>
      </c>
      <c r="K86" s="88">
        <v>80.255046051130051</v>
      </c>
      <c r="L86" s="88">
        <v>430.16503555611013</v>
      </c>
      <c r="M86" s="88">
        <v>158.40532308243098</v>
      </c>
      <c r="N86" s="88">
        <v>64.509512466539306</v>
      </c>
      <c r="O86" s="88">
        <v>347.30468653249198</v>
      </c>
      <c r="P86" s="88">
        <v>246.23778047420129</v>
      </c>
      <c r="Q86" s="88">
        <v>373.1336513831302</v>
      </c>
      <c r="R86" s="88">
        <v>206.98143483262268</v>
      </c>
      <c r="S86" s="88">
        <v>40.933301337798014</v>
      </c>
      <c r="T86" s="88">
        <v>268.54208447881979</v>
      </c>
      <c r="U86" s="88">
        <v>172.71821793199695</v>
      </c>
      <c r="V86" s="88">
        <v>222.41887906254195</v>
      </c>
      <c r="W86" s="88">
        <v>92.861594616240922</v>
      </c>
      <c r="X86" s="88">
        <v>141.69917401724004</v>
      </c>
      <c r="Y86" s="88">
        <v>43.295115641714531</v>
      </c>
      <c r="Z86" s="88">
        <v>28.305200097881261</v>
      </c>
      <c r="AA86" s="88">
        <v>276.48485170368087</v>
      </c>
      <c r="AB86" s="88">
        <v>207.78032600182848</v>
      </c>
      <c r="AC86" s="88">
        <v>57.6298835100961</v>
      </c>
      <c r="AD86" s="88">
        <v>154.63955111561452</v>
      </c>
      <c r="AE86" s="88">
        <v>353.53423885691313</v>
      </c>
      <c r="AF86" s="88">
        <v>389.60361562576469</v>
      </c>
      <c r="AG86" s="88">
        <v>227.04667788061073</v>
      </c>
      <c r="AH86" s="88">
        <v>366.52194054246587</v>
      </c>
      <c r="AI86" s="88">
        <v>259.54820354636348</v>
      </c>
      <c r="AJ86" s="88">
        <v>371.74442997547953</v>
      </c>
      <c r="AK86" s="88">
        <v>47.448679187507935</v>
      </c>
      <c r="AL86" s="88">
        <v>90.912513708482564</v>
      </c>
      <c r="AM86" s="88">
        <v>386.14227633475406</v>
      </c>
      <c r="AN86" s="88">
        <v>27.219875291374176</v>
      </c>
      <c r="AO86" s="88">
        <v>77.624194084808764</v>
      </c>
      <c r="AP86" s="88">
        <v>99.719532065098477</v>
      </c>
      <c r="AQ86" s="88">
        <v>129.84463465633215</v>
      </c>
      <c r="AR86" s="88">
        <v>126.41960689379013</v>
      </c>
      <c r="AS86" s="88">
        <v>117.16093566446014</v>
      </c>
      <c r="AT86" s="88">
        <v>235.93150158042425</v>
      </c>
      <c r="AU86" s="88">
        <v>355.52447411411157</v>
      </c>
      <c r="AV86" s="88">
        <v>446.51871057983311</v>
      </c>
      <c r="AW86" s="88">
        <v>327.89165271251181</v>
      </c>
      <c r="AX86" s="88">
        <v>59.700143934626531</v>
      </c>
      <c r="AY86" s="88">
        <v>19.503923402216707</v>
      </c>
      <c r="AZ86" s="88">
        <v>134.35605500625928</v>
      </c>
      <c r="BA86" s="88">
        <v>127.24027817807672</v>
      </c>
      <c r="BB86" s="88">
        <v>180.15581630429605</v>
      </c>
      <c r="BC86" s="88">
        <v>306.0384502260568</v>
      </c>
      <c r="BD86" s="88">
        <v>221.24684114620686</v>
      </c>
      <c r="BE86" s="88">
        <v>52.142510531403282</v>
      </c>
      <c r="BF86" s="88">
        <v>234.33506432718596</v>
      </c>
      <c r="BG86" s="88">
        <v>168.2171817633338</v>
      </c>
      <c r="BH86" s="88">
        <v>150.75183882446311</v>
      </c>
      <c r="BI86" s="88">
        <v>289.05212166689665</v>
      </c>
      <c r="BJ86" s="88">
        <v>70.780304481836808</v>
      </c>
      <c r="BK86" s="88">
        <v>277.84961586026316</v>
      </c>
      <c r="BL86" s="88">
        <v>309.50749586720275</v>
      </c>
      <c r="BM86" s="88">
        <v>149.49656580106972</v>
      </c>
      <c r="BN86" s="88">
        <v>191.82990993085866</v>
      </c>
      <c r="BO86" s="88">
        <v>289.31937891891425</v>
      </c>
      <c r="BP86" s="88">
        <v>68.475412816485246</v>
      </c>
      <c r="BQ86" s="88">
        <v>256.61650687270617</v>
      </c>
      <c r="BR86" s="88">
        <v>107.05264861374637</v>
      </c>
      <c r="BS86" s="88">
        <v>271.48700045137508</v>
      </c>
      <c r="BT86" s="88">
        <v>296.01015162707625</v>
      </c>
      <c r="BU86" s="88">
        <v>242.6856773997516</v>
      </c>
      <c r="BV86" s="88">
        <v>271.55092298894192</v>
      </c>
      <c r="BW86" s="88">
        <v>294.52990284959776</v>
      </c>
      <c r="BX86" s="88">
        <v>176.13337407195263</v>
      </c>
      <c r="BY86" s="88">
        <v>188.8555254439232</v>
      </c>
      <c r="BZ86" s="88">
        <v>300.5147153769156</v>
      </c>
      <c r="CA86" s="88">
        <v>244.65122728420471</v>
      </c>
      <c r="CB86" s="88">
        <v>350.24984393123293</v>
      </c>
      <c r="CC86" s="88">
        <v>22.963688282292086</v>
      </c>
      <c r="CD86" s="88">
        <v>218.86964862213162</v>
      </c>
      <c r="CE86" s="88">
        <v>127.62272935705126</v>
      </c>
      <c r="CF86" s="88">
        <v>422.04771382341579</v>
      </c>
      <c r="CG86" s="88">
        <v>196.01607107720278</v>
      </c>
      <c r="CH86" s="88">
        <v>0</v>
      </c>
      <c r="CI86" s="88">
        <v>210.49708522895759</v>
      </c>
      <c r="CJ86" s="88">
        <v>412.26226465604697</v>
      </c>
      <c r="CK86" s="88">
        <v>335.52966672710664</v>
      </c>
      <c r="CL86" s="88">
        <v>242.03333103267249</v>
      </c>
      <c r="CM86" s="88">
        <v>223.72447465711619</v>
      </c>
      <c r="CN86" s="88">
        <v>409.66996671132364</v>
      </c>
      <c r="CO86" s="88">
        <v>112.25659061900289</v>
      </c>
      <c r="CP86" s="88">
        <v>80.22165960546468</v>
      </c>
      <c r="CQ86" s="88">
        <v>242.96238146415243</v>
      </c>
      <c r="CR86" s="88">
        <v>162.58406430285089</v>
      </c>
      <c r="CS86" s="89">
        <v>199.2264967738457</v>
      </c>
    </row>
    <row r="87" spans="2:97" x14ac:dyDescent="0.3">
      <c r="B87" s="83" t="s">
        <v>144</v>
      </c>
      <c r="C87" s="88">
        <v>110.66622266742901</v>
      </c>
      <c r="D87" s="88">
        <v>62.955341293703675</v>
      </c>
      <c r="E87" s="88">
        <v>108.77008127333777</v>
      </c>
      <c r="F87" s="88">
        <v>76.457972895680356</v>
      </c>
      <c r="G87" s="88">
        <v>133.75364297614789</v>
      </c>
      <c r="H87" s="88">
        <v>112.20069392427961</v>
      </c>
      <c r="I87" s="88">
        <v>111.57434676037381</v>
      </c>
      <c r="J87" s="88">
        <v>40.632876150581112</v>
      </c>
      <c r="K87" s="88">
        <v>131.05565158266006</v>
      </c>
      <c r="L87" s="88">
        <v>224.20105530739716</v>
      </c>
      <c r="M87" s="88">
        <v>52.522379916257862</v>
      </c>
      <c r="N87" s="88">
        <v>152.85679559326198</v>
      </c>
      <c r="O87" s="88">
        <v>138.8264359038757</v>
      </c>
      <c r="P87" s="88">
        <v>35.760375781441013</v>
      </c>
      <c r="Q87" s="88">
        <v>172.27259359280526</v>
      </c>
      <c r="R87" s="88">
        <v>62.418984088927203</v>
      </c>
      <c r="S87" s="88">
        <v>171.12985848713103</v>
      </c>
      <c r="T87" s="88">
        <v>71.412569412479456</v>
      </c>
      <c r="U87" s="88">
        <v>38.182346565651535</v>
      </c>
      <c r="V87" s="88">
        <v>33.707816236480468</v>
      </c>
      <c r="W87" s="88">
        <v>121.90229315600043</v>
      </c>
      <c r="X87" s="88">
        <v>68.877178718176921</v>
      </c>
      <c r="Y87" s="88">
        <v>182.86376538264662</v>
      </c>
      <c r="Z87" s="88">
        <v>200.23294845140319</v>
      </c>
      <c r="AA87" s="88">
        <v>68.067872722204669</v>
      </c>
      <c r="AB87" s="88">
        <v>85.500914933069154</v>
      </c>
      <c r="AC87" s="88">
        <v>157.07137447440326</v>
      </c>
      <c r="AD87" s="88">
        <v>95.760862069580966</v>
      </c>
      <c r="AE87" s="88">
        <v>147.46699350375229</v>
      </c>
      <c r="AF87" s="88">
        <v>184.89674036935136</v>
      </c>
      <c r="AG87" s="88">
        <v>73.440444795838644</v>
      </c>
      <c r="AH87" s="88">
        <v>161.27468700003311</v>
      </c>
      <c r="AI87" s="88">
        <v>100.41655948781938</v>
      </c>
      <c r="AJ87" s="88">
        <v>163.24530984703773</v>
      </c>
      <c r="AK87" s="88">
        <v>178.68463531892314</v>
      </c>
      <c r="AL87" s="88">
        <v>140.31097107192784</v>
      </c>
      <c r="AM87" s="88">
        <v>178.51281500301627</v>
      </c>
      <c r="AN87" s="88">
        <v>183.41566774017039</v>
      </c>
      <c r="AO87" s="88">
        <v>134.61844644858465</v>
      </c>
      <c r="AP87" s="88">
        <v>119.31892391164986</v>
      </c>
      <c r="AQ87" s="88">
        <v>83.957899022870834</v>
      </c>
      <c r="AR87" s="88">
        <v>87.096478550128879</v>
      </c>
      <c r="AS87" s="88">
        <v>93.388393042962846</v>
      </c>
      <c r="AT87" s="88">
        <v>26.982477184045621</v>
      </c>
      <c r="AU87" s="88">
        <v>152.81421270319515</v>
      </c>
      <c r="AV87" s="88">
        <v>239.21709403814927</v>
      </c>
      <c r="AW87" s="88">
        <v>126.7247619837223</v>
      </c>
      <c r="AX87" s="88">
        <v>185.57140536416958</v>
      </c>
      <c r="AY87" s="88">
        <v>198.70046062534414</v>
      </c>
      <c r="AZ87" s="88">
        <v>106.73422419511577</v>
      </c>
      <c r="BA87" s="88">
        <v>95.625297498333822</v>
      </c>
      <c r="BB87" s="88">
        <v>89.75368362130537</v>
      </c>
      <c r="BC87" s="88">
        <v>112.53681815381495</v>
      </c>
      <c r="BD87" s="88">
        <v>12.737914887066752</v>
      </c>
      <c r="BE87" s="88">
        <v>159.28535778137291</v>
      </c>
      <c r="BF87" s="88">
        <v>92.203882378114471</v>
      </c>
      <c r="BG87" s="88">
        <v>72.251609480350652</v>
      </c>
      <c r="BH87" s="88">
        <v>74.21289158475966</v>
      </c>
      <c r="BI87" s="88">
        <v>108.96147610790153</v>
      </c>
      <c r="BJ87" s="88">
        <v>158.84496666182173</v>
      </c>
      <c r="BK87" s="88">
        <v>96.56725213148529</v>
      </c>
      <c r="BL87" s="88">
        <v>125.04137546147196</v>
      </c>
      <c r="BM87" s="88">
        <v>68.484443008596728</v>
      </c>
      <c r="BN87" s="88">
        <v>77.305720238549938</v>
      </c>
      <c r="BO87" s="88">
        <v>85.794526295951613</v>
      </c>
      <c r="BP87" s="88">
        <v>166.35703603159629</v>
      </c>
      <c r="BQ87" s="88">
        <v>48.410708946855259</v>
      </c>
      <c r="BR87" s="88">
        <v>108.24282755440632</v>
      </c>
      <c r="BS87" s="88">
        <v>61.160599776972717</v>
      </c>
      <c r="BT87" s="88">
        <v>126.86609963324464</v>
      </c>
      <c r="BU87" s="88">
        <v>40.717204744076014</v>
      </c>
      <c r="BV87" s="88">
        <v>87.555333376050299</v>
      </c>
      <c r="BW87" s="88">
        <v>98.563493687546838</v>
      </c>
      <c r="BX87" s="88">
        <v>40.698693937455801</v>
      </c>
      <c r="BY87" s="88">
        <v>40.614840516489622</v>
      </c>
      <c r="BZ87" s="88">
        <v>91.910764372646582</v>
      </c>
      <c r="CA87" s="88">
        <v>81.929117093919331</v>
      </c>
      <c r="CB87" s="88">
        <v>152.76740410527322</v>
      </c>
      <c r="CC87" s="88">
        <v>225.31919033878873</v>
      </c>
      <c r="CD87" s="88">
        <v>14.816953405012386</v>
      </c>
      <c r="CE87" s="88">
        <v>93.708560859551042</v>
      </c>
      <c r="CF87" s="88">
        <v>214.12928930891661</v>
      </c>
      <c r="CG87" s="88">
        <v>17.691692478706099</v>
      </c>
      <c r="CH87" s="88">
        <v>210.49708522895759</v>
      </c>
      <c r="CI87" s="88">
        <v>0</v>
      </c>
      <c r="CJ87" s="88">
        <v>208.29622310154858</v>
      </c>
      <c r="CK87" s="88">
        <v>129.20250545805473</v>
      </c>
      <c r="CL87" s="88">
        <v>62.098873454510155</v>
      </c>
      <c r="CM87" s="88">
        <v>53.599671181427524</v>
      </c>
      <c r="CN87" s="88">
        <v>203.63981936180124</v>
      </c>
      <c r="CO87" s="88">
        <v>121.1313677972059</v>
      </c>
      <c r="CP87" s="88">
        <v>142.58256034723942</v>
      </c>
      <c r="CQ87" s="88">
        <v>50.636629767180203</v>
      </c>
      <c r="CR87" s="88">
        <v>53.809221306765522</v>
      </c>
      <c r="CS87" s="89">
        <v>18.190809461573387</v>
      </c>
    </row>
    <row r="88" spans="2:97" x14ac:dyDescent="0.3">
      <c r="B88" s="83" t="s">
        <v>145</v>
      </c>
      <c r="C88" s="88">
        <v>98.524030685153605</v>
      </c>
      <c r="D88" s="88">
        <v>229.19552699671348</v>
      </c>
      <c r="E88" s="88">
        <v>314.45902184101283</v>
      </c>
      <c r="F88" s="88">
        <v>159.19290349222925</v>
      </c>
      <c r="G88" s="88">
        <v>88.493556135196187</v>
      </c>
      <c r="H88" s="88">
        <v>151.39186506527602</v>
      </c>
      <c r="I88" s="88">
        <v>97.723748582789284</v>
      </c>
      <c r="J88" s="88">
        <v>203.91420979166594</v>
      </c>
      <c r="K88" s="88">
        <v>336.0927431253611</v>
      </c>
      <c r="L88" s="88">
        <v>21.132023831668967</v>
      </c>
      <c r="M88" s="88">
        <v>259.58874186691583</v>
      </c>
      <c r="N88" s="88">
        <v>349.51294401991743</v>
      </c>
      <c r="O88" s="88">
        <v>73.091564111127951</v>
      </c>
      <c r="P88" s="88">
        <v>175.73763245772776</v>
      </c>
      <c r="Q88" s="88">
        <v>40.547762934908235</v>
      </c>
      <c r="R88" s="88">
        <v>208.43021369023731</v>
      </c>
      <c r="S88" s="88">
        <v>375.35937216016202</v>
      </c>
      <c r="T88" s="88">
        <v>143.72040452452251</v>
      </c>
      <c r="U88" s="88">
        <v>242.7246459912858</v>
      </c>
      <c r="V88" s="88">
        <v>190.06227842868464</v>
      </c>
      <c r="W88" s="88">
        <v>319.56974639054619</v>
      </c>
      <c r="X88" s="88">
        <v>274.62771404505725</v>
      </c>
      <c r="Y88" s="88">
        <v>389.522857884811</v>
      </c>
      <c r="Z88" s="88">
        <v>396.70988278190691</v>
      </c>
      <c r="AA88" s="88">
        <v>140.46679644416028</v>
      </c>
      <c r="AB88" s="88">
        <v>215.72920505729832</v>
      </c>
      <c r="AC88" s="88">
        <v>362.90530127593746</v>
      </c>
      <c r="AD88" s="88">
        <v>265.71393125006165</v>
      </c>
      <c r="AE88" s="88">
        <v>61.113555650518769</v>
      </c>
      <c r="AF88" s="88">
        <v>23.485424710227353</v>
      </c>
      <c r="AG88" s="88">
        <v>191.00733695325917</v>
      </c>
      <c r="AH88" s="88">
        <v>47.092588817503817</v>
      </c>
      <c r="AI88" s="88">
        <v>166.2256745669288</v>
      </c>
      <c r="AJ88" s="88">
        <v>52.372998482953562</v>
      </c>
      <c r="AK88" s="88">
        <v>373.27117290102166</v>
      </c>
      <c r="AL88" s="88">
        <v>328.77662764539002</v>
      </c>
      <c r="AM88" s="88">
        <v>36.530282399147488</v>
      </c>
      <c r="AN88" s="88">
        <v>385.14001399927776</v>
      </c>
      <c r="AO88" s="88">
        <v>334.64027126405256</v>
      </c>
      <c r="AP88" s="88">
        <v>327.25103196602259</v>
      </c>
      <c r="AQ88" s="88">
        <v>282.53229883561323</v>
      </c>
      <c r="AR88" s="88">
        <v>294.69920407481129</v>
      </c>
      <c r="AS88" s="88">
        <v>298.21415449225879</v>
      </c>
      <c r="AT88" s="88">
        <v>181.31464870483052</v>
      </c>
      <c r="AU88" s="88">
        <v>56.737946088346362</v>
      </c>
      <c r="AV88" s="88">
        <v>40.112247466265657</v>
      </c>
      <c r="AW88" s="88">
        <v>84.399185532089305</v>
      </c>
      <c r="AX88" s="88">
        <v>393.56842722354924</v>
      </c>
      <c r="AY88" s="88">
        <v>403.08356561260587</v>
      </c>
      <c r="AZ88" s="88">
        <v>285.16227095965911</v>
      </c>
      <c r="BA88" s="88">
        <v>286.1803313836229</v>
      </c>
      <c r="BB88" s="88">
        <v>242.71321160386827</v>
      </c>
      <c r="BC88" s="88">
        <v>108.26089918613346</v>
      </c>
      <c r="BD88" s="88">
        <v>201.00175955320083</v>
      </c>
      <c r="BE88" s="88">
        <v>360.12386140045123</v>
      </c>
      <c r="BF88" s="88">
        <v>191.42824304494926</v>
      </c>
      <c r="BG88" s="88">
        <v>246.67732978832194</v>
      </c>
      <c r="BH88" s="88">
        <v>262.12099292385625</v>
      </c>
      <c r="BI88" s="88">
        <v>131.27082848384265</v>
      </c>
      <c r="BJ88" s="88">
        <v>350.00760777630728</v>
      </c>
      <c r="BK88" s="88">
        <v>139.56885998309343</v>
      </c>
      <c r="BL88" s="88">
        <v>111.92637444597418</v>
      </c>
      <c r="BM88" s="88">
        <v>276.74333251547188</v>
      </c>
      <c r="BN88" s="88">
        <v>227.43382038062583</v>
      </c>
      <c r="BO88" s="88">
        <v>123.66101520880324</v>
      </c>
      <c r="BP88" s="88">
        <v>374.40841883516856</v>
      </c>
      <c r="BQ88" s="88">
        <v>159.88962815029308</v>
      </c>
      <c r="BR88" s="88">
        <v>305.30688482086094</v>
      </c>
      <c r="BS88" s="88">
        <v>150.20831898471863</v>
      </c>
      <c r="BT88" s="88">
        <v>135.85797672837077</v>
      </c>
      <c r="BU88" s="88">
        <v>170.83901991960497</v>
      </c>
      <c r="BV88" s="88">
        <v>143.70516310151314</v>
      </c>
      <c r="BW88" s="88">
        <v>118.23567241650916</v>
      </c>
      <c r="BX88" s="88">
        <v>248.57118898448209</v>
      </c>
      <c r="BY88" s="88">
        <v>223.40874975435585</v>
      </c>
      <c r="BZ88" s="88">
        <v>117.37632139182854</v>
      </c>
      <c r="CA88" s="88">
        <v>174.55228909107322</v>
      </c>
      <c r="CB88" s="88">
        <v>65.056853163673551</v>
      </c>
      <c r="CC88" s="88">
        <v>423.44678707692441</v>
      </c>
      <c r="CD88" s="88">
        <v>196.66234996366498</v>
      </c>
      <c r="CE88" s="88">
        <v>301.99747840341439</v>
      </c>
      <c r="CF88" s="88">
        <v>28.672808616124954</v>
      </c>
      <c r="CG88" s="88">
        <v>225.54342474133273</v>
      </c>
      <c r="CH88" s="88">
        <v>412.26226465604697</v>
      </c>
      <c r="CI88" s="88">
        <v>208.29622310154858</v>
      </c>
      <c r="CJ88" s="88">
        <v>0</v>
      </c>
      <c r="CK88" s="88">
        <v>79.251149803986863</v>
      </c>
      <c r="CL88" s="88">
        <v>171.33571306580097</v>
      </c>
      <c r="CM88" s="88">
        <v>189.53426708093255</v>
      </c>
      <c r="CN88" s="88">
        <v>13.120314804080502</v>
      </c>
      <c r="CO88" s="88">
        <v>306.33981958865292</v>
      </c>
      <c r="CP88" s="88">
        <v>350.39996603407673</v>
      </c>
      <c r="CQ88" s="88">
        <v>169.30442738671999</v>
      </c>
      <c r="CR88" s="88">
        <v>249.93205621935741</v>
      </c>
      <c r="CS88" s="89">
        <v>215.94107316197045</v>
      </c>
    </row>
    <row r="89" spans="2:97" x14ac:dyDescent="0.3">
      <c r="B89" s="83" t="s">
        <v>146</v>
      </c>
      <c r="C89" s="88">
        <v>23.268823134445107</v>
      </c>
      <c r="D89" s="88">
        <v>156.05912754099259</v>
      </c>
      <c r="E89" s="88">
        <v>236.27484373119034</v>
      </c>
      <c r="F89" s="88">
        <v>90.140196613771039</v>
      </c>
      <c r="G89" s="88">
        <v>41.769954214395476</v>
      </c>
      <c r="H89" s="88">
        <v>97.018171024705879</v>
      </c>
      <c r="I89" s="88">
        <v>19.095804346086684</v>
      </c>
      <c r="J89" s="88">
        <v>128.50681686389126</v>
      </c>
      <c r="K89" s="88">
        <v>258.15472796151931</v>
      </c>
      <c r="L89" s="88">
        <v>95.17434541413084</v>
      </c>
      <c r="M89" s="88">
        <v>180.88686793311794</v>
      </c>
      <c r="N89" s="88">
        <v>273.869151329087</v>
      </c>
      <c r="O89" s="88">
        <v>16.847900611964654</v>
      </c>
      <c r="P89" s="88">
        <v>96.541867066293577</v>
      </c>
      <c r="Q89" s="88">
        <v>47.153597475733967</v>
      </c>
      <c r="R89" s="88">
        <v>136.72921775208812</v>
      </c>
      <c r="S89" s="88">
        <v>297.77048073452511</v>
      </c>
      <c r="T89" s="88">
        <v>68.820188906615982</v>
      </c>
      <c r="U89" s="88">
        <v>164.36149628414452</v>
      </c>
      <c r="V89" s="88">
        <v>113.28840008289966</v>
      </c>
      <c r="W89" s="88">
        <v>243.3943414292014</v>
      </c>
      <c r="X89" s="88">
        <v>196.27516487511522</v>
      </c>
      <c r="Y89" s="88">
        <v>311.18111680314564</v>
      </c>
      <c r="Z89" s="88">
        <v>321.45849428629811</v>
      </c>
      <c r="AA89" s="88">
        <v>61.239942273343317</v>
      </c>
      <c r="AB89" s="88">
        <v>148.64343029062888</v>
      </c>
      <c r="AC89" s="88">
        <v>284.7976524090322</v>
      </c>
      <c r="AD89" s="88">
        <v>194.23053338516607</v>
      </c>
      <c r="AE89" s="88">
        <v>18.269708572416146</v>
      </c>
      <c r="AF89" s="88">
        <v>55.781734161110727</v>
      </c>
      <c r="AG89" s="88">
        <v>122.44441061021033</v>
      </c>
      <c r="AH89" s="88">
        <v>32.158659148078307</v>
      </c>
      <c r="AI89" s="88">
        <v>106.67102968229042</v>
      </c>
      <c r="AJ89" s="88">
        <v>37.886195494658722</v>
      </c>
      <c r="AK89" s="88">
        <v>298.37917385599673</v>
      </c>
      <c r="AL89" s="88">
        <v>254.9472370890698</v>
      </c>
      <c r="AM89" s="88">
        <v>50.759906996483529</v>
      </c>
      <c r="AN89" s="88">
        <v>308.32182795923734</v>
      </c>
      <c r="AO89" s="88">
        <v>258.01497403446797</v>
      </c>
      <c r="AP89" s="88">
        <v>248.3800062949791</v>
      </c>
      <c r="AQ89" s="88">
        <v>205.72150502687464</v>
      </c>
      <c r="AR89" s="88">
        <v>215.92532197985722</v>
      </c>
      <c r="AS89" s="88">
        <v>220.18635027335958</v>
      </c>
      <c r="AT89" s="88">
        <v>102.24474459150581</v>
      </c>
      <c r="AU89" s="88">
        <v>27.260656706570078</v>
      </c>
      <c r="AV89" s="88">
        <v>111.00351552234598</v>
      </c>
      <c r="AW89" s="88">
        <v>21.093984902010835</v>
      </c>
      <c r="AX89" s="88">
        <v>314.68752734596546</v>
      </c>
      <c r="AY89" s="88">
        <v>325.51540132655384</v>
      </c>
      <c r="AZ89" s="88">
        <v>212.63623618447113</v>
      </c>
      <c r="BA89" s="88">
        <v>211.07924668382299</v>
      </c>
      <c r="BB89" s="88">
        <v>173.41213504794715</v>
      </c>
      <c r="BC89" s="88">
        <v>46.48462754667829</v>
      </c>
      <c r="BD89" s="88">
        <v>121.75074188791029</v>
      </c>
      <c r="BE89" s="88">
        <v>283.44065401588199</v>
      </c>
      <c r="BF89" s="88">
        <v>128.1047511434011</v>
      </c>
      <c r="BG89" s="88">
        <v>173.2736834598351</v>
      </c>
      <c r="BH89" s="88">
        <v>186.90470452426467</v>
      </c>
      <c r="BI89" s="88">
        <v>73.875127090501678</v>
      </c>
      <c r="BJ89" s="88">
        <v>275.79221979262661</v>
      </c>
      <c r="BK89" s="88">
        <v>76.43853601134721</v>
      </c>
      <c r="BL89" s="88">
        <v>62.817410734025778</v>
      </c>
      <c r="BM89" s="88">
        <v>197.58192299062745</v>
      </c>
      <c r="BN89" s="88">
        <v>157.29599419946592</v>
      </c>
      <c r="BO89" s="88">
        <v>46.439103462640801</v>
      </c>
      <c r="BP89" s="88">
        <v>295.49446791175569</v>
      </c>
      <c r="BQ89" s="88">
        <v>80.805798760103201</v>
      </c>
      <c r="BR89" s="88">
        <v>229.11302815490117</v>
      </c>
      <c r="BS89" s="88">
        <v>71.245123218399982</v>
      </c>
      <c r="BT89" s="88">
        <v>89.350592168254153</v>
      </c>
      <c r="BU89" s="88">
        <v>92.909588836534539</v>
      </c>
      <c r="BV89" s="88">
        <v>76.753440038274817</v>
      </c>
      <c r="BW89" s="88">
        <v>48.866434325664557</v>
      </c>
      <c r="BX89" s="88">
        <v>169.35320433662261</v>
      </c>
      <c r="BY89" s="88">
        <v>147.21185597263388</v>
      </c>
      <c r="BZ89" s="88">
        <v>38.28719366538494</v>
      </c>
      <c r="CA89" s="88">
        <v>108.45535904496337</v>
      </c>
      <c r="CB89" s="88">
        <v>38.902387646721643</v>
      </c>
      <c r="CC89" s="88">
        <v>347.85503896671736</v>
      </c>
      <c r="CD89" s="88">
        <v>118.00805447540711</v>
      </c>
      <c r="CE89" s="88">
        <v>222.85488791108887</v>
      </c>
      <c r="CF89" s="88">
        <v>86.623387366784499</v>
      </c>
      <c r="CG89" s="88">
        <v>146.35266202176018</v>
      </c>
      <c r="CH89" s="88">
        <v>335.52966672710664</v>
      </c>
      <c r="CI89" s="88">
        <v>129.20250545805473</v>
      </c>
      <c r="CJ89" s="88">
        <v>79.251149803986863</v>
      </c>
      <c r="CK89" s="88">
        <v>0</v>
      </c>
      <c r="CL89" s="88">
        <v>99.058593777325385</v>
      </c>
      <c r="CM89" s="88">
        <v>116.32505424350666</v>
      </c>
      <c r="CN89" s="88">
        <v>74.587227678715834</v>
      </c>
      <c r="CO89" s="88">
        <v>232.86348402578071</v>
      </c>
      <c r="CP89" s="88">
        <v>271.58976482622535</v>
      </c>
      <c r="CQ89" s="88">
        <v>93.635928287691797</v>
      </c>
      <c r="CR89" s="88">
        <v>172.96086405640281</v>
      </c>
      <c r="CS89" s="89">
        <v>137.58349291971021</v>
      </c>
    </row>
    <row r="90" spans="2:97" x14ac:dyDescent="0.3">
      <c r="B90" s="83" t="s">
        <v>147</v>
      </c>
      <c r="C90" s="88">
        <v>75.966336992029326</v>
      </c>
      <c r="D90" s="88">
        <v>57.880157462772068</v>
      </c>
      <c r="E90" s="88">
        <v>148.59481820901709</v>
      </c>
      <c r="F90" s="88">
        <v>15.497818458423724</v>
      </c>
      <c r="G90" s="88">
        <v>85.644021329043241</v>
      </c>
      <c r="H90" s="88">
        <v>50.135431906108352</v>
      </c>
      <c r="I90" s="88">
        <v>87.635507389913329</v>
      </c>
      <c r="J90" s="88">
        <v>35.009303064256699</v>
      </c>
      <c r="K90" s="88">
        <v>168.89606746668755</v>
      </c>
      <c r="L90" s="88">
        <v>190.27270547828047</v>
      </c>
      <c r="M90" s="88">
        <v>99.304144653216994</v>
      </c>
      <c r="N90" s="88">
        <v>178.55690867917158</v>
      </c>
      <c r="O90" s="88">
        <v>113.90896198300868</v>
      </c>
      <c r="P90" s="88">
        <v>59.265585175483871</v>
      </c>
      <c r="Q90" s="88">
        <v>131.50810973806668</v>
      </c>
      <c r="R90" s="88">
        <v>37.70625729145619</v>
      </c>
      <c r="S90" s="88">
        <v>206.75166370251011</v>
      </c>
      <c r="T90" s="88">
        <v>30.90778664395738</v>
      </c>
      <c r="U90" s="88">
        <v>81.339863990496809</v>
      </c>
      <c r="V90" s="88">
        <v>28.935824316914296</v>
      </c>
      <c r="W90" s="88">
        <v>149.17714718854285</v>
      </c>
      <c r="X90" s="88">
        <v>110.97306116142673</v>
      </c>
      <c r="Y90" s="88">
        <v>223.02545847590471</v>
      </c>
      <c r="Z90" s="88">
        <v>225.49638729698557</v>
      </c>
      <c r="AA90" s="88">
        <v>55.47754392002976</v>
      </c>
      <c r="AB90" s="88">
        <v>51.872513969716742</v>
      </c>
      <c r="AC90" s="88">
        <v>195.87796677368081</v>
      </c>
      <c r="AD90" s="88">
        <v>95.310965530043418</v>
      </c>
      <c r="AE90" s="88">
        <v>115.71961865855543</v>
      </c>
      <c r="AF90" s="88">
        <v>149.45109497292771</v>
      </c>
      <c r="AG90" s="88">
        <v>26.101639531760149</v>
      </c>
      <c r="AH90" s="88">
        <v>127.3659290186047</v>
      </c>
      <c r="AI90" s="88">
        <v>39.086868054867828</v>
      </c>
      <c r="AJ90" s="88">
        <v>136.93226571393376</v>
      </c>
      <c r="AK90" s="88">
        <v>201.98686970840384</v>
      </c>
      <c r="AL90" s="88">
        <v>157.46194960557938</v>
      </c>
      <c r="AM90" s="88">
        <v>149.1324902054892</v>
      </c>
      <c r="AN90" s="88">
        <v>215.12847758777389</v>
      </c>
      <c r="AO90" s="88">
        <v>164.6761344727274</v>
      </c>
      <c r="AP90" s="88">
        <v>165.05096034704277</v>
      </c>
      <c r="AQ90" s="88">
        <v>113.48194689556236</v>
      </c>
      <c r="AR90" s="88">
        <v>132.91276621773872</v>
      </c>
      <c r="AS90" s="88">
        <v>132.14792895006235</v>
      </c>
      <c r="AT90" s="88">
        <v>47.423339163753539</v>
      </c>
      <c r="AU90" s="88">
        <v>114.90290389076691</v>
      </c>
      <c r="AV90" s="88">
        <v>207.6687620009919</v>
      </c>
      <c r="AW90" s="88">
        <v>87.274911652660961</v>
      </c>
      <c r="AX90" s="88">
        <v>229.95385879246496</v>
      </c>
      <c r="AY90" s="88">
        <v>234.22164110295864</v>
      </c>
      <c r="AZ90" s="88">
        <v>114.17234442421277</v>
      </c>
      <c r="BA90" s="88">
        <v>115.13844547518008</v>
      </c>
      <c r="BB90" s="88">
        <v>74.570391073593811</v>
      </c>
      <c r="BC90" s="88">
        <v>64.009306132041075</v>
      </c>
      <c r="BD90" s="88">
        <v>65.497267480109386</v>
      </c>
      <c r="BE90" s="88">
        <v>190.06944753854961</v>
      </c>
      <c r="BF90" s="88">
        <v>40.276310626955457</v>
      </c>
      <c r="BG90" s="88">
        <v>75.351709708822227</v>
      </c>
      <c r="BH90" s="88">
        <v>91.302100820405286</v>
      </c>
      <c r="BI90" s="88">
        <v>50.510497519122993</v>
      </c>
      <c r="BJ90" s="88">
        <v>178.67240206579777</v>
      </c>
      <c r="BK90" s="88">
        <v>38.054006782646084</v>
      </c>
      <c r="BL90" s="88">
        <v>69.627848497441988</v>
      </c>
      <c r="BM90" s="88">
        <v>121.06331275545718</v>
      </c>
      <c r="BN90" s="88">
        <v>58.328703124718416</v>
      </c>
      <c r="BO90" s="88">
        <v>54.199116008321006</v>
      </c>
      <c r="BP90" s="88">
        <v>211.40371158584659</v>
      </c>
      <c r="BQ90" s="88">
        <v>45.74678528169656</v>
      </c>
      <c r="BR90" s="88">
        <v>135.04026561527309</v>
      </c>
      <c r="BS90" s="88">
        <v>63.16651340185048</v>
      </c>
      <c r="BT90" s="88">
        <v>65.710754367347874</v>
      </c>
      <c r="BU90" s="88">
        <v>30.806599471565011</v>
      </c>
      <c r="BV90" s="88">
        <v>30.24387427871817</v>
      </c>
      <c r="BW90" s="88">
        <v>53.115715388150939</v>
      </c>
      <c r="BX90" s="88">
        <v>97.66227133090031</v>
      </c>
      <c r="BY90" s="88">
        <v>54.962754866040648</v>
      </c>
      <c r="BZ90" s="88">
        <v>73.246453112218859</v>
      </c>
      <c r="CA90" s="88">
        <v>22.551938949272841</v>
      </c>
      <c r="CB90" s="88">
        <v>108.25391251096775</v>
      </c>
      <c r="CC90" s="88">
        <v>252.32934025550625</v>
      </c>
      <c r="CD90" s="88">
        <v>47.535751618701056</v>
      </c>
      <c r="CE90" s="88">
        <v>144.25385243408519</v>
      </c>
      <c r="CF90" s="88">
        <v>184.47425809076756</v>
      </c>
      <c r="CG90" s="88">
        <v>77.556219454372524</v>
      </c>
      <c r="CH90" s="88">
        <v>242.03333103267249</v>
      </c>
      <c r="CI90" s="88">
        <v>62.098873454510155</v>
      </c>
      <c r="CJ90" s="88">
        <v>171.33571306580097</v>
      </c>
      <c r="CK90" s="88">
        <v>99.058593777325385</v>
      </c>
      <c r="CL90" s="88">
        <v>0</v>
      </c>
      <c r="CM90" s="88">
        <v>18.31706529598684</v>
      </c>
      <c r="CN90" s="88">
        <v>170.167137113314</v>
      </c>
      <c r="CO90" s="88">
        <v>135.0650034408421</v>
      </c>
      <c r="CP90" s="88">
        <v>187.08535869667651</v>
      </c>
      <c r="CQ90" s="88">
        <v>15.910258366579905</v>
      </c>
      <c r="CR90" s="88">
        <v>82.137667868503542</v>
      </c>
      <c r="CS90" s="89">
        <v>56.991136696291186</v>
      </c>
    </row>
    <row r="91" spans="2:97" x14ac:dyDescent="0.3">
      <c r="B91" s="83" t="s">
        <v>148</v>
      </c>
      <c r="C91" s="88">
        <v>93.449698947652678</v>
      </c>
      <c r="D91" s="88">
        <v>39.864420265707267</v>
      </c>
      <c r="E91" s="88">
        <v>130.93354644711212</v>
      </c>
      <c r="F91" s="88">
        <v>32.677076391795836</v>
      </c>
      <c r="G91" s="88">
        <v>103.93121741378397</v>
      </c>
      <c r="H91" s="88">
        <v>63.136209340284374</v>
      </c>
      <c r="I91" s="88">
        <v>103.81872838995709</v>
      </c>
      <c r="J91" s="88">
        <v>18.234665601797477</v>
      </c>
      <c r="K91" s="88">
        <v>150.95786331441036</v>
      </c>
      <c r="L91" s="88">
        <v>208.34393697976668</v>
      </c>
      <c r="M91" s="88">
        <v>83.444247347245735</v>
      </c>
      <c r="N91" s="88">
        <v>160.24704111401036</v>
      </c>
      <c r="O91" s="88">
        <v>130.6809144423116</v>
      </c>
      <c r="P91" s="88">
        <v>61.64600946561989</v>
      </c>
      <c r="Q91" s="88">
        <v>149.78688054690139</v>
      </c>
      <c r="R91" s="88">
        <v>21.10859032733363</v>
      </c>
      <c r="S91" s="88">
        <v>188.58304602184882</v>
      </c>
      <c r="T91" s="88">
        <v>47.540381001351456</v>
      </c>
      <c r="U91" s="88">
        <v>65.682724109162066</v>
      </c>
      <c r="V91" s="88">
        <v>21.019469548555787</v>
      </c>
      <c r="W91" s="88">
        <v>130.87219382228938</v>
      </c>
      <c r="X91" s="88">
        <v>94.044663725338495</v>
      </c>
      <c r="Y91" s="88">
        <v>205.09206115959643</v>
      </c>
      <c r="Z91" s="88">
        <v>207.22763884973179</v>
      </c>
      <c r="AA91" s="88">
        <v>67.681799044285128</v>
      </c>
      <c r="AB91" s="88">
        <v>40.241322559623285</v>
      </c>
      <c r="AC91" s="88">
        <v>177.91476462637462</v>
      </c>
      <c r="AD91" s="88">
        <v>77.96264641374681</v>
      </c>
      <c r="AE91" s="88">
        <v>133.32887252711441</v>
      </c>
      <c r="AF91" s="88">
        <v>167.52437811140922</v>
      </c>
      <c r="AG91" s="88">
        <v>20.290427759653827</v>
      </c>
      <c r="AH91" s="88">
        <v>145.24598773222789</v>
      </c>
      <c r="AI91" s="88">
        <v>48.727410193461075</v>
      </c>
      <c r="AJ91" s="88">
        <v>154.10260556918291</v>
      </c>
      <c r="AK91" s="88">
        <v>183.7449871329259</v>
      </c>
      <c r="AL91" s="88">
        <v>139.35442076738298</v>
      </c>
      <c r="AM91" s="88">
        <v>166.71202270354081</v>
      </c>
      <c r="AN91" s="88">
        <v>196.83341796018641</v>
      </c>
      <c r="AO91" s="88">
        <v>146.39742155148875</v>
      </c>
      <c r="AP91" s="88">
        <v>147.9595160983452</v>
      </c>
      <c r="AQ91" s="88">
        <v>95.375843567234682</v>
      </c>
      <c r="AR91" s="88">
        <v>116.15383708637322</v>
      </c>
      <c r="AS91" s="88">
        <v>114.52502259664453</v>
      </c>
      <c r="AT91" s="88">
        <v>47.356507176085088</v>
      </c>
      <c r="AU91" s="88">
        <v>133.01390523089026</v>
      </c>
      <c r="AV91" s="88">
        <v>225.61604596764039</v>
      </c>
      <c r="AW91" s="88">
        <v>105.34301641278672</v>
      </c>
      <c r="AX91" s="88">
        <v>212.39617859404675</v>
      </c>
      <c r="AY91" s="88">
        <v>216.0117155198451</v>
      </c>
      <c r="AZ91" s="88">
        <v>96.380560259436621</v>
      </c>
      <c r="BA91" s="88">
        <v>96.829532418673537</v>
      </c>
      <c r="BB91" s="88">
        <v>58.836958895965466</v>
      </c>
      <c r="BC91" s="88">
        <v>82.324565195478726</v>
      </c>
      <c r="BD91" s="88">
        <v>60.288837388935875</v>
      </c>
      <c r="BE91" s="88">
        <v>171.77661127969813</v>
      </c>
      <c r="BF91" s="88">
        <v>38.946328923037278</v>
      </c>
      <c r="BG91" s="88">
        <v>57.268790505630705</v>
      </c>
      <c r="BH91" s="88">
        <v>72.98668908043949</v>
      </c>
      <c r="BI91" s="88">
        <v>67.539833426725977</v>
      </c>
      <c r="BJ91" s="88">
        <v>160.50977983834738</v>
      </c>
      <c r="BK91" s="88">
        <v>55.391061155274542</v>
      </c>
      <c r="BL91" s="88">
        <v>87.244515714415684</v>
      </c>
      <c r="BM91" s="88">
        <v>105.85807684470311</v>
      </c>
      <c r="BN91" s="88">
        <v>42.484030250518323</v>
      </c>
      <c r="BO91" s="88">
        <v>70.584120031937388</v>
      </c>
      <c r="BP91" s="88">
        <v>193.98324525028571</v>
      </c>
      <c r="BQ91" s="88">
        <v>53.545740576047457</v>
      </c>
      <c r="BR91" s="88">
        <v>116.7481633678254</v>
      </c>
      <c r="BS91" s="88">
        <v>72.320138190039955</v>
      </c>
      <c r="BT91" s="88">
        <v>80.500397269442644</v>
      </c>
      <c r="BU91" s="88">
        <v>35.626169132861733</v>
      </c>
      <c r="BV91" s="88">
        <v>48.171299198148617</v>
      </c>
      <c r="BW91" s="88">
        <v>71.299561021415926</v>
      </c>
      <c r="BX91" s="88">
        <v>84.447679778746377</v>
      </c>
      <c r="BY91" s="88">
        <v>37.515991440648698</v>
      </c>
      <c r="BZ91" s="88">
        <v>88.015882713854893</v>
      </c>
      <c r="CA91" s="88">
        <v>29.636763265404699</v>
      </c>
      <c r="CB91" s="88">
        <v>126.57091513336587</v>
      </c>
      <c r="CC91" s="88">
        <v>234.041435168372</v>
      </c>
      <c r="CD91" s="88">
        <v>40.720662709767481</v>
      </c>
      <c r="CE91" s="88">
        <v>128.20537532673893</v>
      </c>
      <c r="CF91" s="88">
        <v>202.21642612250773</v>
      </c>
      <c r="CG91" s="88">
        <v>66.55411580135646</v>
      </c>
      <c r="CH91" s="88">
        <v>223.72447465711619</v>
      </c>
      <c r="CI91" s="88">
        <v>53.599671181427524</v>
      </c>
      <c r="CJ91" s="88">
        <v>189.53426708093255</v>
      </c>
      <c r="CK91" s="88">
        <v>116.32505424350666</v>
      </c>
      <c r="CL91" s="88">
        <v>18.31706529598684</v>
      </c>
      <c r="CM91" s="88">
        <v>0</v>
      </c>
      <c r="CN91" s="88">
        <v>188.16630248111127</v>
      </c>
      <c r="CO91" s="88">
        <v>117.01786221659552</v>
      </c>
      <c r="CP91" s="88">
        <v>169.69951739898892</v>
      </c>
      <c r="CQ91" s="88">
        <v>24.907435000675594</v>
      </c>
      <c r="CR91" s="88">
        <v>64.481899099510869</v>
      </c>
      <c r="CS91" s="89">
        <v>43.940109518654722</v>
      </c>
    </row>
    <row r="92" spans="2:97" x14ac:dyDescent="0.3">
      <c r="B92" s="83" t="s">
        <v>149</v>
      </c>
      <c r="C92" s="88">
        <v>95.546170958338962</v>
      </c>
      <c r="D92" s="88">
        <v>228.00176725769595</v>
      </c>
      <c r="E92" s="88">
        <v>310.83650498485036</v>
      </c>
      <c r="F92" s="88">
        <v>158.82779709179053</v>
      </c>
      <c r="G92" s="88">
        <v>90.098542165427688</v>
      </c>
      <c r="H92" s="88">
        <v>154.018442331633</v>
      </c>
      <c r="I92" s="88">
        <v>92.191798573530036</v>
      </c>
      <c r="J92" s="88">
        <v>201.76971942534399</v>
      </c>
      <c r="K92" s="88">
        <v>332.67370963249675</v>
      </c>
      <c r="L92" s="88">
        <v>20.587155256484394</v>
      </c>
      <c r="M92" s="88">
        <v>255.46508222953378</v>
      </c>
      <c r="N92" s="88">
        <v>347.46871397285264</v>
      </c>
      <c r="O92" s="88">
        <v>66.00103779199523</v>
      </c>
      <c r="P92" s="88">
        <v>170.20087196823303</v>
      </c>
      <c r="Q92" s="88">
        <v>43.085772662830422</v>
      </c>
      <c r="R92" s="88">
        <v>207.64168188976802</v>
      </c>
      <c r="S92" s="88">
        <v>372.2074188549139</v>
      </c>
      <c r="T92" s="88">
        <v>141.49125178206225</v>
      </c>
      <c r="U92" s="88">
        <v>238.9355874659646</v>
      </c>
      <c r="V92" s="88">
        <v>187.25144231882737</v>
      </c>
      <c r="W92" s="88">
        <v>317.23622754621312</v>
      </c>
      <c r="X92" s="88">
        <v>270.85284088576122</v>
      </c>
      <c r="Y92" s="88">
        <v>385.76529457570336</v>
      </c>
      <c r="Z92" s="88">
        <v>394.88520069626992</v>
      </c>
      <c r="AA92" s="88">
        <v>135.57621340794364</v>
      </c>
      <c r="AB92" s="88">
        <v>216.28926727180479</v>
      </c>
      <c r="AC92" s="88">
        <v>359.35369683569144</v>
      </c>
      <c r="AD92" s="88">
        <v>265.18475191536743</v>
      </c>
      <c r="AE92" s="88">
        <v>56.352887861631196</v>
      </c>
      <c r="AF92" s="88">
        <v>21.046387354969486</v>
      </c>
      <c r="AG92" s="88">
        <v>191.03167539905277</v>
      </c>
      <c r="AH92" s="88">
        <v>43.158719390065933</v>
      </c>
      <c r="AI92" s="88">
        <v>168.07958978093416</v>
      </c>
      <c r="AJ92" s="88">
        <v>43.289636603356513</v>
      </c>
      <c r="AK92" s="88">
        <v>371.59631303743572</v>
      </c>
      <c r="AL92" s="88">
        <v>327.51005275170331</v>
      </c>
      <c r="AM92" s="88">
        <v>26.886361930896271</v>
      </c>
      <c r="AN92" s="88">
        <v>382.48730190612866</v>
      </c>
      <c r="AO92" s="88">
        <v>332.07465205946181</v>
      </c>
      <c r="AP92" s="88">
        <v>322.90333695953893</v>
      </c>
      <c r="AQ92" s="88">
        <v>279.82646573297592</v>
      </c>
      <c r="AR92" s="88">
        <v>290.48528899305921</v>
      </c>
      <c r="AS92" s="88">
        <v>294.71632564968951</v>
      </c>
      <c r="AT92" s="88">
        <v>176.72757795552246</v>
      </c>
      <c r="AU92" s="88">
        <v>55.476507686237682</v>
      </c>
      <c r="AV92" s="88">
        <v>37.588563236592577</v>
      </c>
      <c r="AW92" s="88">
        <v>82.911875713019754</v>
      </c>
      <c r="AX92" s="88">
        <v>389.19465793739647</v>
      </c>
      <c r="AY92" s="88">
        <v>399.95250515083438</v>
      </c>
      <c r="AZ92" s="88">
        <v>284.31998852853314</v>
      </c>
      <c r="BA92" s="88">
        <v>284.32578717556271</v>
      </c>
      <c r="BB92" s="88">
        <v>242.78639049146173</v>
      </c>
      <c r="BC92" s="88">
        <v>108.43499238860358</v>
      </c>
      <c r="BD92" s="88">
        <v>195.73108956739756</v>
      </c>
      <c r="BE92" s="88">
        <v>357.53895033129334</v>
      </c>
      <c r="BF92" s="88">
        <v>192.73495929888696</v>
      </c>
      <c r="BG92" s="88">
        <v>245.43417172270316</v>
      </c>
      <c r="BH92" s="88">
        <v>260.18096818694255</v>
      </c>
      <c r="BI92" s="88">
        <v>132.93980886038258</v>
      </c>
      <c r="BJ92" s="88">
        <v>348.60609108440372</v>
      </c>
      <c r="BK92" s="88">
        <v>140.29173535637776</v>
      </c>
      <c r="BL92" s="88">
        <v>114.44131332293959</v>
      </c>
      <c r="BM92" s="88">
        <v>271.87992421353437</v>
      </c>
      <c r="BN92" s="88">
        <v>227.2033896836177</v>
      </c>
      <c r="BO92" s="88">
        <v>120.37625846914298</v>
      </c>
      <c r="BP92" s="88">
        <v>369.98893737649178</v>
      </c>
      <c r="BQ92" s="88">
        <v>155.3027449048227</v>
      </c>
      <c r="BR92" s="88">
        <v>302.95229490534837</v>
      </c>
      <c r="BS92" s="88">
        <v>144.36933449301728</v>
      </c>
      <c r="BT92" s="88">
        <v>139.52556231356658</v>
      </c>
      <c r="BU92" s="88">
        <v>167.33270741820175</v>
      </c>
      <c r="BV92" s="88">
        <v>143.6617854117701</v>
      </c>
      <c r="BW92" s="88">
        <v>117.17408566005911</v>
      </c>
      <c r="BX92" s="88">
        <v>243.5383141760442</v>
      </c>
      <c r="BY92" s="88">
        <v>220.95106527217993</v>
      </c>
      <c r="BZ92" s="88">
        <v>111.94214658299097</v>
      </c>
      <c r="CA92" s="88">
        <v>175.06834168557947</v>
      </c>
      <c r="CB92" s="88">
        <v>67.233914572896452</v>
      </c>
      <c r="CC92" s="88">
        <v>421.47204999780149</v>
      </c>
      <c r="CD92" s="88">
        <v>192.59526025308884</v>
      </c>
      <c r="CE92" s="88">
        <v>297.16963585843928</v>
      </c>
      <c r="CF92" s="88">
        <v>18.580532293128982</v>
      </c>
      <c r="CG92" s="88">
        <v>220.63433490083059</v>
      </c>
      <c r="CH92" s="88">
        <v>409.66996671132364</v>
      </c>
      <c r="CI92" s="88">
        <v>203.63981936180124</v>
      </c>
      <c r="CJ92" s="88">
        <v>13.120314804080502</v>
      </c>
      <c r="CK92" s="88">
        <v>74.587227678715834</v>
      </c>
      <c r="CL92" s="88">
        <v>170.167137113314</v>
      </c>
      <c r="CM92" s="88">
        <v>188.16630248111127</v>
      </c>
      <c r="CN92" s="88">
        <v>0</v>
      </c>
      <c r="CO92" s="88">
        <v>305.18215596586907</v>
      </c>
      <c r="CP92" s="88">
        <v>346.1306706715423</v>
      </c>
      <c r="CQ92" s="88">
        <v>166.93156681234166</v>
      </c>
      <c r="CR92" s="88">
        <v>247.10586816655149</v>
      </c>
      <c r="CS92" s="89">
        <v>212.25200628951518</v>
      </c>
    </row>
    <row r="93" spans="2:97" x14ac:dyDescent="0.3">
      <c r="B93" s="83" t="s">
        <v>150</v>
      </c>
      <c r="C93" s="88">
        <v>210.26939923707099</v>
      </c>
      <c r="D93" s="88">
        <v>77.189400380988602</v>
      </c>
      <c r="E93" s="88">
        <v>59.423586958730368</v>
      </c>
      <c r="F93" s="88">
        <v>147.41979274216786</v>
      </c>
      <c r="G93" s="88">
        <v>219.40941064864623</v>
      </c>
      <c r="H93" s="88">
        <v>165.3484307813095</v>
      </c>
      <c r="I93" s="88">
        <v>218.9845517988802</v>
      </c>
      <c r="J93" s="88">
        <v>104.66901489531665</v>
      </c>
      <c r="K93" s="88">
        <v>62.817742546059947</v>
      </c>
      <c r="L93" s="88">
        <v>325.33219038930326</v>
      </c>
      <c r="M93" s="88">
        <v>80.727769694047794</v>
      </c>
      <c r="N93" s="88">
        <v>48.159480873367237</v>
      </c>
      <c r="O93" s="88">
        <v>246.46765401429735</v>
      </c>
      <c r="P93" s="88">
        <v>154.77287699496793</v>
      </c>
      <c r="Q93" s="88">
        <v>266.29807780239236</v>
      </c>
      <c r="R93" s="88">
        <v>98.0162256156258</v>
      </c>
      <c r="S93" s="88">
        <v>85.652331887864463</v>
      </c>
      <c r="T93" s="88">
        <v>164.1368758064782</v>
      </c>
      <c r="U93" s="88">
        <v>85.357011995769568</v>
      </c>
      <c r="V93" s="88">
        <v>121.0765044495196</v>
      </c>
      <c r="W93" s="88">
        <v>30.891865911987956</v>
      </c>
      <c r="X93" s="88">
        <v>67.275488917425477</v>
      </c>
      <c r="Y93" s="88">
        <v>107.33244171754973</v>
      </c>
      <c r="Z93" s="88">
        <v>91.79049460225751</v>
      </c>
      <c r="AA93" s="88">
        <v>178.24700968056132</v>
      </c>
      <c r="AB93" s="88">
        <v>95.873288265734587</v>
      </c>
      <c r="AC93" s="88">
        <v>82.809589528924036</v>
      </c>
      <c r="AD93" s="88">
        <v>42.574343321031712</v>
      </c>
      <c r="AE93" s="88">
        <v>250.17356824993763</v>
      </c>
      <c r="AF93" s="88">
        <v>284.50997990536302</v>
      </c>
      <c r="AG93" s="88">
        <v>116.83159056370029</v>
      </c>
      <c r="AH93" s="88">
        <v>262.25094813056785</v>
      </c>
      <c r="AI93" s="88">
        <v>148.05416842999028</v>
      </c>
      <c r="AJ93" s="88">
        <v>270.37597933401662</v>
      </c>
      <c r="AK93" s="88">
        <v>68.011208802356833</v>
      </c>
      <c r="AL93" s="88">
        <v>22.541993637539885</v>
      </c>
      <c r="AM93" s="88">
        <v>283.48670378993074</v>
      </c>
      <c r="AN93" s="88">
        <v>87.44851229101603</v>
      </c>
      <c r="AO93" s="88">
        <v>44.240664478694242</v>
      </c>
      <c r="AP93" s="88">
        <v>80.691907973818317</v>
      </c>
      <c r="AQ93" s="88">
        <v>42.7315326020627</v>
      </c>
      <c r="AR93" s="88">
        <v>72.344806335035329</v>
      </c>
      <c r="AS93" s="88">
        <v>55.308234796509311</v>
      </c>
      <c r="AT93" s="88">
        <v>141.42747683105796</v>
      </c>
      <c r="AU93" s="88">
        <v>249.96781269678453</v>
      </c>
      <c r="AV93" s="88">
        <v>342.63130910141808</v>
      </c>
      <c r="AW93" s="88">
        <v>222.32752792508839</v>
      </c>
      <c r="AX93" s="88">
        <v>121.83908695337773</v>
      </c>
      <c r="AY93" s="88">
        <v>109.63169220446241</v>
      </c>
      <c r="AZ93" s="88">
        <v>22.19364024174677</v>
      </c>
      <c r="BA93" s="88">
        <v>25.877871085162091</v>
      </c>
      <c r="BB93" s="88">
        <v>68.014802459147745</v>
      </c>
      <c r="BC93" s="88">
        <v>198.40367181780965</v>
      </c>
      <c r="BD93" s="88">
        <v>133.73381762953915</v>
      </c>
      <c r="BE93" s="88">
        <v>64.341447429583582</v>
      </c>
      <c r="BF93" s="88">
        <v>122.48237743519775</v>
      </c>
      <c r="BG93" s="88">
        <v>59.749125893615506</v>
      </c>
      <c r="BH93" s="88">
        <v>47.734261137243152</v>
      </c>
      <c r="BI93" s="88">
        <v>179.05875000974211</v>
      </c>
      <c r="BJ93" s="88">
        <v>43.979137435464814</v>
      </c>
      <c r="BK93" s="88">
        <v>168.54018690000387</v>
      </c>
      <c r="BL93" s="88">
        <v>199.62013717431472</v>
      </c>
      <c r="BM93" s="88">
        <v>89.712170650074029</v>
      </c>
      <c r="BN93" s="88">
        <v>80.651174211735167</v>
      </c>
      <c r="BO93" s="88">
        <v>186.56848997978616</v>
      </c>
      <c r="BP93" s="88">
        <v>108.49020794273849</v>
      </c>
      <c r="BQ93" s="88">
        <v>159.46211752433695</v>
      </c>
      <c r="BR93" s="88">
        <v>28.091865451206395</v>
      </c>
      <c r="BS93" s="88">
        <v>176.96780770997921</v>
      </c>
      <c r="BT93" s="88">
        <v>184.44151533761482</v>
      </c>
      <c r="BU93" s="88">
        <v>142.8436804971748</v>
      </c>
      <c r="BV93" s="88">
        <v>163.13201508652259</v>
      </c>
      <c r="BW93" s="88">
        <v>188.17311996317127</v>
      </c>
      <c r="BX93" s="88">
        <v>102.54429339135261</v>
      </c>
      <c r="BY93" s="88">
        <v>87.573085757996367</v>
      </c>
      <c r="BZ93" s="88">
        <v>201.34734683651402</v>
      </c>
      <c r="CA93" s="88">
        <v>134.28028544385771</v>
      </c>
      <c r="CB93" s="88">
        <v>242.57803059880783</v>
      </c>
      <c r="CC93" s="88">
        <v>118.86889793072929</v>
      </c>
      <c r="CD93" s="88">
        <v>124.1114366568045</v>
      </c>
      <c r="CE93" s="88">
        <v>87.140811434172306</v>
      </c>
      <c r="CF93" s="88">
        <v>319.12251178182345</v>
      </c>
      <c r="CG93" s="88">
        <v>112.82241013318648</v>
      </c>
      <c r="CH93" s="88">
        <v>112.25659061900289</v>
      </c>
      <c r="CI93" s="88">
        <v>121.1313677972059</v>
      </c>
      <c r="CJ93" s="88">
        <v>306.33981958865292</v>
      </c>
      <c r="CK93" s="88">
        <v>232.86348402578071</v>
      </c>
      <c r="CL93" s="88">
        <v>135.0650034408421</v>
      </c>
      <c r="CM93" s="88">
        <v>117.01786221659552</v>
      </c>
      <c r="CN93" s="88">
        <v>305.18215596586907</v>
      </c>
      <c r="CO93" s="88">
        <v>0</v>
      </c>
      <c r="CP93" s="88">
        <v>89.746217692688347</v>
      </c>
      <c r="CQ93" s="88">
        <v>139.3189721141261</v>
      </c>
      <c r="CR93" s="88">
        <v>67.338243890716399</v>
      </c>
      <c r="CS93" s="89">
        <v>104.94565897996374</v>
      </c>
    </row>
    <row r="94" spans="2:97" x14ac:dyDescent="0.3">
      <c r="B94" s="83" t="s">
        <v>151</v>
      </c>
      <c r="C94" s="88">
        <v>252.08147761945079</v>
      </c>
      <c r="D94" s="88">
        <v>137.46082977362943</v>
      </c>
      <c r="E94" s="88">
        <v>39.488157856137477</v>
      </c>
      <c r="F94" s="88">
        <v>202.24507969279369</v>
      </c>
      <c r="G94" s="88">
        <v>271.01802415613474</v>
      </c>
      <c r="H94" s="88">
        <v>230.23931170266943</v>
      </c>
      <c r="I94" s="88">
        <v>254.15010783887035</v>
      </c>
      <c r="J94" s="88">
        <v>152.08003333496347</v>
      </c>
      <c r="K94" s="88">
        <v>26.953524909153369</v>
      </c>
      <c r="L94" s="88">
        <v>366.70699727353451</v>
      </c>
      <c r="M94" s="88">
        <v>90.82565193731844</v>
      </c>
      <c r="N94" s="88">
        <v>60.805452899416537</v>
      </c>
      <c r="O94" s="88">
        <v>281.38254647228206</v>
      </c>
      <c r="P94" s="88">
        <v>177.2014956536006</v>
      </c>
      <c r="Q94" s="88">
        <v>313.22164577755552</v>
      </c>
      <c r="R94" s="88">
        <v>158.00961430238192</v>
      </c>
      <c r="S94" s="88">
        <v>40.924967606699781</v>
      </c>
      <c r="T94" s="88">
        <v>208.82639906360836</v>
      </c>
      <c r="U94" s="88">
        <v>108.03491472364473</v>
      </c>
      <c r="V94" s="88">
        <v>162.37265949651663</v>
      </c>
      <c r="W94" s="88">
        <v>58.855768319395196</v>
      </c>
      <c r="X94" s="88">
        <v>76.517669980349424</v>
      </c>
      <c r="Y94" s="88">
        <v>42.15519973334488</v>
      </c>
      <c r="Z94" s="88">
        <v>85.475323014336936</v>
      </c>
      <c r="AA94" s="88">
        <v>210.61783210914098</v>
      </c>
      <c r="AB94" s="88">
        <v>167.01097359338075</v>
      </c>
      <c r="AC94" s="88">
        <v>24.030516994400731</v>
      </c>
      <c r="AD94" s="88">
        <v>120.93139958349624</v>
      </c>
      <c r="AE94" s="88">
        <v>289.85772232240527</v>
      </c>
      <c r="AF94" s="88">
        <v>327.10732878468252</v>
      </c>
      <c r="AG94" s="88">
        <v>179.03250968896677</v>
      </c>
      <c r="AH94" s="88">
        <v>303.53526156997054</v>
      </c>
      <c r="AI94" s="88">
        <v>213.54962254517056</v>
      </c>
      <c r="AJ94" s="88">
        <v>305.77093106200533</v>
      </c>
      <c r="AK94" s="88">
        <v>76.932923391527311</v>
      </c>
      <c r="AL94" s="88">
        <v>81.599500972019243</v>
      </c>
      <c r="AM94" s="88">
        <v>321.09490488364901</v>
      </c>
      <c r="AN94" s="88">
        <v>58.647555823310427</v>
      </c>
      <c r="AO94" s="88">
        <v>48.143457609144335</v>
      </c>
      <c r="AP94" s="88">
        <v>23.289317231685803</v>
      </c>
      <c r="AQ94" s="88">
        <v>77.43314292755025</v>
      </c>
      <c r="AR94" s="88">
        <v>55.701787001669402</v>
      </c>
      <c r="AS94" s="88">
        <v>55.44979649268749</v>
      </c>
      <c r="AT94" s="88">
        <v>169.41774272085311</v>
      </c>
      <c r="AU94" s="88">
        <v>294.29413797054525</v>
      </c>
      <c r="AV94" s="88">
        <v>381.79661605773532</v>
      </c>
      <c r="AW94" s="88">
        <v>267.37947009171336</v>
      </c>
      <c r="AX94" s="88">
        <v>43.234240093245262</v>
      </c>
      <c r="AY94" s="88">
        <v>63.061854604265143</v>
      </c>
      <c r="AZ94" s="88">
        <v>105.16510169308687</v>
      </c>
      <c r="BA94" s="88">
        <v>86.749016405919619</v>
      </c>
      <c r="BB94" s="88">
        <v>143.64308243769443</v>
      </c>
      <c r="BC94" s="88">
        <v>249.11486649632951</v>
      </c>
      <c r="BD94" s="88">
        <v>151.47587038829286</v>
      </c>
      <c r="BE94" s="88">
        <v>48.134888292664236</v>
      </c>
      <c r="BF94" s="88">
        <v>191.40909706131495</v>
      </c>
      <c r="BG94" s="88">
        <v>123.35009475255984</v>
      </c>
      <c r="BH94" s="88">
        <v>103.07482053115584</v>
      </c>
      <c r="BI94" s="88">
        <v>237.23514851029475</v>
      </c>
      <c r="BJ94" s="88">
        <v>78.011853800667623</v>
      </c>
      <c r="BK94" s="88">
        <v>224.99797278322424</v>
      </c>
      <c r="BL94" s="88">
        <v>256.71197544625232</v>
      </c>
      <c r="BM94" s="88">
        <v>75.45697192239767</v>
      </c>
      <c r="BN94" s="88">
        <v>149.52566838957864</v>
      </c>
      <c r="BO94" s="88">
        <v>226.92687839711559</v>
      </c>
      <c r="BP94" s="88">
        <v>24.331019207296968</v>
      </c>
      <c r="BQ94" s="88">
        <v>190.8304787710658</v>
      </c>
      <c r="BR94" s="88">
        <v>65.980380148614913</v>
      </c>
      <c r="BS94" s="88">
        <v>203.17981338307115</v>
      </c>
      <c r="BT94" s="88">
        <v>248.8360601459398</v>
      </c>
      <c r="BU94" s="88">
        <v>179.84643992125552</v>
      </c>
      <c r="BV94" s="88">
        <v>217.3052975701097</v>
      </c>
      <c r="BW94" s="88">
        <v>236.14820314171928</v>
      </c>
      <c r="BX94" s="88">
        <v>103.84109207296959</v>
      </c>
      <c r="BY94" s="88">
        <v>132.22206954807808</v>
      </c>
      <c r="BZ94" s="88">
        <v>234.49293681141614</v>
      </c>
      <c r="CA94" s="88">
        <v>195.88321270767585</v>
      </c>
      <c r="CB94" s="88">
        <v>292.10799681180845</v>
      </c>
      <c r="CC94" s="88">
        <v>101.31009072883235</v>
      </c>
      <c r="CD94" s="88">
        <v>153.73860908058063</v>
      </c>
      <c r="CE94" s="88">
        <v>50.845057117560714</v>
      </c>
      <c r="CF94" s="88">
        <v>356.68122728126463</v>
      </c>
      <c r="CG94" s="88">
        <v>126.04336066819749</v>
      </c>
      <c r="CH94" s="88">
        <v>80.22165960546468</v>
      </c>
      <c r="CI94" s="88">
        <v>142.58256034723942</v>
      </c>
      <c r="CJ94" s="88">
        <v>350.39996603407673</v>
      </c>
      <c r="CK94" s="88">
        <v>271.58976482622535</v>
      </c>
      <c r="CL94" s="88">
        <v>187.08535869667651</v>
      </c>
      <c r="CM94" s="88">
        <v>169.69951739898892</v>
      </c>
      <c r="CN94" s="88">
        <v>346.1306706715423</v>
      </c>
      <c r="CO94" s="88">
        <v>89.746217692688347</v>
      </c>
      <c r="CP94" s="88">
        <v>0</v>
      </c>
      <c r="CQ94" s="88">
        <v>183.79632884631579</v>
      </c>
      <c r="CR94" s="88">
        <v>105.26996916178764</v>
      </c>
      <c r="CS94" s="89">
        <v>135.39300334587148</v>
      </c>
    </row>
    <row r="95" spans="2:97" x14ac:dyDescent="0.3">
      <c r="B95" s="83" t="s">
        <v>152</v>
      </c>
      <c r="C95" s="88">
        <v>71.426623853804472</v>
      </c>
      <c r="D95" s="88">
        <v>63.070627342103478</v>
      </c>
      <c r="E95" s="88">
        <v>146.3134570769451</v>
      </c>
      <c r="F95" s="88">
        <v>26.751462067291214</v>
      </c>
      <c r="G95" s="88">
        <v>87.241291866090094</v>
      </c>
      <c r="H95" s="88">
        <v>62.959320485240561</v>
      </c>
      <c r="I95" s="88">
        <v>79.90158639255813</v>
      </c>
      <c r="J95" s="88">
        <v>34.898026144316823</v>
      </c>
      <c r="K95" s="88">
        <v>167.45015806670577</v>
      </c>
      <c r="L95" s="88">
        <v>187.34723334203042</v>
      </c>
      <c r="M95" s="88">
        <v>93.926140701828118</v>
      </c>
      <c r="N95" s="88">
        <v>180.5419744474961</v>
      </c>
      <c r="O95" s="88">
        <v>107.20370149356646</v>
      </c>
      <c r="P95" s="88">
        <v>43.418762734287931</v>
      </c>
      <c r="Q95" s="88">
        <v>130.50655103174668</v>
      </c>
      <c r="R95" s="88">
        <v>45.961943012499013</v>
      </c>
      <c r="S95" s="88">
        <v>206.29473815531577</v>
      </c>
      <c r="T95" s="88">
        <v>25.592412924956424</v>
      </c>
      <c r="U95" s="88">
        <v>76.100173182050384</v>
      </c>
      <c r="V95" s="88">
        <v>21.427724469855725</v>
      </c>
      <c r="W95" s="88">
        <v>150.34521759208195</v>
      </c>
      <c r="X95" s="88">
        <v>107.28014634816222</v>
      </c>
      <c r="Y95" s="88">
        <v>221.33366869547271</v>
      </c>
      <c r="Z95" s="88">
        <v>228.01258153378393</v>
      </c>
      <c r="AA95" s="88">
        <v>42.812121862282808</v>
      </c>
      <c r="AB95" s="88">
        <v>64.174263774777273</v>
      </c>
      <c r="AC95" s="88">
        <v>194.40737106726681</v>
      </c>
      <c r="AD95" s="88">
        <v>101.85140679386323</v>
      </c>
      <c r="AE95" s="88">
        <v>111.20394002750264</v>
      </c>
      <c r="AF95" s="88">
        <v>146.68393563251954</v>
      </c>
      <c r="AG95" s="88">
        <v>40.064953425685964</v>
      </c>
      <c r="AH95" s="88">
        <v>123.78319339401715</v>
      </c>
      <c r="AI95" s="88">
        <v>54.008093606807265</v>
      </c>
      <c r="AJ95" s="88">
        <v>131.05747511674511</v>
      </c>
      <c r="AK95" s="88">
        <v>204.82738996602734</v>
      </c>
      <c r="AL95" s="88">
        <v>161.32933244108858</v>
      </c>
      <c r="AM95" s="88">
        <v>144.35977037170952</v>
      </c>
      <c r="AN95" s="88">
        <v>215.83559053927388</v>
      </c>
      <c r="AO95" s="88">
        <v>165.3386546636244</v>
      </c>
      <c r="AP95" s="88">
        <v>161.17772713099524</v>
      </c>
      <c r="AQ95" s="88">
        <v>113.2505913341482</v>
      </c>
      <c r="AR95" s="88">
        <v>128.60561160597791</v>
      </c>
      <c r="AS95" s="88">
        <v>129.89175018083864</v>
      </c>
      <c r="AT95" s="88">
        <v>32.263462000694339</v>
      </c>
      <c r="AU95" s="88">
        <v>112.56907917496814</v>
      </c>
      <c r="AV95" s="88">
        <v>204.08950777813752</v>
      </c>
      <c r="AW95" s="88">
        <v>84.975194433499098</v>
      </c>
      <c r="AX95" s="88">
        <v>226.96677586932267</v>
      </c>
      <c r="AY95" s="88">
        <v>233.97496291604236</v>
      </c>
      <c r="AZ95" s="88">
        <v>119.47268569897356</v>
      </c>
      <c r="BA95" s="88">
        <v>117.51336845765285</v>
      </c>
      <c r="BB95" s="88">
        <v>83.689729575031222</v>
      </c>
      <c r="BC95" s="88">
        <v>65.35919968282235</v>
      </c>
      <c r="BD95" s="88">
        <v>51.908059374561894</v>
      </c>
      <c r="BE95" s="88">
        <v>190.82189522941246</v>
      </c>
      <c r="BF95" s="88">
        <v>55.83382372762663</v>
      </c>
      <c r="BG95" s="88">
        <v>79.955246488665239</v>
      </c>
      <c r="BH95" s="88">
        <v>93.340593172319572</v>
      </c>
      <c r="BI95" s="88">
        <v>58.374902057789804</v>
      </c>
      <c r="BJ95" s="88">
        <v>182.15718285692421</v>
      </c>
      <c r="BK95" s="88">
        <v>45.937699444320828</v>
      </c>
      <c r="BL95" s="88">
        <v>75.261050033331713</v>
      </c>
      <c r="BM95" s="88">
        <v>114.38880568474995</v>
      </c>
      <c r="BN95" s="88">
        <v>67.356930841838405</v>
      </c>
      <c r="BO95" s="88">
        <v>47.257615227746122</v>
      </c>
      <c r="BP95" s="88">
        <v>208.10081060668836</v>
      </c>
      <c r="BQ95" s="88">
        <v>30.370207363163143</v>
      </c>
      <c r="BR95" s="88">
        <v>136.06745125976923</v>
      </c>
      <c r="BS95" s="88">
        <v>48.50870748177487</v>
      </c>
      <c r="BT95" s="88">
        <v>76.447472219763767</v>
      </c>
      <c r="BU95" s="88">
        <v>14.972305725446072</v>
      </c>
      <c r="BV95" s="88">
        <v>36.955697552009781</v>
      </c>
      <c r="BW95" s="88">
        <v>52.420719270484611</v>
      </c>
      <c r="BX95" s="88">
        <v>89.035854912559458</v>
      </c>
      <c r="BY95" s="88">
        <v>54.106972315599734</v>
      </c>
      <c r="BZ95" s="88">
        <v>63.371169626698816</v>
      </c>
      <c r="CA95" s="88">
        <v>38.419291227969929</v>
      </c>
      <c r="CB95" s="88">
        <v>108.51140391185474</v>
      </c>
      <c r="CC95" s="88">
        <v>254.54841593797985</v>
      </c>
      <c r="CD95" s="88">
        <v>35.832640292369511</v>
      </c>
      <c r="CE95" s="88">
        <v>138.57494863278322</v>
      </c>
      <c r="CF95" s="88">
        <v>180.13859847650414</v>
      </c>
      <c r="CG95" s="88">
        <v>67.404154607741759</v>
      </c>
      <c r="CH95" s="88">
        <v>242.96238146415243</v>
      </c>
      <c r="CI95" s="88">
        <v>50.636629767180203</v>
      </c>
      <c r="CJ95" s="88">
        <v>169.30442738671999</v>
      </c>
      <c r="CK95" s="88">
        <v>93.635928287691797</v>
      </c>
      <c r="CL95" s="88">
        <v>15.910258366579905</v>
      </c>
      <c r="CM95" s="88">
        <v>24.907435000675594</v>
      </c>
      <c r="CN95" s="88">
        <v>166.93156681234166</v>
      </c>
      <c r="CO95" s="88">
        <v>139.3189721141261</v>
      </c>
      <c r="CP95" s="88">
        <v>183.79632884631579</v>
      </c>
      <c r="CQ95" s="88">
        <v>0</v>
      </c>
      <c r="CR95" s="88">
        <v>80.762560536071803</v>
      </c>
      <c r="CS95" s="89">
        <v>49.69969636182298</v>
      </c>
    </row>
    <row r="96" spans="2:97" x14ac:dyDescent="0.3">
      <c r="B96" s="83" t="s">
        <v>153</v>
      </c>
      <c r="C96" s="88">
        <v>151.62387582585265</v>
      </c>
      <c r="D96" s="88">
        <v>36.009545110206616</v>
      </c>
      <c r="E96" s="88">
        <v>66.473881143929518</v>
      </c>
      <c r="F96" s="88">
        <v>97.111379189130716</v>
      </c>
      <c r="G96" s="88">
        <v>167.13915012250405</v>
      </c>
      <c r="H96" s="88">
        <v>125.46068774932895</v>
      </c>
      <c r="I96" s="88">
        <v>157.27982115756984</v>
      </c>
      <c r="J96" s="88">
        <v>47.213409786012996</v>
      </c>
      <c r="K96" s="88">
        <v>86.924206282233712</v>
      </c>
      <c r="L96" s="88">
        <v>267.61789395272694</v>
      </c>
      <c r="M96" s="88">
        <v>27.449482551617113</v>
      </c>
      <c r="N96" s="88">
        <v>101.57362271577001</v>
      </c>
      <c r="O96" s="88">
        <v>185.03202586358276</v>
      </c>
      <c r="P96" s="88">
        <v>88.066217649690444</v>
      </c>
      <c r="Q96" s="88">
        <v>211.26706193232752</v>
      </c>
      <c r="R96" s="88">
        <v>53.945194694356339</v>
      </c>
      <c r="S96" s="88">
        <v>125.532336085368</v>
      </c>
      <c r="T96" s="88">
        <v>106.33382448697606</v>
      </c>
      <c r="U96" s="88">
        <v>20.073801354803926</v>
      </c>
      <c r="V96" s="88">
        <v>59.888913973624071</v>
      </c>
      <c r="W96" s="88">
        <v>70.726228034315412</v>
      </c>
      <c r="X96" s="88">
        <v>31.061450894575813</v>
      </c>
      <c r="Y96" s="88">
        <v>140.9998328633136</v>
      </c>
      <c r="Z96" s="88">
        <v>149.30063943716507</v>
      </c>
      <c r="AA96" s="88">
        <v>114.68654039408783</v>
      </c>
      <c r="AB96" s="88">
        <v>68.241061669744312</v>
      </c>
      <c r="AC96" s="88">
        <v>113.92054461198228</v>
      </c>
      <c r="AD96" s="88">
        <v>48.371477572552685</v>
      </c>
      <c r="AE96" s="88">
        <v>190.95027743195399</v>
      </c>
      <c r="AF96" s="88">
        <v>227.12949333594204</v>
      </c>
      <c r="AG96" s="88">
        <v>74.657690656089102</v>
      </c>
      <c r="AH96" s="88">
        <v>203.96924587649067</v>
      </c>
      <c r="AI96" s="88">
        <v>109.15907836687769</v>
      </c>
      <c r="AJ96" s="88">
        <v>209.40747437585492</v>
      </c>
      <c r="AK96" s="88">
        <v>126.86497038639834</v>
      </c>
      <c r="AL96" s="88">
        <v>86.731712026703804</v>
      </c>
      <c r="AM96" s="88">
        <v>223.61766915165259</v>
      </c>
      <c r="AN96" s="88">
        <v>135.38822815857205</v>
      </c>
      <c r="AO96" s="88">
        <v>85.060069114474359</v>
      </c>
      <c r="AP96" s="88">
        <v>83.884046160223249</v>
      </c>
      <c r="AQ96" s="88">
        <v>32.763948946601865</v>
      </c>
      <c r="AR96" s="88">
        <v>53.093330028012936</v>
      </c>
      <c r="AS96" s="88">
        <v>50.04767879513706</v>
      </c>
      <c r="AT96" s="88">
        <v>75.528805839778855</v>
      </c>
      <c r="AU96" s="88">
        <v>193.22823503609715</v>
      </c>
      <c r="AV96" s="88">
        <v>283.93810433451011</v>
      </c>
      <c r="AW96" s="88">
        <v>165.70192363375588</v>
      </c>
      <c r="AX96" s="88">
        <v>147.91504887239549</v>
      </c>
      <c r="AY96" s="88">
        <v>153.21553324553193</v>
      </c>
      <c r="AZ96" s="88">
        <v>54.41253042384507</v>
      </c>
      <c r="BA96" s="88">
        <v>41.84688107827116</v>
      </c>
      <c r="BB96" s="88">
        <v>54.851920759320173</v>
      </c>
      <c r="BC96" s="88">
        <v>145.26044001632545</v>
      </c>
      <c r="BD96" s="88">
        <v>66.395573752356313</v>
      </c>
      <c r="BE96" s="88">
        <v>110.48034875838081</v>
      </c>
      <c r="BF96" s="88">
        <v>89.085371376580241</v>
      </c>
      <c r="BG96" s="88">
        <v>30.283401058526714</v>
      </c>
      <c r="BH96" s="88">
        <v>21.573636059340867</v>
      </c>
      <c r="BI96" s="88">
        <v>132.01605625883124</v>
      </c>
      <c r="BJ96" s="88">
        <v>105.88701170844375</v>
      </c>
      <c r="BK96" s="88">
        <v>119.85485809620705</v>
      </c>
      <c r="BL96" s="88">
        <v>151.6640363938194</v>
      </c>
      <c r="BM96" s="88">
        <v>49.619111998027797</v>
      </c>
      <c r="BN96" s="88">
        <v>51.856108397088498</v>
      </c>
      <c r="BO96" s="88">
        <v>126.73985744208028</v>
      </c>
      <c r="BP96" s="88">
        <v>129.52773054611862</v>
      </c>
      <c r="BQ96" s="88">
        <v>95.086240532638044</v>
      </c>
      <c r="BR96" s="88">
        <v>56.530383168385114</v>
      </c>
      <c r="BS96" s="88">
        <v>111.47411554614405</v>
      </c>
      <c r="BT96" s="88">
        <v>143.81628715812226</v>
      </c>
      <c r="BU96" s="88">
        <v>80.221564251589044</v>
      </c>
      <c r="BV96" s="88">
        <v>112.37541640949489</v>
      </c>
      <c r="BW96" s="88">
        <v>132.95709949807909</v>
      </c>
      <c r="BX96" s="88">
        <v>43.648265922358036</v>
      </c>
      <c r="BY96" s="88">
        <v>27.195753484076942</v>
      </c>
      <c r="BZ96" s="88">
        <v>138.53823640818524</v>
      </c>
      <c r="CA96" s="88">
        <v>90.978737480950372</v>
      </c>
      <c r="CB96" s="88">
        <v>189.03828176012433</v>
      </c>
      <c r="CC96" s="88">
        <v>175.2819060337315</v>
      </c>
      <c r="CD96" s="88">
        <v>58.059167934301776</v>
      </c>
      <c r="CE96" s="88">
        <v>67.089770109685531</v>
      </c>
      <c r="CF96" s="88">
        <v>259.52303437640757</v>
      </c>
      <c r="CG96" s="88">
        <v>46.653248950400155</v>
      </c>
      <c r="CH96" s="88">
        <v>162.58406430285089</v>
      </c>
      <c r="CI96" s="88">
        <v>53.809221306765522</v>
      </c>
      <c r="CJ96" s="88">
        <v>249.93205621935741</v>
      </c>
      <c r="CK96" s="88">
        <v>172.96086405640281</v>
      </c>
      <c r="CL96" s="88">
        <v>82.137667868503542</v>
      </c>
      <c r="CM96" s="88">
        <v>64.481899099510869</v>
      </c>
      <c r="CN96" s="88">
        <v>247.10586816655149</v>
      </c>
      <c r="CO96" s="88">
        <v>67.338243890716399</v>
      </c>
      <c r="CP96" s="88">
        <v>105.26996916178764</v>
      </c>
      <c r="CQ96" s="88">
        <v>80.762560536071803</v>
      </c>
      <c r="CR96" s="88">
        <v>0</v>
      </c>
      <c r="CS96" s="89">
        <v>38.163516357788964</v>
      </c>
    </row>
    <row r="97" spans="2:97" x14ac:dyDescent="0.3">
      <c r="B97" s="83" t="s">
        <v>154</v>
      </c>
      <c r="C97" s="89">
        <v>117.28698092161522</v>
      </c>
      <c r="D97" s="89">
        <v>45.255136313139218</v>
      </c>
      <c r="E97" s="89">
        <v>99.110735116057967</v>
      </c>
      <c r="F97" s="89">
        <v>72.40132524449271</v>
      </c>
      <c r="G97" s="89">
        <v>136.75249172439527</v>
      </c>
      <c r="H97" s="89">
        <v>106.41297650914316</v>
      </c>
      <c r="I97" s="89">
        <v>121.01185953640591</v>
      </c>
      <c r="J97" s="89">
        <v>27.347329020368758</v>
      </c>
      <c r="K97" s="89">
        <v>121.00824075992202</v>
      </c>
      <c r="L97" s="89">
        <v>232.86755468373758</v>
      </c>
      <c r="M97" s="89">
        <v>44.647654252536334</v>
      </c>
      <c r="N97" s="89">
        <v>139.46700907042472</v>
      </c>
      <c r="O97" s="89">
        <v>148.74251624351112</v>
      </c>
      <c r="P97" s="89">
        <v>50.142016942362638</v>
      </c>
      <c r="Q97" s="89">
        <v>178.3583881501431</v>
      </c>
      <c r="R97" s="89">
        <v>47.618046010088101</v>
      </c>
      <c r="S97" s="89">
        <v>160.78935308839232</v>
      </c>
      <c r="T97" s="89">
        <v>74.02054089678974</v>
      </c>
      <c r="U97" s="89">
        <v>27.213906400023625</v>
      </c>
      <c r="V97" s="89">
        <v>108.43890234009608</v>
      </c>
      <c r="W97" s="89">
        <v>28.672601269495427</v>
      </c>
      <c r="X97" s="89">
        <v>59.145824536139067</v>
      </c>
      <c r="Y97" s="89">
        <v>174.24515718764005</v>
      </c>
      <c r="Z97" s="89">
        <v>187.21744037094203</v>
      </c>
      <c r="AA97" s="89">
        <v>77.720535197085468</v>
      </c>
      <c r="AB97" s="89">
        <v>70.118128950394834</v>
      </c>
      <c r="AC97" s="89">
        <v>147.70269491358809</v>
      </c>
      <c r="AD97" s="89">
        <v>77.834206980432327</v>
      </c>
      <c r="AE97" s="89">
        <v>155.80874263190336</v>
      </c>
      <c r="AF97" s="89">
        <v>192.74985624594433</v>
      </c>
      <c r="AG97" s="89">
        <v>62.067381984216269</v>
      </c>
      <c r="AH97" s="89">
        <v>169.25434759774117</v>
      </c>
      <c r="AI97" s="89">
        <v>92.692295238536076</v>
      </c>
      <c r="AJ97" s="89">
        <v>173.25015493596075</v>
      </c>
      <c r="AK97" s="89">
        <v>165.01686673650215</v>
      </c>
      <c r="AL97" s="89">
        <v>124.94684882156682</v>
      </c>
      <c r="AM97" s="89">
        <v>187.95044309312121</v>
      </c>
      <c r="AN97" s="89">
        <v>171.97170554964242</v>
      </c>
      <c r="AO97" s="89">
        <v>122.11998354977563</v>
      </c>
      <c r="AP97" s="89">
        <v>112.43531594429281</v>
      </c>
      <c r="AQ97" s="89">
        <v>70.15323712276323</v>
      </c>
      <c r="AR97" s="89">
        <v>79.720242199522033</v>
      </c>
      <c r="AS97" s="89">
        <v>82.972354519454058</v>
      </c>
      <c r="AT97" s="89">
        <v>37.588451878357567</v>
      </c>
      <c r="AU97" s="89">
        <v>159.50515726349667</v>
      </c>
      <c r="AV97" s="89">
        <v>248.66125998376623</v>
      </c>
      <c r="AW97" s="89">
        <v>132.43911657781865</v>
      </c>
      <c r="AX97" s="89">
        <v>178.6993888050369</v>
      </c>
      <c r="AY97" s="89">
        <v>188.56910879318761</v>
      </c>
      <c r="AZ97" s="89">
        <v>89.492440805334937</v>
      </c>
      <c r="BA97" s="89">
        <v>79.8544116323108</v>
      </c>
      <c r="BB97" s="89">
        <v>72.048315478857305</v>
      </c>
      <c r="BC97" s="89">
        <v>114.92957179710267</v>
      </c>
      <c r="BD97" s="89">
        <v>30.693360702816715</v>
      </c>
      <c r="BE97" s="89">
        <v>147.32243399627538</v>
      </c>
      <c r="BF97" s="89">
        <v>80.465493421145325</v>
      </c>
      <c r="BG97" s="89">
        <v>54.20698766234792</v>
      </c>
      <c r="BH97" s="89">
        <v>57.374446228307193</v>
      </c>
      <c r="BI97" s="89">
        <v>106.94131287256049</v>
      </c>
      <c r="BJ97" s="89">
        <v>144.223353137054</v>
      </c>
      <c r="BK97" s="89">
        <v>94.34035423256951</v>
      </c>
      <c r="BL97" s="89">
        <v>124.84973845812009</v>
      </c>
      <c r="BM97" s="89">
        <v>64.929535889067395</v>
      </c>
      <c r="BN97" s="89">
        <v>60.293768065606187</v>
      </c>
      <c r="BO97" s="89">
        <v>92.085438369166695</v>
      </c>
      <c r="BP97" s="89">
        <v>159.63467653991228</v>
      </c>
      <c r="BQ97" s="89">
        <v>57.829524564324878</v>
      </c>
      <c r="BR97" s="89">
        <v>94.381240928653497</v>
      </c>
      <c r="BS97" s="89">
        <v>73.609399509332846</v>
      </c>
      <c r="BT97" s="89">
        <v>122.77266860504722</v>
      </c>
      <c r="BU97" s="89">
        <v>44.832115648998247</v>
      </c>
      <c r="BV97" s="89">
        <v>85.73298151053973</v>
      </c>
      <c r="BW97" s="89">
        <v>101.53848059207085</v>
      </c>
      <c r="BX97" s="89">
        <v>40.93774880001007</v>
      </c>
      <c r="BY97" s="89">
        <v>22.599132602535327</v>
      </c>
      <c r="BZ97" s="89">
        <v>101.79922239700349</v>
      </c>
      <c r="CA97" s="89">
        <v>73.601249125041619</v>
      </c>
      <c r="CB97" s="89">
        <v>157.34930880149631</v>
      </c>
      <c r="CC97" s="89">
        <v>212.92547177027427</v>
      </c>
      <c r="CD97" s="89">
        <v>20.148315857322089</v>
      </c>
      <c r="CE97" s="89">
        <v>89.131337062500165</v>
      </c>
      <c r="CF97" s="89">
        <v>223.87358888318039</v>
      </c>
      <c r="CG97" s="89">
        <v>23.567558415820148</v>
      </c>
      <c r="CH97" s="89">
        <v>199.2264967738457</v>
      </c>
      <c r="CI97" s="89">
        <v>18.190809461573387</v>
      </c>
      <c r="CJ97" s="89">
        <v>215.94107316197045</v>
      </c>
      <c r="CK97" s="89">
        <v>137.58349291971021</v>
      </c>
      <c r="CL97" s="89">
        <v>56.991136696291186</v>
      </c>
      <c r="CM97" s="89">
        <v>43.940109518654722</v>
      </c>
      <c r="CN97" s="89">
        <v>212.25200628951518</v>
      </c>
      <c r="CO97" s="89">
        <v>104.94565897996374</v>
      </c>
      <c r="CP97" s="89">
        <v>135.39300334587148</v>
      </c>
      <c r="CQ97" s="89">
        <v>49.69969636182298</v>
      </c>
      <c r="CR97" s="89">
        <v>38.163516357788964</v>
      </c>
      <c r="CS97" s="89">
        <v>0</v>
      </c>
    </row>
    <row r="101" spans="2:97" ht="18" x14ac:dyDescent="0.35">
      <c r="B101" s="86" t="s">
        <v>249</v>
      </c>
      <c r="C101" s="87"/>
    </row>
    <row r="103" spans="2:97" x14ac:dyDescent="0.3">
      <c r="B103" s="83"/>
      <c r="C103" s="83" t="s">
        <v>60</v>
      </c>
      <c r="D103" s="83" t="s">
        <v>61</v>
      </c>
      <c r="E103" s="83" t="s">
        <v>62</v>
      </c>
      <c r="F103" s="83" t="s">
        <v>63</v>
      </c>
      <c r="G103" s="83" t="s">
        <v>64</v>
      </c>
      <c r="H103" s="83" t="s">
        <v>65</v>
      </c>
      <c r="I103" s="83" t="s">
        <v>66</v>
      </c>
      <c r="J103" s="83" t="s">
        <v>67</v>
      </c>
      <c r="K103" s="83" t="s">
        <v>68</v>
      </c>
      <c r="L103" s="83" t="s">
        <v>69</v>
      </c>
      <c r="M103" s="83" t="s">
        <v>70</v>
      </c>
      <c r="N103" s="83" t="s">
        <v>71</v>
      </c>
      <c r="O103" s="83" t="s">
        <v>72</v>
      </c>
      <c r="P103" s="83" t="s">
        <v>73</v>
      </c>
      <c r="Q103" s="83" t="s">
        <v>74</v>
      </c>
      <c r="R103" s="83" t="s">
        <v>75</v>
      </c>
      <c r="S103" s="83" t="s">
        <v>76</v>
      </c>
      <c r="T103" s="83" t="s">
        <v>77</v>
      </c>
      <c r="U103" s="83" t="s">
        <v>78</v>
      </c>
      <c r="V103" s="83" t="s">
        <v>79</v>
      </c>
      <c r="W103" s="83" t="s">
        <v>159</v>
      </c>
      <c r="X103" s="83" t="s">
        <v>81</v>
      </c>
      <c r="Y103" s="83" t="s">
        <v>82</v>
      </c>
      <c r="Z103" s="83" t="s">
        <v>83</v>
      </c>
      <c r="AA103" s="83" t="s">
        <v>84</v>
      </c>
      <c r="AB103" s="83" t="s">
        <v>85</v>
      </c>
      <c r="AC103" s="83" t="s">
        <v>86</v>
      </c>
      <c r="AD103" s="83" t="s">
        <v>87</v>
      </c>
      <c r="AE103" s="83" t="s">
        <v>88</v>
      </c>
      <c r="AF103" s="83" t="s">
        <v>89</v>
      </c>
      <c r="AG103" s="83" t="s">
        <v>90</v>
      </c>
      <c r="AH103" s="83" t="s">
        <v>91</v>
      </c>
      <c r="AI103" s="83" t="s">
        <v>92</v>
      </c>
      <c r="AJ103" s="83" t="s">
        <v>93</v>
      </c>
      <c r="AK103" s="83" t="s">
        <v>94</v>
      </c>
      <c r="AL103" s="83" t="s">
        <v>95</v>
      </c>
      <c r="AM103" s="83" t="s">
        <v>96</v>
      </c>
      <c r="AN103" s="83" t="s">
        <v>97</v>
      </c>
      <c r="AO103" s="83" t="s">
        <v>98</v>
      </c>
      <c r="AP103" s="83" t="s">
        <v>99</v>
      </c>
      <c r="AQ103" s="83" t="s">
        <v>100</v>
      </c>
      <c r="AR103" s="83" t="s">
        <v>101</v>
      </c>
      <c r="AS103" s="83" t="s">
        <v>102</v>
      </c>
      <c r="AT103" s="83" t="s">
        <v>103</v>
      </c>
      <c r="AU103" s="83" t="s">
        <v>104</v>
      </c>
      <c r="AV103" s="83" t="s">
        <v>105</v>
      </c>
      <c r="AW103" s="83" t="s">
        <v>106</v>
      </c>
      <c r="AX103" s="83" t="s">
        <v>107</v>
      </c>
      <c r="AY103" s="83" t="s">
        <v>108</v>
      </c>
      <c r="AZ103" s="83" t="s">
        <v>109</v>
      </c>
      <c r="BA103" s="83" t="s">
        <v>110</v>
      </c>
      <c r="BB103" s="83" t="s">
        <v>111</v>
      </c>
      <c r="BC103" s="83" t="s">
        <v>112</v>
      </c>
      <c r="BD103" s="83" t="s">
        <v>115</v>
      </c>
      <c r="BE103" s="83" t="s">
        <v>116</v>
      </c>
      <c r="BF103" s="83" t="s">
        <v>117</v>
      </c>
      <c r="BG103" s="83" t="s">
        <v>118</v>
      </c>
      <c r="BH103" s="83" t="s">
        <v>119</v>
      </c>
      <c r="BI103" s="83" t="s">
        <v>113</v>
      </c>
      <c r="BJ103" s="83" t="s">
        <v>114</v>
      </c>
      <c r="BK103" s="83" t="s">
        <v>120</v>
      </c>
      <c r="BL103" s="83" t="s">
        <v>121</v>
      </c>
      <c r="BM103" s="83" t="s">
        <v>122</v>
      </c>
      <c r="BN103" s="83" t="s">
        <v>123</v>
      </c>
      <c r="BO103" s="83" t="s">
        <v>124</v>
      </c>
      <c r="BP103" s="83" t="s">
        <v>125</v>
      </c>
      <c r="BQ103" s="83" t="s">
        <v>126</v>
      </c>
      <c r="BR103" s="83" t="s">
        <v>127</v>
      </c>
      <c r="BS103" s="83" t="s">
        <v>128</v>
      </c>
      <c r="BT103" s="83" t="s">
        <v>129</v>
      </c>
      <c r="BU103" s="83" t="s">
        <v>130</v>
      </c>
      <c r="BV103" s="83" t="s">
        <v>131</v>
      </c>
      <c r="BW103" s="83" t="s">
        <v>132</v>
      </c>
      <c r="BX103" s="83" t="s">
        <v>133</v>
      </c>
      <c r="BY103" s="83" t="s">
        <v>134</v>
      </c>
      <c r="BZ103" s="83" t="s">
        <v>135</v>
      </c>
      <c r="CA103" s="83" t="s">
        <v>136</v>
      </c>
      <c r="CB103" s="83" t="s">
        <v>137</v>
      </c>
      <c r="CC103" s="83" t="s">
        <v>138</v>
      </c>
      <c r="CD103" s="83" t="s">
        <v>139</v>
      </c>
      <c r="CE103" s="83" t="s">
        <v>140</v>
      </c>
      <c r="CF103" s="83" t="s">
        <v>141</v>
      </c>
      <c r="CG103" s="83" t="s">
        <v>142</v>
      </c>
      <c r="CH103" s="83" t="s">
        <v>143</v>
      </c>
      <c r="CI103" s="83" t="s">
        <v>144</v>
      </c>
      <c r="CJ103" s="83" t="s">
        <v>145</v>
      </c>
      <c r="CK103" s="83" t="s">
        <v>146</v>
      </c>
      <c r="CL103" s="83" t="s">
        <v>147</v>
      </c>
      <c r="CM103" s="83" t="s">
        <v>148</v>
      </c>
      <c r="CN103" s="83" t="s">
        <v>149</v>
      </c>
      <c r="CO103" s="83" t="s">
        <v>150</v>
      </c>
      <c r="CP103" s="83" t="s">
        <v>151</v>
      </c>
      <c r="CQ103" s="83" t="s">
        <v>152</v>
      </c>
      <c r="CR103" s="83" t="s">
        <v>153</v>
      </c>
      <c r="CS103" s="83" t="s">
        <v>154</v>
      </c>
    </row>
    <row r="104" spans="2:97" x14ac:dyDescent="0.3">
      <c r="B104" s="83" t="s">
        <v>60</v>
      </c>
      <c r="C104" s="99">
        <v>1</v>
      </c>
      <c r="D104" s="99">
        <v>0</v>
      </c>
      <c r="E104" s="99">
        <v>0</v>
      </c>
      <c r="F104" s="99">
        <v>0</v>
      </c>
      <c r="G104" s="99">
        <v>1</v>
      </c>
      <c r="H104" s="99">
        <v>0</v>
      </c>
      <c r="I104" s="99">
        <v>1</v>
      </c>
      <c r="J104" s="99">
        <v>0</v>
      </c>
      <c r="K104" s="99">
        <v>0</v>
      </c>
      <c r="L104" s="99">
        <v>1</v>
      </c>
      <c r="M104" s="99">
        <v>0</v>
      </c>
      <c r="N104" s="99">
        <v>0</v>
      </c>
      <c r="O104" s="99">
        <v>1</v>
      </c>
      <c r="P104" s="99">
        <v>0</v>
      </c>
      <c r="Q104" s="99">
        <v>1</v>
      </c>
      <c r="R104" s="99">
        <v>0</v>
      </c>
      <c r="S104" s="99">
        <v>0</v>
      </c>
      <c r="T104" s="99">
        <v>0</v>
      </c>
      <c r="U104" s="99">
        <v>0</v>
      </c>
      <c r="V104" s="99">
        <v>0</v>
      </c>
      <c r="W104" s="99">
        <v>0</v>
      </c>
      <c r="X104" s="99">
        <v>0</v>
      </c>
      <c r="Y104" s="99">
        <v>0</v>
      </c>
      <c r="Z104" s="99">
        <v>0</v>
      </c>
      <c r="AA104" s="99">
        <v>0</v>
      </c>
      <c r="AB104" s="99">
        <v>0</v>
      </c>
      <c r="AC104" s="99">
        <v>0</v>
      </c>
      <c r="AD104" s="99">
        <v>0</v>
      </c>
      <c r="AE104" s="99">
        <v>1</v>
      </c>
      <c r="AF104" s="99">
        <v>1</v>
      </c>
      <c r="AG104" s="99">
        <v>0</v>
      </c>
      <c r="AH104" s="99">
        <v>1</v>
      </c>
      <c r="AI104" s="99">
        <v>0</v>
      </c>
      <c r="AJ104" s="99">
        <v>1</v>
      </c>
      <c r="AK104" s="99">
        <v>0</v>
      </c>
      <c r="AL104" s="99">
        <v>0</v>
      </c>
      <c r="AM104" s="99">
        <v>1</v>
      </c>
      <c r="AN104" s="99">
        <v>0</v>
      </c>
      <c r="AO104" s="99">
        <v>0</v>
      </c>
      <c r="AP104" s="99">
        <v>0</v>
      </c>
      <c r="AQ104" s="99">
        <v>0</v>
      </c>
      <c r="AR104" s="99">
        <v>0</v>
      </c>
      <c r="AS104" s="99">
        <v>0</v>
      </c>
      <c r="AT104" s="99">
        <v>0</v>
      </c>
      <c r="AU104" s="99">
        <v>1</v>
      </c>
      <c r="AV104" s="99">
        <v>1</v>
      </c>
      <c r="AW104" s="99">
        <v>1</v>
      </c>
      <c r="AX104" s="99">
        <v>0</v>
      </c>
      <c r="AY104" s="99">
        <v>0</v>
      </c>
      <c r="AZ104" s="99">
        <v>0</v>
      </c>
      <c r="BA104" s="99">
        <v>0</v>
      </c>
      <c r="BB104" s="99">
        <v>0</v>
      </c>
      <c r="BC104" s="99">
        <v>1</v>
      </c>
      <c r="BD104" s="99">
        <v>0</v>
      </c>
      <c r="BE104" s="99">
        <v>0</v>
      </c>
      <c r="BF104" s="99">
        <v>0</v>
      </c>
      <c r="BG104" s="99">
        <v>0</v>
      </c>
      <c r="BH104" s="99">
        <v>0</v>
      </c>
      <c r="BI104" s="99">
        <v>0</v>
      </c>
      <c r="BJ104" s="99">
        <v>0</v>
      </c>
      <c r="BK104" s="99">
        <v>0</v>
      </c>
      <c r="BL104" s="99">
        <v>1</v>
      </c>
      <c r="BM104" s="99">
        <v>0</v>
      </c>
      <c r="BN104" s="99">
        <v>0</v>
      </c>
      <c r="BO104" s="99">
        <v>1</v>
      </c>
      <c r="BP104" s="99">
        <v>0</v>
      </c>
      <c r="BQ104" s="99">
        <v>0</v>
      </c>
      <c r="BR104" s="99">
        <v>0</v>
      </c>
      <c r="BS104" s="99">
        <v>0</v>
      </c>
      <c r="BT104" s="99">
        <v>0</v>
      </c>
      <c r="BU104" s="99">
        <v>0</v>
      </c>
      <c r="BV104" s="99">
        <v>0</v>
      </c>
      <c r="BW104" s="99">
        <v>1</v>
      </c>
      <c r="BX104" s="99">
        <v>0</v>
      </c>
      <c r="BY104" s="99">
        <v>0</v>
      </c>
      <c r="BZ104" s="99">
        <v>1</v>
      </c>
      <c r="CA104" s="99">
        <v>0</v>
      </c>
      <c r="CB104" s="99">
        <v>1</v>
      </c>
      <c r="CC104" s="99">
        <v>0</v>
      </c>
      <c r="CD104" s="99">
        <v>0</v>
      </c>
      <c r="CE104" s="99">
        <v>0</v>
      </c>
      <c r="CF104" s="99">
        <v>1</v>
      </c>
      <c r="CG104" s="99">
        <v>0</v>
      </c>
      <c r="CH104" s="99">
        <v>0</v>
      </c>
      <c r="CI104" s="99">
        <v>0</v>
      </c>
      <c r="CJ104" s="99">
        <v>1</v>
      </c>
      <c r="CK104" s="99">
        <v>1</v>
      </c>
      <c r="CL104" s="99">
        <v>0</v>
      </c>
      <c r="CM104" s="99">
        <v>0</v>
      </c>
      <c r="CN104" s="99">
        <v>1</v>
      </c>
      <c r="CO104" s="99">
        <v>0</v>
      </c>
      <c r="CP104" s="99">
        <v>0</v>
      </c>
      <c r="CQ104" s="99">
        <v>0</v>
      </c>
      <c r="CR104" s="99">
        <v>0</v>
      </c>
      <c r="CS104" s="98">
        <v>0</v>
      </c>
    </row>
    <row r="105" spans="2:97" x14ac:dyDescent="0.3">
      <c r="B105" s="83" t="s">
        <v>61</v>
      </c>
      <c r="C105" s="99">
        <v>0</v>
      </c>
      <c r="D105" s="99">
        <v>1</v>
      </c>
      <c r="E105" s="99">
        <v>0</v>
      </c>
      <c r="F105" s="99">
        <v>0</v>
      </c>
      <c r="G105" s="99">
        <v>0</v>
      </c>
      <c r="H105" s="99">
        <v>0</v>
      </c>
      <c r="I105" s="99">
        <v>0</v>
      </c>
      <c r="J105" s="99">
        <v>0</v>
      </c>
      <c r="K105" s="99">
        <v>0</v>
      </c>
      <c r="L105" s="99">
        <v>0</v>
      </c>
      <c r="M105" s="99">
        <v>1</v>
      </c>
      <c r="N105" s="99">
        <v>0</v>
      </c>
      <c r="O105" s="99">
        <v>0</v>
      </c>
      <c r="P105" s="99">
        <v>0</v>
      </c>
      <c r="Q105" s="99">
        <v>0</v>
      </c>
      <c r="R105" s="99">
        <v>0</v>
      </c>
      <c r="S105" s="99">
        <v>0</v>
      </c>
      <c r="T105" s="99">
        <v>0</v>
      </c>
      <c r="U105" s="99">
        <v>1</v>
      </c>
      <c r="V105" s="99">
        <v>0</v>
      </c>
      <c r="W105" s="99">
        <v>0</v>
      </c>
      <c r="X105" s="99">
        <v>1</v>
      </c>
      <c r="Y105" s="99">
        <v>0</v>
      </c>
      <c r="Z105" s="99">
        <v>0</v>
      </c>
      <c r="AA105" s="99">
        <v>0</v>
      </c>
      <c r="AB105" s="99">
        <v>0</v>
      </c>
      <c r="AC105" s="99">
        <v>0</v>
      </c>
      <c r="AD105" s="99">
        <v>1</v>
      </c>
      <c r="AE105" s="99">
        <v>0</v>
      </c>
      <c r="AF105" s="99">
        <v>0</v>
      </c>
      <c r="AG105" s="99">
        <v>0</v>
      </c>
      <c r="AH105" s="99">
        <v>0</v>
      </c>
      <c r="AI105" s="99">
        <v>0</v>
      </c>
      <c r="AJ105" s="99">
        <v>0</v>
      </c>
      <c r="AK105" s="99">
        <v>0</v>
      </c>
      <c r="AL105" s="99">
        <v>0</v>
      </c>
      <c r="AM105" s="99">
        <v>0</v>
      </c>
      <c r="AN105" s="99">
        <v>0</v>
      </c>
      <c r="AO105" s="99">
        <v>0</v>
      </c>
      <c r="AP105" s="99">
        <v>0</v>
      </c>
      <c r="AQ105" s="99">
        <v>1</v>
      </c>
      <c r="AR105" s="99">
        <v>1</v>
      </c>
      <c r="AS105" s="99">
        <v>1</v>
      </c>
      <c r="AT105" s="99">
        <v>0</v>
      </c>
      <c r="AU105" s="99">
        <v>0</v>
      </c>
      <c r="AV105" s="99">
        <v>0</v>
      </c>
      <c r="AW105" s="99">
        <v>0</v>
      </c>
      <c r="AX105" s="99">
        <v>0</v>
      </c>
      <c r="AY105" s="99">
        <v>0</v>
      </c>
      <c r="AZ105" s="99">
        <v>1</v>
      </c>
      <c r="BA105" s="99">
        <v>1</v>
      </c>
      <c r="BB105" s="99">
        <v>1</v>
      </c>
      <c r="BC105" s="99">
        <v>0</v>
      </c>
      <c r="BD105" s="99">
        <v>1</v>
      </c>
      <c r="BE105" s="99">
        <v>0</v>
      </c>
      <c r="BF105" s="99">
        <v>0</v>
      </c>
      <c r="BG105" s="99">
        <v>1</v>
      </c>
      <c r="BH105" s="99">
        <v>1</v>
      </c>
      <c r="BI105" s="99">
        <v>0</v>
      </c>
      <c r="BJ105" s="99">
        <v>0</v>
      </c>
      <c r="BK105" s="99">
        <v>0</v>
      </c>
      <c r="BL105" s="99">
        <v>0</v>
      </c>
      <c r="BM105" s="99">
        <v>1</v>
      </c>
      <c r="BN105" s="99">
        <v>1</v>
      </c>
      <c r="BO105" s="99">
        <v>0</v>
      </c>
      <c r="BP105" s="99">
        <v>0</v>
      </c>
      <c r="BQ105" s="99">
        <v>0</v>
      </c>
      <c r="BR105" s="99">
        <v>1</v>
      </c>
      <c r="BS105" s="99">
        <v>0</v>
      </c>
      <c r="BT105" s="99">
        <v>0</v>
      </c>
      <c r="BU105" s="99">
        <v>0</v>
      </c>
      <c r="BV105" s="99">
        <v>0</v>
      </c>
      <c r="BW105" s="99">
        <v>0</v>
      </c>
      <c r="BX105" s="99">
        <v>1</v>
      </c>
      <c r="BY105" s="99">
        <v>1</v>
      </c>
      <c r="BZ105" s="99">
        <v>0</v>
      </c>
      <c r="CA105" s="99">
        <v>0</v>
      </c>
      <c r="CB105" s="99">
        <v>0</v>
      </c>
      <c r="CC105" s="99">
        <v>0</v>
      </c>
      <c r="CD105" s="99">
        <v>1</v>
      </c>
      <c r="CE105" s="99">
        <v>1</v>
      </c>
      <c r="CF105" s="99">
        <v>0</v>
      </c>
      <c r="CG105" s="99">
        <v>1</v>
      </c>
      <c r="CH105" s="99">
        <v>0</v>
      </c>
      <c r="CI105" s="99">
        <v>1</v>
      </c>
      <c r="CJ105" s="99">
        <v>0</v>
      </c>
      <c r="CK105" s="99">
        <v>0</v>
      </c>
      <c r="CL105" s="99">
        <v>0</v>
      </c>
      <c r="CM105" s="99">
        <v>0</v>
      </c>
      <c r="CN105" s="99">
        <v>0</v>
      </c>
      <c r="CO105" s="99">
        <v>1</v>
      </c>
      <c r="CP105" s="99">
        <v>0</v>
      </c>
      <c r="CQ105" s="99">
        <v>0</v>
      </c>
      <c r="CR105" s="99">
        <v>1</v>
      </c>
      <c r="CS105" s="98">
        <v>1</v>
      </c>
    </row>
    <row r="106" spans="2:97" x14ac:dyDescent="0.3">
      <c r="B106" s="83" t="s">
        <v>62</v>
      </c>
      <c r="C106" s="99">
        <v>0</v>
      </c>
      <c r="D106" s="99">
        <v>0</v>
      </c>
      <c r="E106" s="99">
        <v>1</v>
      </c>
      <c r="F106" s="99">
        <v>0</v>
      </c>
      <c r="G106" s="99">
        <v>0</v>
      </c>
      <c r="H106" s="99">
        <v>0</v>
      </c>
      <c r="I106" s="99">
        <v>0</v>
      </c>
      <c r="J106" s="99">
        <v>0</v>
      </c>
      <c r="K106" s="99">
        <v>1</v>
      </c>
      <c r="L106" s="99">
        <v>0</v>
      </c>
      <c r="M106" s="99">
        <v>0</v>
      </c>
      <c r="N106" s="99">
        <v>1</v>
      </c>
      <c r="O106" s="99">
        <v>0</v>
      </c>
      <c r="P106" s="99">
        <v>0</v>
      </c>
      <c r="Q106" s="99">
        <v>0</v>
      </c>
      <c r="R106" s="99">
        <v>0</v>
      </c>
      <c r="S106" s="99">
        <v>1</v>
      </c>
      <c r="T106" s="99">
        <v>0</v>
      </c>
      <c r="U106" s="99">
        <v>0</v>
      </c>
      <c r="V106" s="99">
        <v>1</v>
      </c>
      <c r="W106" s="99">
        <v>0</v>
      </c>
      <c r="X106" s="99">
        <v>0</v>
      </c>
      <c r="Y106" s="99">
        <v>1</v>
      </c>
      <c r="Z106" s="99">
        <v>1</v>
      </c>
      <c r="AA106" s="99">
        <v>0</v>
      </c>
      <c r="AB106" s="99">
        <v>0</v>
      </c>
      <c r="AC106" s="99">
        <v>1</v>
      </c>
      <c r="AD106" s="99">
        <v>0</v>
      </c>
      <c r="AE106" s="99">
        <v>0</v>
      </c>
      <c r="AF106" s="99">
        <v>0</v>
      </c>
      <c r="AG106" s="99">
        <v>0</v>
      </c>
      <c r="AH106" s="99">
        <v>0</v>
      </c>
      <c r="AI106" s="99">
        <v>0</v>
      </c>
      <c r="AJ106" s="99">
        <v>0</v>
      </c>
      <c r="AK106" s="99">
        <v>1</v>
      </c>
      <c r="AL106" s="99">
        <v>1</v>
      </c>
      <c r="AM106" s="99">
        <v>0</v>
      </c>
      <c r="AN106" s="99">
        <v>1</v>
      </c>
      <c r="AO106" s="99">
        <v>1</v>
      </c>
      <c r="AP106" s="99">
        <v>1</v>
      </c>
      <c r="AQ106" s="99">
        <v>0</v>
      </c>
      <c r="AR106" s="99">
        <v>0</v>
      </c>
      <c r="AS106" s="99">
        <v>0</v>
      </c>
      <c r="AT106" s="99">
        <v>0</v>
      </c>
      <c r="AU106" s="99">
        <v>0</v>
      </c>
      <c r="AV106" s="99">
        <v>0</v>
      </c>
      <c r="AW106" s="99">
        <v>0</v>
      </c>
      <c r="AX106" s="99">
        <v>1</v>
      </c>
      <c r="AY106" s="99">
        <v>1</v>
      </c>
      <c r="AZ106" s="99">
        <v>0</v>
      </c>
      <c r="BA106" s="99">
        <v>0</v>
      </c>
      <c r="BB106" s="99">
        <v>0</v>
      </c>
      <c r="BC106" s="99">
        <v>0</v>
      </c>
      <c r="BD106" s="99">
        <v>0</v>
      </c>
      <c r="BE106" s="99">
        <v>1</v>
      </c>
      <c r="BF106" s="99">
        <v>0</v>
      </c>
      <c r="BG106" s="99">
        <v>0</v>
      </c>
      <c r="BH106" s="99">
        <v>0</v>
      </c>
      <c r="BI106" s="99">
        <v>0</v>
      </c>
      <c r="BJ106" s="99">
        <v>1</v>
      </c>
      <c r="BK106" s="99">
        <v>0</v>
      </c>
      <c r="BL106" s="99">
        <v>0</v>
      </c>
      <c r="BM106" s="99">
        <v>0</v>
      </c>
      <c r="BN106" s="99">
        <v>0</v>
      </c>
      <c r="BO106" s="99">
        <v>0</v>
      </c>
      <c r="BP106" s="99">
        <v>1</v>
      </c>
      <c r="BQ106" s="99">
        <v>0</v>
      </c>
      <c r="BR106" s="99">
        <v>0</v>
      </c>
      <c r="BS106" s="99">
        <v>0</v>
      </c>
      <c r="BT106" s="99">
        <v>0</v>
      </c>
      <c r="BU106" s="99">
        <v>0</v>
      </c>
      <c r="BV106" s="99">
        <v>0</v>
      </c>
      <c r="BW106" s="99">
        <v>0</v>
      </c>
      <c r="BX106" s="99">
        <v>0</v>
      </c>
      <c r="BY106" s="99">
        <v>0</v>
      </c>
      <c r="BZ106" s="99">
        <v>0</v>
      </c>
      <c r="CA106" s="99">
        <v>0</v>
      </c>
      <c r="CB106" s="99">
        <v>0</v>
      </c>
      <c r="CC106" s="99">
        <v>1</v>
      </c>
      <c r="CD106" s="99">
        <v>0</v>
      </c>
      <c r="CE106" s="99">
        <v>0</v>
      </c>
      <c r="CF106" s="99">
        <v>0</v>
      </c>
      <c r="CG106" s="99">
        <v>0</v>
      </c>
      <c r="CH106" s="99">
        <v>1</v>
      </c>
      <c r="CI106" s="99">
        <v>0</v>
      </c>
      <c r="CJ106" s="99">
        <v>0</v>
      </c>
      <c r="CK106" s="99">
        <v>0</v>
      </c>
      <c r="CL106" s="99">
        <v>0</v>
      </c>
      <c r="CM106" s="99">
        <v>0</v>
      </c>
      <c r="CN106" s="99">
        <v>0</v>
      </c>
      <c r="CO106" s="99">
        <v>0</v>
      </c>
      <c r="CP106" s="99">
        <v>1</v>
      </c>
      <c r="CQ106" s="99">
        <v>0</v>
      </c>
      <c r="CR106" s="99">
        <v>0</v>
      </c>
      <c r="CS106" s="98">
        <v>0</v>
      </c>
    </row>
    <row r="107" spans="2:97" x14ac:dyDescent="0.3">
      <c r="B107" s="83" t="s">
        <v>63</v>
      </c>
      <c r="C107" s="99">
        <v>0</v>
      </c>
      <c r="D107" s="99">
        <v>0</v>
      </c>
      <c r="E107" s="99">
        <v>0</v>
      </c>
      <c r="F107" s="99">
        <v>1</v>
      </c>
      <c r="G107" s="99">
        <v>0</v>
      </c>
      <c r="H107" s="99">
        <v>1</v>
      </c>
      <c r="I107" s="99">
        <v>0</v>
      </c>
      <c r="J107" s="99">
        <v>1</v>
      </c>
      <c r="K107" s="99">
        <v>0</v>
      </c>
      <c r="L107" s="99">
        <v>0</v>
      </c>
      <c r="M107" s="99">
        <v>0</v>
      </c>
      <c r="N107" s="99">
        <v>0</v>
      </c>
      <c r="O107" s="99">
        <v>0</v>
      </c>
      <c r="P107" s="99">
        <v>1</v>
      </c>
      <c r="Q107" s="99">
        <v>0</v>
      </c>
      <c r="R107" s="99">
        <v>1</v>
      </c>
      <c r="S107" s="99">
        <v>0</v>
      </c>
      <c r="T107" s="99">
        <v>1</v>
      </c>
      <c r="U107" s="99">
        <v>0</v>
      </c>
      <c r="V107" s="99">
        <v>0</v>
      </c>
      <c r="W107" s="99">
        <v>1</v>
      </c>
      <c r="X107" s="99">
        <v>0</v>
      </c>
      <c r="Y107" s="99">
        <v>0</v>
      </c>
      <c r="Z107" s="99">
        <v>0</v>
      </c>
      <c r="AA107" s="99">
        <v>1</v>
      </c>
      <c r="AB107" s="99">
        <v>1</v>
      </c>
      <c r="AC107" s="99">
        <v>0</v>
      </c>
      <c r="AD107" s="99">
        <v>0</v>
      </c>
      <c r="AE107" s="99">
        <v>0</v>
      </c>
      <c r="AF107" s="99">
        <v>0</v>
      </c>
      <c r="AG107" s="99">
        <v>1</v>
      </c>
      <c r="AH107" s="99">
        <v>0</v>
      </c>
      <c r="AI107" s="99">
        <v>1</v>
      </c>
      <c r="AJ107" s="99">
        <v>0</v>
      </c>
      <c r="AK107" s="99">
        <v>0</v>
      </c>
      <c r="AL107" s="99">
        <v>0</v>
      </c>
      <c r="AM107" s="99">
        <v>0</v>
      </c>
      <c r="AN107" s="99">
        <v>0</v>
      </c>
      <c r="AO107" s="99">
        <v>0</v>
      </c>
      <c r="AP107" s="99">
        <v>0</v>
      </c>
      <c r="AQ107" s="99">
        <v>0</v>
      </c>
      <c r="AR107" s="99">
        <v>0</v>
      </c>
      <c r="AS107" s="99">
        <v>0</v>
      </c>
      <c r="AT107" s="99">
        <v>1</v>
      </c>
      <c r="AU107" s="99">
        <v>0</v>
      </c>
      <c r="AV107" s="99">
        <v>0</v>
      </c>
      <c r="AW107" s="99">
        <v>0</v>
      </c>
      <c r="AX107" s="99">
        <v>0</v>
      </c>
      <c r="AY107" s="99">
        <v>0</v>
      </c>
      <c r="AZ107" s="99">
        <v>0</v>
      </c>
      <c r="BA107" s="99">
        <v>0</v>
      </c>
      <c r="BB107" s="99">
        <v>0</v>
      </c>
      <c r="BC107" s="99">
        <v>0</v>
      </c>
      <c r="BD107" s="99">
        <v>0</v>
      </c>
      <c r="BE107" s="99">
        <v>0</v>
      </c>
      <c r="BF107" s="99">
        <v>1</v>
      </c>
      <c r="BG107" s="99">
        <v>0</v>
      </c>
      <c r="BH107" s="99">
        <v>0</v>
      </c>
      <c r="BI107" s="99">
        <v>1</v>
      </c>
      <c r="BJ107" s="99">
        <v>0</v>
      </c>
      <c r="BK107" s="99">
        <v>1</v>
      </c>
      <c r="BL107" s="99">
        <v>0</v>
      </c>
      <c r="BM107" s="99">
        <v>0</v>
      </c>
      <c r="BN107" s="99">
        <v>0</v>
      </c>
      <c r="BO107" s="99">
        <v>0</v>
      </c>
      <c r="BP107" s="99">
        <v>0</v>
      </c>
      <c r="BQ107" s="99">
        <v>1</v>
      </c>
      <c r="BR107" s="99">
        <v>0</v>
      </c>
      <c r="BS107" s="99">
        <v>1</v>
      </c>
      <c r="BT107" s="99">
        <v>1</v>
      </c>
      <c r="BU107" s="99">
        <v>1</v>
      </c>
      <c r="BV107" s="99">
        <v>1</v>
      </c>
      <c r="BW107" s="99">
        <v>0</v>
      </c>
      <c r="BX107" s="99">
        <v>0</v>
      </c>
      <c r="BY107" s="99">
        <v>0</v>
      </c>
      <c r="BZ107" s="99">
        <v>0</v>
      </c>
      <c r="CA107" s="99">
        <v>1</v>
      </c>
      <c r="CB107" s="99">
        <v>0</v>
      </c>
      <c r="CC107" s="99">
        <v>0</v>
      </c>
      <c r="CD107" s="99">
        <v>0</v>
      </c>
      <c r="CE107" s="99">
        <v>0</v>
      </c>
      <c r="CF107" s="99">
        <v>0</v>
      </c>
      <c r="CG107" s="99">
        <v>0</v>
      </c>
      <c r="CH107" s="99">
        <v>0</v>
      </c>
      <c r="CI107" s="99">
        <v>0</v>
      </c>
      <c r="CJ107" s="99">
        <v>0</v>
      </c>
      <c r="CK107" s="99">
        <v>0</v>
      </c>
      <c r="CL107" s="99">
        <v>1</v>
      </c>
      <c r="CM107" s="99">
        <v>1</v>
      </c>
      <c r="CN107" s="99">
        <v>0</v>
      </c>
      <c r="CO107" s="99">
        <v>0</v>
      </c>
      <c r="CP107" s="99">
        <v>0</v>
      </c>
      <c r="CQ107" s="99">
        <v>1</v>
      </c>
      <c r="CR107" s="99">
        <v>0</v>
      </c>
      <c r="CS107" s="98">
        <v>0</v>
      </c>
    </row>
    <row r="108" spans="2:97" x14ac:dyDescent="0.3">
      <c r="B108" s="83" t="s">
        <v>64</v>
      </c>
      <c r="C108" s="99">
        <v>1</v>
      </c>
      <c r="D108" s="99">
        <v>0</v>
      </c>
      <c r="E108" s="99">
        <v>0</v>
      </c>
      <c r="F108" s="99">
        <v>0</v>
      </c>
      <c r="G108" s="99">
        <v>1</v>
      </c>
      <c r="H108" s="99">
        <v>0</v>
      </c>
      <c r="I108" s="99">
        <v>1</v>
      </c>
      <c r="J108" s="99">
        <v>0</v>
      </c>
      <c r="K108" s="99">
        <v>0</v>
      </c>
      <c r="L108" s="99">
        <v>1</v>
      </c>
      <c r="M108" s="99">
        <v>0</v>
      </c>
      <c r="N108" s="99">
        <v>0</v>
      </c>
      <c r="O108" s="99">
        <v>1</v>
      </c>
      <c r="P108" s="99">
        <v>0</v>
      </c>
      <c r="Q108" s="99">
        <v>1</v>
      </c>
      <c r="R108" s="99">
        <v>0</v>
      </c>
      <c r="S108" s="99">
        <v>0</v>
      </c>
      <c r="T108" s="99">
        <v>0</v>
      </c>
      <c r="U108" s="99">
        <v>0</v>
      </c>
      <c r="V108" s="99">
        <v>0</v>
      </c>
      <c r="W108" s="99">
        <v>0</v>
      </c>
      <c r="X108" s="99">
        <v>0</v>
      </c>
      <c r="Y108" s="99">
        <v>0</v>
      </c>
      <c r="Z108" s="99">
        <v>0</v>
      </c>
      <c r="AA108" s="99">
        <v>0</v>
      </c>
      <c r="AB108" s="99">
        <v>0</v>
      </c>
      <c r="AC108" s="99">
        <v>0</v>
      </c>
      <c r="AD108" s="99">
        <v>0</v>
      </c>
      <c r="AE108" s="99">
        <v>1</v>
      </c>
      <c r="AF108" s="99">
        <v>1</v>
      </c>
      <c r="AG108" s="99">
        <v>0</v>
      </c>
      <c r="AH108" s="99">
        <v>1</v>
      </c>
      <c r="AI108" s="99">
        <v>0</v>
      </c>
      <c r="AJ108" s="99">
        <v>1</v>
      </c>
      <c r="AK108" s="99">
        <v>0</v>
      </c>
      <c r="AL108" s="99">
        <v>0</v>
      </c>
      <c r="AM108" s="99">
        <v>1</v>
      </c>
      <c r="AN108" s="99">
        <v>0</v>
      </c>
      <c r="AO108" s="99">
        <v>0</v>
      </c>
      <c r="AP108" s="99">
        <v>0</v>
      </c>
      <c r="AQ108" s="99">
        <v>0</v>
      </c>
      <c r="AR108" s="99">
        <v>0</v>
      </c>
      <c r="AS108" s="99">
        <v>0</v>
      </c>
      <c r="AT108" s="99">
        <v>0</v>
      </c>
      <c r="AU108" s="99">
        <v>1</v>
      </c>
      <c r="AV108" s="99">
        <v>1</v>
      </c>
      <c r="AW108" s="99">
        <v>1</v>
      </c>
      <c r="AX108" s="99">
        <v>0</v>
      </c>
      <c r="AY108" s="99">
        <v>0</v>
      </c>
      <c r="AZ108" s="99">
        <v>0</v>
      </c>
      <c r="BA108" s="99">
        <v>0</v>
      </c>
      <c r="BB108" s="99">
        <v>0</v>
      </c>
      <c r="BC108" s="99">
        <v>1</v>
      </c>
      <c r="BD108" s="99">
        <v>0</v>
      </c>
      <c r="BE108" s="99">
        <v>0</v>
      </c>
      <c r="BF108" s="99">
        <v>0</v>
      </c>
      <c r="BG108" s="99">
        <v>0</v>
      </c>
      <c r="BH108" s="99">
        <v>0</v>
      </c>
      <c r="BI108" s="99">
        <v>0</v>
      </c>
      <c r="BJ108" s="99">
        <v>0</v>
      </c>
      <c r="BK108" s="99">
        <v>0</v>
      </c>
      <c r="BL108" s="99">
        <v>1</v>
      </c>
      <c r="BM108" s="99">
        <v>0</v>
      </c>
      <c r="BN108" s="99">
        <v>0</v>
      </c>
      <c r="BO108" s="99">
        <v>1</v>
      </c>
      <c r="BP108" s="99">
        <v>0</v>
      </c>
      <c r="BQ108" s="99">
        <v>0</v>
      </c>
      <c r="BR108" s="99">
        <v>0</v>
      </c>
      <c r="BS108" s="99">
        <v>0</v>
      </c>
      <c r="BT108" s="99">
        <v>0</v>
      </c>
      <c r="BU108" s="99">
        <v>0</v>
      </c>
      <c r="BV108" s="99">
        <v>0</v>
      </c>
      <c r="BW108" s="99">
        <v>1</v>
      </c>
      <c r="BX108" s="99">
        <v>0</v>
      </c>
      <c r="BY108" s="99">
        <v>0</v>
      </c>
      <c r="BZ108" s="99">
        <v>1</v>
      </c>
      <c r="CA108" s="99">
        <v>0</v>
      </c>
      <c r="CB108" s="99">
        <v>1</v>
      </c>
      <c r="CC108" s="99">
        <v>0</v>
      </c>
      <c r="CD108" s="99">
        <v>0</v>
      </c>
      <c r="CE108" s="99">
        <v>0</v>
      </c>
      <c r="CF108" s="99">
        <v>1</v>
      </c>
      <c r="CG108" s="99">
        <v>0</v>
      </c>
      <c r="CH108" s="99">
        <v>0</v>
      </c>
      <c r="CI108" s="99">
        <v>0</v>
      </c>
      <c r="CJ108" s="99">
        <v>1</v>
      </c>
      <c r="CK108" s="99">
        <v>1</v>
      </c>
      <c r="CL108" s="99">
        <v>0</v>
      </c>
      <c r="CM108" s="99">
        <v>0</v>
      </c>
      <c r="CN108" s="99">
        <v>1</v>
      </c>
      <c r="CO108" s="99">
        <v>0</v>
      </c>
      <c r="CP108" s="99">
        <v>0</v>
      </c>
      <c r="CQ108" s="99">
        <v>0</v>
      </c>
      <c r="CR108" s="99">
        <v>0</v>
      </c>
      <c r="CS108" s="98">
        <v>0</v>
      </c>
    </row>
    <row r="109" spans="2:97" x14ac:dyDescent="0.3">
      <c r="B109" s="83" t="s">
        <v>65</v>
      </c>
      <c r="C109" s="99">
        <v>0</v>
      </c>
      <c r="D109" s="99">
        <v>0</v>
      </c>
      <c r="E109" s="99">
        <v>0</v>
      </c>
      <c r="F109" s="99">
        <v>1</v>
      </c>
      <c r="G109" s="99">
        <v>0</v>
      </c>
      <c r="H109" s="99">
        <v>1</v>
      </c>
      <c r="I109" s="99">
        <v>0</v>
      </c>
      <c r="J109" s="99">
        <v>1</v>
      </c>
      <c r="K109" s="99">
        <v>0</v>
      </c>
      <c r="L109" s="99">
        <v>0</v>
      </c>
      <c r="M109" s="99">
        <v>0</v>
      </c>
      <c r="N109" s="99">
        <v>0</v>
      </c>
      <c r="O109" s="99">
        <v>0</v>
      </c>
      <c r="P109" s="99">
        <v>1</v>
      </c>
      <c r="Q109" s="99">
        <v>0</v>
      </c>
      <c r="R109" s="99">
        <v>1</v>
      </c>
      <c r="S109" s="99">
        <v>0</v>
      </c>
      <c r="T109" s="99">
        <v>1</v>
      </c>
      <c r="U109" s="99">
        <v>0</v>
      </c>
      <c r="V109" s="99">
        <v>0</v>
      </c>
      <c r="W109" s="99">
        <v>1</v>
      </c>
      <c r="X109" s="99">
        <v>0</v>
      </c>
      <c r="Y109" s="99">
        <v>0</v>
      </c>
      <c r="Z109" s="99">
        <v>0</v>
      </c>
      <c r="AA109" s="99">
        <v>1</v>
      </c>
      <c r="AB109" s="99">
        <v>1</v>
      </c>
      <c r="AC109" s="99">
        <v>0</v>
      </c>
      <c r="AD109" s="99">
        <v>0</v>
      </c>
      <c r="AE109" s="99">
        <v>0</v>
      </c>
      <c r="AF109" s="99">
        <v>0</v>
      </c>
      <c r="AG109" s="99">
        <v>1</v>
      </c>
      <c r="AH109" s="99">
        <v>0</v>
      </c>
      <c r="AI109" s="99">
        <v>1</v>
      </c>
      <c r="AJ109" s="99">
        <v>0</v>
      </c>
      <c r="AK109" s="99">
        <v>0</v>
      </c>
      <c r="AL109" s="99">
        <v>0</v>
      </c>
      <c r="AM109" s="99">
        <v>0</v>
      </c>
      <c r="AN109" s="99">
        <v>0</v>
      </c>
      <c r="AO109" s="99">
        <v>0</v>
      </c>
      <c r="AP109" s="99">
        <v>0</v>
      </c>
      <c r="AQ109" s="99">
        <v>0</v>
      </c>
      <c r="AR109" s="99">
        <v>0</v>
      </c>
      <c r="AS109" s="99">
        <v>0</v>
      </c>
      <c r="AT109" s="99">
        <v>1</v>
      </c>
      <c r="AU109" s="99">
        <v>0</v>
      </c>
      <c r="AV109" s="99">
        <v>0</v>
      </c>
      <c r="AW109" s="99">
        <v>0</v>
      </c>
      <c r="AX109" s="99">
        <v>0</v>
      </c>
      <c r="AY109" s="99">
        <v>0</v>
      </c>
      <c r="AZ109" s="99">
        <v>0</v>
      </c>
      <c r="BA109" s="99">
        <v>0</v>
      </c>
      <c r="BB109" s="99">
        <v>0</v>
      </c>
      <c r="BC109" s="99">
        <v>0</v>
      </c>
      <c r="BD109" s="99">
        <v>0</v>
      </c>
      <c r="BE109" s="99">
        <v>0</v>
      </c>
      <c r="BF109" s="99">
        <v>1</v>
      </c>
      <c r="BG109" s="99">
        <v>0</v>
      </c>
      <c r="BH109" s="99">
        <v>0</v>
      </c>
      <c r="BI109" s="99">
        <v>1</v>
      </c>
      <c r="BJ109" s="99">
        <v>0</v>
      </c>
      <c r="BK109" s="99">
        <v>1</v>
      </c>
      <c r="BL109" s="99">
        <v>0</v>
      </c>
      <c r="BM109" s="99">
        <v>0</v>
      </c>
      <c r="BN109" s="99">
        <v>0</v>
      </c>
      <c r="BO109" s="99">
        <v>0</v>
      </c>
      <c r="BP109" s="99">
        <v>0</v>
      </c>
      <c r="BQ109" s="99">
        <v>1</v>
      </c>
      <c r="BR109" s="99">
        <v>0</v>
      </c>
      <c r="BS109" s="99">
        <v>1</v>
      </c>
      <c r="BT109" s="99">
        <v>1</v>
      </c>
      <c r="BU109" s="99">
        <v>1</v>
      </c>
      <c r="BV109" s="99">
        <v>1</v>
      </c>
      <c r="BW109" s="99">
        <v>0</v>
      </c>
      <c r="BX109" s="99">
        <v>0</v>
      </c>
      <c r="BY109" s="99">
        <v>0</v>
      </c>
      <c r="BZ109" s="99">
        <v>0</v>
      </c>
      <c r="CA109" s="99">
        <v>1</v>
      </c>
      <c r="CB109" s="99">
        <v>0</v>
      </c>
      <c r="CC109" s="99">
        <v>0</v>
      </c>
      <c r="CD109" s="99">
        <v>0</v>
      </c>
      <c r="CE109" s="99">
        <v>0</v>
      </c>
      <c r="CF109" s="99">
        <v>0</v>
      </c>
      <c r="CG109" s="99">
        <v>0</v>
      </c>
      <c r="CH109" s="99">
        <v>0</v>
      </c>
      <c r="CI109" s="99">
        <v>0</v>
      </c>
      <c r="CJ109" s="99">
        <v>0</v>
      </c>
      <c r="CK109" s="99">
        <v>0</v>
      </c>
      <c r="CL109" s="99">
        <v>1</v>
      </c>
      <c r="CM109" s="99">
        <v>1</v>
      </c>
      <c r="CN109" s="99">
        <v>0</v>
      </c>
      <c r="CO109" s="99">
        <v>0</v>
      </c>
      <c r="CP109" s="99">
        <v>0</v>
      </c>
      <c r="CQ109" s="99">
        <v>1</v>
      </c>
      <c r="CR109" s="99">
        <v>0</v>
      </c>
      <c r="CS109" s="98">
        <v>0</v>
      </c>
    </row>
    <row r="110" spans="2:97" x14ac:dyDescent="0.3">
      <c r="B110" s="83" t="s">
        <v>66</v>
      </c>
      <c r="C110" s="99">
        <v>1</v>
      </c>
      <c r="D110" s="99">
        <v>0</v>
      </c>
      <c r="E110" s="99">
        <v>0</v>
      </c>
      <c r="F110" s="99">
        <v>0</v>
      </c>
      <c r="G110" s="99">
        <v>1</v>
      </c>
      <c r="H110" s="99">
        <v>0</v>
      </c>
      <c r="I110" s="99">
        <v>1</v>
      </c>
      <c r="J110" s="99">
        <v>0</v>
      </c>
      <c r="K110" s="99">
        <v>0</v>
      </c>
      <c r="L110" s="99">
        <v>1</v>
      </c>
      <c r="M110" s="99">
        <v>0</v>
      </c>
      <c r="N110" s="99">
        <v>0</v>
      </c>
      <c r="O110" s="99">
        <v>1</v>
      </c>
      <c r="P110" s="99">
        <v>0</v>
      </c>
      <c r="Q110" s="99">
        <v>1</v>
      </c>
      <c r="R110" s="99">
        <v>0</v>
      </c>
      <c r="S110" s="99">
        <v>0</v>
      </c>
      <c r="T110" s="99">
        <v>0</v>
      </c>
      <c r="U110" s="99">
        <v>0</v>
      </c>
      <c r="V110" s="99">
        <v>0</v>
      </c>
      <c r="W110" s="99">
        <v>0</v>
      </c>
      <c r="X110" s="99">
        <v>0</v>
      </c>
      <c r="Y110" s="99">
        <v>0</v>
      </c>
      <c r="Z110" s="99">
        <v>0</v>
      </c>
      <c r="AA110" s="99">
        <v>0</v>
      </c>
      <c r="AB110" s="99">
        <v>0</v>
      </c>
      <c r="AC110" s="99">
        <v>0</v>
      </c>
      <c r="AD110" s="99">
        <v>0</v>
      </c>
      <c r="AE110" s="99">
        <v>1</v>
      </c>
      <c r="AF110" s="99">
        <v>1</v>
      </c>
      <c r="AG110" s="99">
        <v>0</v>
      </c>
      <c r="AH110" s="99">
        <v>1</v>
      </c>
      <c r="AI110" s="99">
        <v>0</v>
      </c>
      <c r="AJ110" s="99">
        <v>1</v>
      </c>
      <c r="AK110" s="99">
        <v>0</v>
      </c>
      <c r="AL110" s="99">
        <v>0</v>
      </c>
      <c r="AM110" s="99">
        <v>1</v>
      </c>
      <c r="AN110" s="99">
        <v>0</v>
      </c>
      <c r="AO110" s="99">
        <v>0</v>
      </c>
      <c r="AP110" s="99">
        <v>0</v>
      </c>
      <c r="AQ110" s="99">
        <v>0</v>
      </c>
      <c r="AR110" s="99">
        <v>0</v>
      </c>
      <c r="AS110" s="99">
        <v>0</v>
      </c>
      <c r="AT110" s="99">
        <v>0</v>
      </c>
      <c r="AU110" s="99">
        <v>1</v>
      </c>
      <c r="AV110" s="99">
        <v>1</v>
      </c>
      <c r="AW110" s="99">
        <v>1</v>
      </c>
      <c r="AX110" s="99">
        <v>0</v>
      </c>
      <c r="AY110" s="99">
        <v>0</v>
      </c>
      <c r="AZ110" s="99">
        <v>0</v>
      </c>
      <c r="BA110" s="99">
        <v>0</v>
      </c>
      <c r="BB110" s="99">
        <v>0</v>
      </c>
      <c r="BC110" s="99">
        <v>1</v>
      </c>
      <c r="BD110" s="99">
        <v>0</v>
      </c>
      <c r="BE110" s="99">
        <v>0</v>
      </c>
      <c r="BF110" s="99">
        <v>0</v>
      </c>
      <c r="BG110" s="99">
        <v>0</v>
      </c>
      <c r="BH110" s="99">
        <v>0</v>
      </c>
      <c r="BI110" s="99">
        <v>0</v>
      </c>
      <c r="BJ110" s="99">
        <v>0</v>
      </c>
      <c r="BK110" s="99">
        <v>0</v>
      </c>
      <c r="BL110" s="99">
        <v>1</v>
      </c>
      <c r="BM110" s="99">
        <v>0</v>
      </c>
      <c r="BN110" s="99">
        <v>0</v>
      </c>
      <c r="BO110" s="99">
        <v>1</v>
      </c>
      <c r="BP110" s="99">
        <v>0</v>
      </c>
      <c r="BQ110" s="99">
        <v>0</v>
      </c>
      <c r="BR110" s="99">
        <v>0</v>
      </c>
      <c r="BS110" s="99">
        <v>0</v>
      </c>
      <c r="BT110" s="99">
        <v>0</v>
      </c>
      <c r="BU110" s="99">
        <v>0</v>
      </c>
      <c r="BV110" s="99">
        <v>0</v>
      </c>
      <c r="BW110" s="99">
        <v>1</v>
      </c>
      <c r="BX110" s="99">
        <v>0</v>
      </c>
      <c r="BY110" s="99">
        <v>0</v>
      </c>
      <c r="BZ110" s="99">
        <v>1</v>
      </c>
      <c r="CA110" s="99">
        <v>0</v>
      </c>
      <c r="CB110" s="99">
        <v>1</v>
      </c>
      <c r="CC110" s="99">
        <v>0</v>
      </c>
      <c r="CD110" s="99">
        <v>0</v>
      </c>
      <c r="CE110" s="99">
        <v>0</v>
      </c>
      <c r="CF110" s="99">
        <v>1</v>
      </c>
      <c r="CG110" s="99">
        <v>0</v>
      </c>
      <c r="CH110" s="99">
        <v>0</v>
      </c>
      <c r="CI110" s="99">
        <v>0</v>
      </c>
      <c r="CJ110" s="99">
        <v>1</v>
      </c>
      <c r="CK110" s="99">
        <v>1</v>
      </c>
      <c r="CL110" s="99">
        <v>0</v>
      </c>
      <c r="CM110" s="99">
        <v>0</v>
      </c>
      <c r="CN110" s="99">
        <v>1</v>
      </c>
      <c r="CO110" s="99">
        <v>0</v>
      </c>
      <c r="CP110" s="99">
        <v>0</v>
      </c>
      <c r="CQ110" s="99">
        <v>0</v>
      </c>
      <c r="CR110" s="99">
        <v>0</v>
      </c>
      <c r="CS110" s="98">
        <v>0</v>
      </c>
    </row>
    <row r="111" spans="2:97" x14ac:dyDescent="0.3">
      <c r="B111" s="83" t="s">
        <v>67</v>
      </c>
      <c r="C111" s="99">
        <v>0</v>
      </c>
      <c r="D111" s="99">
        <v>0</v>
      </c>
      <c r="E111" s="99">
        <v>0</v>
      </c>
      <c r="F111" s="99">
        <v>1</v>
      </c>
      <c r="G111" s="99">
        <v>0</v>
      </c>
      <c r="H111" s="99">
        <v>1</v>
      </c>
      <c r="I111" s="99">
        <v>0</v>
      </c>
      <c r="J111" s="99">
        <v>1</v>
      </c>
      <c r="K111" s="99">
        <v>0</v>
      </c>
      <c r="L111" s="99">
        <v>0</v>
      </c>
      <c r="M111" s="99">
        <v>0</v>
      </c>
      <c r="N111" s="99">
        <v>0</v>
      </c>
      <c r="O111" s="99">
        <v>0</v>
      </c>
      <c r="P111" s="99">
        <v>1</v>
      </c>
      <c r="Q111" s="99">
        <v>0</v>
      </c>
      <c r="R111" s="99">
        <v>1</v>
      </c>
      <c r="S111" s="99">
        <v>0</v>
      </c>
      <c r="T111" s="99">
        <v>1</v>
      </c>
      <c r="U111" s="99">
        <v>0</v>
      </c>
      <c r="V111" s="99">
        <v>0</v>
      </c>
      <c r="W111" s="99">
        <v>1</v>
      </c>
      <c r="X111" s="99">
        <v>0</v>
      </c>
      <c r="Y111" s="99">
        <v>0</v>
      </c>
      <c r="Z111" s="99">
        <v>0</v>
      </c>
      <c r="AA111" s="99">
        <v>1</v>
      </c>
      <c r="AB111" s="99">
        <v>1</v>
      </c>
      <c r="AC111" s="99">
        <v>0</v>
      </c>
      <c r="AD111" s="99">
        <v>0</v>
      </c>
      <c r="AE111" s="99">
        <v>0</v>
      </c>
      <c r="AF111" s="99">
        <v>0</v>
      </c>
      <c r="AG111" s="99">
        <v>1</v>
      </c>
      <c r="AH111" s="99">
        <v>0</v>
      </c>
      <c r="AI111" s="99">
        <v>1</v>
      </c>
      <c r="AJ111" s="99">
        <v>0</v>
      </c>
      <c r="AK111" s="99">
        <v>0</v>
      </c>
      <c r="AL111" s="99">
        <v>0</v>
      </c>
      <c r="AM111" s="99">
        <v>0</v>
      </c>
      <c r="AN111" s="99">
        <v>0</v>
      </c>
      <c r="AO111" s="99">
        <v>0</v>
      </c>
      <c r="AP111" s="99">
        <v>0</v>
      </c>
      <c r="AQ111" s="99">
        <v>0</v>
      </c>
      <c r="AR111" s="99">
        <v>0</v>
      </c>
      <c r="AS111" s="99">
        <v>0</v>
      </c>
      <c r="AT111" s="99">
        <v>1</v>
      </c>
      <c r="AU111" s="99">
        <v>0</v>
      </c>
      <c r="AV111" s="99">
        <v>0</v>
      </c>
      <c r="AW111" s="99">
        <v>0</v>
      </c>
      <c r="AX111" s="99">
        <v>0</v>
      </c>
      <c r="AY111" s="99">
        <v>0</v>
      </c>
      <c r="AZ111" s="99">
        <v>0</v>
      </c>
      <c r="BA111" s="99">
        <v>0</v>
      </c>
      <c r="BB111" s="99">
        <v>0</v>
      </c>
      <c r="BC111" s="99">
        <v>0</v>
      </c>
      <c r="BD111" s="99">
        <v>0</v>
      </c>
      <c r="BE111" s="99">
        <v>0</v>
      </c>
      <c r="BF111" s="99">
        <v>1</v>
      </c>
      <c r="BG111" s="99">
        <v>0</v>
      </c>
      <c r="BH111" s="99">
        <v>0</v>
      </c>
      <c r="BI111" s="99">
        <v>1</v>
      </c>
      <c r="BJ111" s="99">
        <v>0</v>
      </c>
      <c r="BK111" s="99">
        <v>1</v>
      </c>
      <c r="BL111" s="99">
        <v>0</v>
      </c>
      <c r="BM111" s="99">
        <v>0</v>
      </c>
      <c r="BN111" s="99">
        <v>0</v>
      </c>
      <c r="BO111" s="99">
        <v>0</v>
      </c>
      <c r="BP111" s="99">
        <v>0</v>
      </c>
      <c r="BQ111" s="99">
        <v>1</v>
      </c>
      <c r="BR111" s="99">
        <v>0</v>
      </c>
      <c r="BS111" s="99">
        <v>1</v>
      </c>
      <c r="BT111" s="99">
        <v>1</v>
      </c>
      <c r="BU111" s="99">
        <v>1</v>
      </c>
      <c r="BV111" s="99">
        <v>1</v>
      </c>
      <c r="BW111" s="99">
        <v>0</v>
      </c>
      <c r="BX111" s="99">
        <v>0</v>
      </c>
      <c r="BY111" s="99">
        <v>0</v>
      </c>
      <c r="BZ111" s="99">
        <v>0</v>
      </c>
      <c r="CA111" s="99">
        <v>1</v>
      </c>
      <c r="CB111" s="99">
        <v>0</v>
      </c>
      <c r="CC111" s="99">
        <v>0</v>
      </c>
      <c r="CD111" s="99">
        <v>0</v>
      </c>
      <c r="CE111" s="99">
        <v>0</v>
      </c>
      <c r="CF111" s="99">
        <v>0</v>
      </c>
      <c r="CG111" s="99">
        <v>0</v>
      </c>
      <c r="CH111" s="99">
        <v>0</v>
      </c>
      <c r="CI111" s="99">
        <v>0</v>
      </c>
      <c r="CJ111" s="99">
        <v>0</v>
      </c>
      <c r="CK111" s="99">
        <v>0</v>
      </c>
      <c r="CL111" s="99">
        <v>1</v>
      </c>
      <c r="CM111" s="99">
        <v>1</v>
      </c>
      <c r="CN111" s="99">
        <v>0</v>
      </c>
      <c r="CO111" s="99">
        <v>0</v>
      </c>
      <c r="CP111" s="99">
        <v>0</v>
      </c>
      <c r="CQ111" s="99">
        <v>1</v>
      </c>
      <c r="CR111" s="99">
        <v>0</v>
      </c>
      <c r="CS111" s="98">
        <v>0</v>
      </c>
    </row>
    <row r="112" spans="2:97" x14ac:dyDescent="0.3">
      <c r="B112" s="83" t="s">
        <v>68</v>
      </c>
      <c r="C112" s="99">
        <v>0</v>
      </c>
      <c r="D112" s="99">
        <v>0</v>
      </c>
      <c r="E112" s="99">
        <v>1</v>
      </c>
      <c r="F112" s="99">
        <v>0</v>
      </c>
      <c r="G112" s="99">
        <v>0</v>
      </c>
      <c r="H112" s="99">
        <v>0</v>
      </c>
      <c r="I112" s="99">
        <v>0</v>
      </c>
      <c r="J112" s="99">
        <v>0</v>
      </c>
      <c r="K112" s="99">
        <v>1</v>
      </c>
      <c r="L112" s="99">
        <v>0</v>
      </c>
      <c r="M112" s="99">
        <v>0</v>
      </c>
      <c r="N112" s="99">
        <v>1</v>
      </c>
      <c r="O112" s="99">
        <v>0</v>
      </c>
      <c r="P112" s="99">
        <v>0</v>
      </c>
      <c r="Q112" s="99">
        <v>0</v>
      </c>
      <c r="R112" s="99">
        <v>0</v>
      </c>
      <c r="S112" s="99">
        <v>1</v>
      </c>
      <c r="T112" s="99">
        <v>0</v>
      </c>
      <c r="U112" s="99">
        <v>0</v>
      </c>
      <c r="V112" s="99">
        <v>1</v>
      </c>
      <c r="W112" s="99">
        <v>0</v>
      </c>
      <c r="X112" s="99">
        <v>0</v>
      </c>
      <c r="Y112" s="99">
        <v>1</v>
      </c>
      <c r="Z112" s="99">
        <v>1</v>
      </c>
      <c r="AA112" s="99">
        <v>0</v>
      </c>
      <c r="AB112" s="99">
        <v>0</v>
      </c>
      <c r="AC112" s="99">
        <v>1</v>
      </c>
      <c r="AD112" s="99">
        <v>0</v>
      </c>
      <c r="AE112" s="99">
        <v>0</v>
      </c>
      <c r="AF112" s="99">
        <v>0</v>
      </c>
      <c r="AG112" s="99">
        <v>0</v>
      </c>
      <c r="AH112" s="99">
        <v>0</v>
      </c>
      <c r="AI112" s="99">
        <v>0</v>
      </c>
      <c r="AJ112" s="99">
        <v>0</v>
      </c>
      <c r="AK112" s="99">
        <v>1</v>
      </c>
      <c r="AL112" s="99">
        <v>1</v>
      </c>
      <c r="AM112" s="99">
        <v>0</v>
      </c>
      <c r="AN112" s="99">
        <v>1</v>
      </c>
      <c r="AO112" s="99">
        <v>1</v>
      </c>
      <c r="AP112" s="99">
        <v>1</v>
      </c>
      <c r="AQ112" s="99">
        <v>0</v>
      </c>
      <c r="AR112" s="99">
        <v>0</v>
      </c>
      <c r="AS112" s="99">
        <v>0</v>
      </c>
      <c r="AT112" s="99">
        <v>0</v>
      </c>
      <c r="AU112" s="99">
        <v>0</v>
      </c>
      <c r="AV112" s="99">
        <v>0</v>
      </c>
      <c r="AW112" s="99">
        <v>0</v>
      </c>
      <c r="AX112" s="99">
        <v>1</v>
      </c>
      <c r="AY112" s="99">
        <v>1</v>
      </c>
      <c r="AZ112" s="99">
        <v>0</v>
      </c>
      <c r="BA112" s="99">
        <v>0</v>
      </c>
      <c r="BB112" s="99">
        <v>0</v>
      </c>
      <c r="BC112" s="99">
        <v>0</v>
      </c>
      <c r="BD112" s="99">
        <v>0</v>
      </c>
      <c r="BE112" s="99">
        <v>1</v>
      </c>
      <c r="BF112" s="99">
        <v>0</v>
      </c>
      <c r="BG112" s="99">
        <v>0</v>
      </c>
      <c r="BH112" s="99">
        <v>0</v>
      </c>
      <c r="BI112" s="99">
        <v>0</v>
      </c>
      <c r="BJ112" s="99">
        <v>1</v>
      </c>
      <c r="BK112" s="99">
        <v>0</v>
      </c>
      <c r="BL112" s="99">
        <v>0</v>
      </c>
      <c r="BM112" s="99">
        <v>0</v>
      </c>
      <c r="BN112" s="99">
        <v>0</v>
      </c>
      <c r="BO112" s="99">
        <v>0</v>
      </c>
      <c r="BP112" s="99">
        <v>1</v>
      </c>
      <c r="BQ112" s="99">
        <v>0</v>
      </c>
      <c r="BR112" s="99">
        <v>0</v>
      </c>
      <c r="BS112" s="99">
        <v>0</v>
      </c>
      <c r="BT112" s="99">
        <v>0</v>
      </c>
      <c r="BU112" s="99">
        <v>0</v>
      </c>
      <c r="BV112" s="99">
        <v>0</v>
      </c>
      <c r="BW112" s="99">
        <v>0</v>
      </c>
      <c r="BX112" s="99">
        <v>0</v>
      </c>
      <c r="BY112" s="99">
        <v>0</v>
      </c>
      <c r="BZ112" s="99">
        <v>0</v>
      </c>
      <c r="CA112" s="99">
        <v>0</v>
      </c>
      <c r="CB112" s="99">
        <v>0</v>
      </c>
      <c r="CC112" s="99">
        <v>1</v>
      </c>
      <c r="CD112" s="99">
        <v>0</v>
      </c>
      <c r="CE112" s="99">
        <v>0</v>
      </c>
      <c r="CF112" s="99">
        <v>0</v>
      </c>
      <c r="CG112" s="99">
        <v>0</v>
      </c>
      <c r="CH112" s="99">
        <v>1</v>
      </c>
      <c r="CI112" s="99">
        <v>0</v>
      </c>
      <c r="CJ112" s="99">
        <v>0</v>
      </c>
      <c r="CK112" s="99">
        <v>0</v>
      </c>
      <c r="CL112" s="99">
        <v>0</v>
      </c>
      <c r="CM112" s="99">
        <v>0</v>
      </c>
      <c r="CN112" s="99">
        <v>0</v>
      </c>
      <c r="CO112" s="99">
        <v>0</v>
      </c>
      <c r="CP112" s="99">
        <v>1</v>
      </c>
      <c r="CQ112" s="99">
        <v>0</v>
      </c>
      <c r="CR112" s="99">
        <v>0</v>
      </c>
      <c r="CS112" s="98">
        <v>0</v>
      </c>
    </row>
    <row r="113" spans="2:97" x14ac:dyDescent="0.3">
      <c r="B113" s="83" t="s">
        <v>69</v>
      </c>
      <c r="C113" s="99">
        <v>1</v>
      </c>
      <c r="D113" s="99">
        <v>0</v>
      </c>
      <c r="E113" s="99">
        <v>0</v>
      </c>
      <c r="F113" s="99">
        <v>0</v>
      </c>
      <c r="G113" s="99">
        <v>1</v>
      </c>
      <c r="H113" s="99">
        <v>0</v>
      </c>
      <c r="I113" s="99">
        <v>1</v>
      </c>
      <c r="J113" s="99">
        <v>0</v>
      </c>
      <c r="K113" s="99">
        <v>0</v>
      </c>
      <c r="L113" s="99">
        <v>1</v>
      </c>
      <c r="M113" s="99">
        <v>0</v>
      </c>
      <c r="N113" s="99">
        <v>0</v>
      </c>
      <c r="O113" s="99">
        <v>1</v>
      </c>
      <c r="P113" s="99">
        <v>0</v>
      </c>
      <c r="Q113" s="99">
        <v>1</v>
      </c>
      <c r="R113" s="99">
        <v>0</v>
      </c>
      <c r="S113" s="99">
        <v>0</v>
      </c>
      <c r="T113" s="99">
        <v>0</v>
      </c>
      <c r="U113" s="99">
        <v>0</v>
      </c>
      <c r="V113" s="99">
        <v>0</v>
      </c>
      <c r="W113" s="99">
        <v>0</v>
      </c>
      <c r="X113" s="99">
        <v>0</v>
      </c>
      <c r="Y113" s="99">
        <v>0</v>
      </c>
      <c r="Z113" s="99">
        <v>0</v>
      </c>
      <c r="AA113" s="99">
        <v>0</v>
      </c>
      <c r="AB113" s="99">
        <v>0</v>
      </c>
      <c r="AC113" s="99">
        <v>0</v>
      </c>
      <c r="AD113" s="99">
        <v>0</v>
      </c>
      <c r="AE113" s="99">
        <v>1</v>
      </c>
      <c r="AF113" s="99">
        <v>1</v>
      </c>
      <c r="AG113" s="99">
        <v>0</v>
      </c>
      <c r="AH113" s="99">
        <v>1</v>
      </c>
      <c r="AI113" s="99">
        <v>0</v>
      </c>
      <c r="AJ113" s="99">
        <v>1</v>
      </c>
      <c r="AK113" s="99">
        <v>0</v>
      </c>
      <c r="AL113" s="99">
        <v>0</v>
      </c>
      <c r="AM113" s="99">
        <v>1</v>
      </c>
      <c r="AN113" s="99">
        <v>0</v>
      </c>
      <c r="AO113" s="99">
        <v>0</v>
      </c>
      <c r="AP113" s="99">
        <v>0</v>
      </c>
      <c r="AQ113" s="99">
        <v>0</v>
      </c>
      <c r="AR113" s="99">
        <v>0</v>
      </c>
      <c r="AS113" s="99">
        <v>0</v>
      </c>
      <c r="AT113" s="99">
        <v>0</v>
      </c>
      <c r="AU113" s="99">
        <v>1</v>
      </c>
      <c r="AV113" s="99">
        <v>1</v>
      </c>
      <c r="AW113" s="99">
        <v>1</v>
      </c>
      <c r="AX113" s="99">
        <v>0</v>
      </c>
      <c r="AY113" s="99">
        <v>0</v>
      </c>
      <c r="AZ113" s="99">
        <v>0</v>
      </c>
      <c r="BA113" s="99">
        <v>0</v>
      </c>
      <c r="BB113" s="99">
        <v>0</v>
      </c>
      <c r="BC113" s="99">
        <v>1</v>
      </c>
      <c r="BD113" s="99">
        <v>0</v>
      </c>
      <c r="BE113" s="99">
        <v>0</v>
      </c>
      <c r="BF113" s="99">
        <v>0</v>
      </c>
      <c r="BG113" s="99">
        <v>0</v>
      </c>
      <c r="BH113" s="99">
        <v>0</v>
      </c>
      <c r="BI113" s="99">
        <v>0</v>
      </c>
      <c r="BJ113" s="99">
        <v>0</v>
      </c>
      <c r="BK113" s="99">
        <v>0</v>
      </c>
      <c r="BL113" s="99">
        <v>1</v>
      </c>
      <c r="BM113" s="99">
        <v>0</v>
      </c>
      <c r="BN113" s="99">
        <v>0</v>
      </c>
      <c r="BO113" s="99">
        <v>1</v>
      </c>
      <c r="BP113" s="99">
        <v>0</v>
      </c>
      <c r="BQ113" s="99">
        <v>0</v>
      </c>
      <c r="BR113" s="99">
        <v>0</v>
      </c>
      <c r="BS113" s="99">
        <v>0</v>
      </c>
      <c r="BT113" s="99">
        <v>0</v>
      </c>
      <c r="BU113" s="99">
        <v>0</v>
      </c>
      <c r="BV113" s="99">
        <v>0</v>
      </c>
      <c r="BW113" s="99">
        <v>1</v>
      </c>
      <c r="BX113" s="99">
        <v>0</v>
      </c>
      <c r="BY113" s="99">
        <v>0</v>
      </c>
      <c r="BZ113" s="99">
        <v>1</v>
      </c>
      <c r="CA113" s="99">
        <v>0</v>
      </c>
      <c r="CB113" s="99">
        <v>1</v>
      </c>
      <c r="CC113" s="99">
        <v>0</v>
      </c>
      <c r="CD113" s="99">
        <v>0</v>
      </c>
      <c r="CE113" s="99">
        <v>0</v>
      </c>
      <c r="CF113" s="99">
        <v>1</v>
      </c>
      <c r="CG113" s="99">
        <v>0</v>
      </c>
      <c r="CH113" s="99">
        <v>0</v>
      </c>
      <c r="CI113" s="99">
        <v>0</v>
      </c>
      <c r="CJ113" s="99">
        <v>1</v>
      </c>
      <c r="CK113" s="99">
        <v>1</v>
      </c>
      <c r="CL113" s="99">
        <v>0</v>
      </c>
      <c r="CM113" s="99">
        <v>0</v>
      </c>
      <c r="CN113" s="99">
        <v>1</v>
      </c>
      <c r="CO113" s="99">
        <v>0</v>
      </c>
      <c r="CP113" s="99">
        <v>0</v>
      </c>
      <c r="CQ113" s="99">
        <v>0</v>
      </c>
      <c r="CR113" s="99">
        <v>0</v>
      </c>
      <c r="CS113" s="98">
        <v>0</v>
      </c>
    </row>
    <row r="114" spans="2:97" x14ac:dyDescent="0.3">
      <c r="B114" s="83" t="s">
        <v>70</v>
      </c>
      <c r="C114" s="99">
        <v>0</v>
      </c>
      <c r="D114" s="99">
        <v>1</v>
      </c>
      <c r="E114" s="99">
        <v>0</v>
      </c>
      <c r="F114" s="99">
        <v>0</v>
      </c>
      <c r="G114" s="99">
        <v>0</v>
      </c>
      <c r="H114" s="99">
        <v>0</v>
      </c>
      <c r="I114" s="99">
        <v>0</v>
      </c>
      <c r="J114" s="99">
        <v>0</v>
      </c>
      <c r="K114" s="99">
        <v>0</v>
      </c>
      <c r="L114" s="99">
        <v>0</v>
      </c>
      <c r="M114" s="99">
        <v>1</v>
      </c>
      <c r="N114" s="99">
        <v>0</v>
      </c>
      <c r="O114" s="99">
        <v>0</v>
      </c>
      <c r="P114" s="99">
        <v>0</v>
      </c>
      <c r="Q114" s="99">
        <v>0</v>
      </c>
      <c r="R114" s="99">
        <v>0</v>
      </c>
      <c r="S114" s="99">
        <v>0</v>
      </c>
      <c r="T114" s="99">
        <v>0</v>
      </c>
      <c r="U114" s="99">
        <v>1</v>
      </c>
      <c r="V114" s="99">
        <v>0</v>
      </c>
      <c r="W114" s="99">
        <v>0</v>
      </c>
      <c r="X114" s="99">
        <v>1</v>
      </c>
      <c r="Y114" s="99">
        <v>0</v>
      </c>
      <c r="Z114" s="99">
        <v>0</v>
      </c>
      <c r="AA114" s="99">
        <v>0</v>
      </c>
      <c r="AB114" s="99">
        <v>0</v>
      </c>
      <c r="AC114" s="99">
        <v>0</v>
      </c>
      <c r="AD114" s="99">
        <v>1</v>
      </c>
      <c r="AE114" s="99">
        <v>0</v>
      </c>
      <c r="AF114" s="99">
        <v>0</v>
      </c>
      <c r="AG114" s="99">
        <v>0</v>
      </c>
      <c r="AH114" s="99">
        <v>0</v>
      </c>
      <c r="AI114" s="99">
        <v>0</v>
      </c>
      <c r="AJ114" s="99">
        <v>0</v>
      </c>
      <c r="AK114" s="99">
        <v>0</v>
      </c>
      <c r="AL114" s="99">
        <v>0</v>
      </c>
      <c r="AM114" s="99">
        <v>0</v>
      </c>
      <c r="AN114" s="99">
        <v>0</v>
      </c>
      <c r="AO114" s="99">
        <v>0</v>
      </c>
      <c r="AP114" s="99">
        <v>0</v>
      </c>
      <c r="AQ114" s="99">
        <v>1</v>
      </c>
      <c r="AR114" s="99">
        <v>1</v>
      </c>
      <c r="AS114" s="99">
        <v>1</v>
      </c>
      <c r="AT114" s="99">
        <v>0</v>
      </c>
      <c r="AU114" s="99">
        <v>0</v>
      </c>
      <c r="AV114" s="99">
        <v>0</v>
      </c>
      <c r="AW114" s="99">
        <v>0</v>
      </c>
      <c r="AX114" s="99">
        <v>0</v>
      </c>
      <c r="AY114" s="99">
        <v>0</v>
      </c>
      <c r="AZ114" s="99">
        <v>1</v>
      </c>
      <c r="BA114" s="99">
        <v>1</v>
      </c>
      <c r="BB114" s="99">
        <v>1</v>
      </c>
      <c r="BC114" s="99">
        <v>0</v>
      </c>
      <c r="BD114" s="99">
        <v>1</v>
      </c>
      <c r="BE114" s="99">
        <v>0</v>
      </c>
      <c r="BF114" s="99">
        <v>0</v>
      </c>
      <c r="BG114" s="99">
        <v>1</v>
      </c>
      <c r="BH114" s="99">
        <v>1</v>
      </c>
      <c r="BI114" s="99">
        <v>0</v>
      </c>
      <c r="BJ114" s="99">
        <v>0</v>
      </c>
      <c r="BK114" s="99">
        <v>0</v>
      </c>
      <c r="BL114" s="99">
        <v>0</v>
      </c>
      <c r="BM114" s="99">
        <v>1</v>
      </c>
      <c r="BN114" s="99">
        <v>1</v>
      </c>
      <c r="BO114" s="99">
        <v>0</v>
      </c>
      <c r="BP114" s="99">
        <v>0</v>
      </c>
      <c r="BQ114" s="99">
        <v>0</v>
      </c>
      <c r="BR114" s="99">
        <v>1</v>
      </c>
      <c r="BS114" s="99">
        <v>0</v>
      </c>
      <c r="BT114" s="99">
        <v>0</v>
      </c>
      <c r="BU114" s="99">
        <v>0</v>
      </c>
      <c r="BV114" s="99">
        <v>0</v>
      </c>
      <c r="BW114" s="99">
        <v>0</v>
      </c>
      <c r="BX114" s="99">
        <v>1</v>
      </c>
      <c r="BY114" s="99">
        <v>1</v>
      </c>
      <c r="BZ114" s="99">
        <v>0</v>
      </c>
      <c r="CA114" s="99">
        <v>0</v>
      </c>
      <c r="CB114" s="99">
        <v>0</v>
      </c>
      <c r="CC114" s="99">
        <v>0</v>
      </c>
      <c r="CD114" s="99">
        <v>1</v>
      </c>
      <c r="CE114" s="99">
        <v>1</v>
      </c>
      <c r="CF114" s="99">
        <v>0</v>
      </c>
      <c r="CG114" s="99">
        <v>1</v>
      </c>
      <c r="CH114" s="99">
        <v>0</v>
      </c>
      <c r="CI114" s="99">
        <v>1</v>
      </c>
      <c r="CJ114" s="99">
        <v>0</v>
      </c>
      <c r="CK114" s="99">
        <v>0</v>
      </c>
      <c r="CL114" s="99">
        <v>0</v>
      </c>
      <c r="CM114" s="99">
        <v>0</v>
      </c>
      <c r="CN114" s="99">
        <v>0</v>
      </c>
      <c r="CO114" s="99">
        <v>1</v>
      </c>
      <c r="CP114" s="99">
        <v>0</v>
      </c>
      <c r="CQ114" s="99">
        <v>0</v>
      </c>
      <c r="CR114" s="99">
        <v>1</v>
      </c>
      <c r="CS114" s="98">
        <v>1</v>
      </c>
    </row>
    <row r="115" spans="2:97" x14ac:dyDescent="0.3">
      <c r="B115" s="83" t="s">
        <v>71</v>
      </c>
      <c r="C115" s="99">
        <v>0</v>
      </c>
      <c r="D115" s="99">
        <v>0</v>
      </c>
      <c r="E115" s="99">
        <v>1</v>
      </c>
      <c r="F115" s="99">
        <v>0</v>
      </c>
      <c r="G115" s="99">
        <v>0</v>
      </c>
      <c r="H115" s="99">
        <v>0</v>
      </c>
      <c r="I115" s="99">
        <v>0</v>
      </c>
      <c r="J115" s="99">
        <v>0</v>
      </c>
      <c r="K115" s="99">
        <v>1</v>
      </c>
      <c r="L115" s="99">
        <v>0</v>
      </c>
      <c r="M115" s="99">
        <v>0</v>
      </c>
      <c r="N115" s="99">
        <v>1</v>
      </c>
      <c r="O115" s="99">
        <v>0</v>
      </c>
      <c r="P115" s="99">
        <v>0</v>
      </c>
      <c r="Q115" s="99">
        <v>0</v>
      </c>
      <c r="R115" s="99">
        <v>0</v>
      </c>
      <c r="S115" s="99">
        <v>1</v>
      </c>
      <c r="T115" s="99">
        <v>0</v>
      </c>
      <c r="U115" s="99">
        <v>0</v>
      </c>
      <c r="V115" s="99">
        <v>1</v>
      </c>
      <c r="W115" s="99">
        <v>0</v>
      </c>
      <c r="X115" s="99">
        <v>0</v>
      </c>
      <c r="Y115" s="99">
        <v>1</v>
      </c>
      <c r="Z115" s="99">
        <v>1</v>
      </c>
      <c r="AA115" s="99">
        <v>0</v>
      </c>
      <c r="AB115" s="99">
        <v>0</v>
      </c>
      <c r="AC115" s="99">
        <v>1</v>
      </c>
      <c r="AD115" s="99">
        <v>0</v>
      </c>
      <c r="AE115" s="99">
        <v>0</v>
      </c>
      <c r="AF115" s="99">
        <v>0</v>
      </c>
      <c r="AG115" s="99">
        <v>0</v>
      </c>
      <c r="AH115" s="99">
        <v>0</v>
      </c>
      <c r="AI115" s="99">
        <v>0</v>
      </c>
      <c r="AJ115" s="99">
        <v>0</v>
      </c>
      <c r="AK115" s="99">
        <v>1</v>
      </c>
      <c r="AL115" s="99">
        <v>1</v>
      </c>
      <c r="AM115" s="99">
        <v>0</v>
      </c>
      <c r="AN115" s="99">
        <v>1</v>
      </c>
      <c r="AO115" s="99">
        <v>1</v>
      </c>
      <c r="AP115" s="99">
        <v>1</v>
      </c>
      <c r="AQ115" s="99">
        <v>0</v>
      </c>
      <c r="AR115" s="99">
        <v>0</v>
      </c>
      <c r="AS115" s="99">
        <v>0</v>
      </c>
      <c r="AT115" s="99">
        <v>0</v>
      </c>
      <c r="AU115" s="99">
        <v>0</v>
      </c>
      <c r="AV115" s="99">
        <v>0</v>
      </c>
      <c r="AW115" s="99">
        <v>0</v>
      </c>
      <c r="AX115" s="99">
        <v>1</v>
      </c>
      <c r="AY115" s="99">
        <v>1</v>
      </c>
      <c r="AZ115" s="99">
        <v>0</v>
      </c>
      <c r="BA115" s="99">
        <v>0</v>
      </c>
      <c r="BB115" s="99">
        <v>0</v>
      </c>
      <c r="BC115" s="99">
        <v>0</v>
      </c>
      <c r="BD115" s="99">
        <v>0</v>
      </c>
      <c r="BE115" s="99">
        <v>1</v>
      </c>
      <c r="BF115" s="99">
        <v>0</v>
      </c>
      <c r="BG115" s="99">
        <v>0</v>
      </c>
      <c r="BH115" s="99">
        <v>0</v>
      </c>
      <c r="BI115" s="99">
        <v>0</v>
      </c>
      <c r="BJ115" s="99">
        <v>1</v>
      </c>
      <c r="BK115" s="99">
        <v>0</v>
      </c>
      <c r="BL115" s="99">
        <v>0</v>
      </c>
      <c r="BM115" s="99">
        <v>0</v>
      </c>
      <c r="BN115" s="99">
        <v>0</v>
      </c>
      <c r="BO115" s="99">
        <v>0</v>
      </c>
      <c r="BP115" s="99">
        <v>1</v>
      </c>
      <c r="BQ115" s="99">
        <v>0</v>
      </c>
      <c r="BR115" s="99">
        <v>0</v>
      </c>
      <c r="BS115" s="99">
        <v>0</v>
      </c>
      <c r="BT115" s="99">
        <v>0</v>
      </c>
      <c r="BU115" s="99">
        <v>0</v>
      </c>
      <c r="BV115" s="99">
        <v>0</v>
      </c>
      <c r="BW115" s="99">
        <v>0</v>
      </c>
      <c r="BX115" s="99">
        <v>0</v>
      </c>
      <c r="BY115" s="99">
        <v>0</v>
      </c>
      <c r="BZ115" s="99">
        <v>0</v>
      </c>
      <c r="CA115" s="99">
        <v>0</v>
      </c>
      <c r="CB115" s="99">
        <v>0</v>
      </c>
      <c r="CC115" s="99">
        <v>1</v>
      </c>
      <c r="CD115" s="99">
        <v>0</v>
      </c>
      <c r="CE115" s="99">
        <v>0</v>
      </c>
      <c r="CF115" s="99">
        <v>0</v>
      </c>
      <c r="CG115" s="99">
        <v>0</v>
      </c>
      <c r="CH115" s="99">
        <v>1</v>
      </c>
      <c r="CI115" s="99">
        <v>0</v>
      </c>
      <c r="CJ115" s="99">
        <v>0</v>
      </c>
      <c r="CK115" s="99">
        <v>0</v>
      </c>
      <c r="CL115" s="99">
        <v>0</v>
      </c>
      <c r="CM115" s="99">
        <v>0</v>
      </c>
      <c r="CN115" s="99">
        <v>0</v>
      </c>
      <c r="CO115" s="99">
        <v>0</v>
      </c>
      <c r="CP115" s="99">
        <v>1</v>
      </c>
      <c r="CQ115" s="99">
        <v>0</v>
      </c>
      <c r="CR115" s="99">
        <v>0</v>
      </c>
      <c r="CS115" s="98">
        <v>0</v>
      </c>
    </row>
    <row r="116" spans="2:97" x14ac:dyDescent="0.3">
      <c r="B116" s="83" t="s">
        <v>72</v>
      </c>
      <c r="C116" s="99">
        <v>1</v>
      </c>
      <c r="D116" s="99">
        <v>0</v>
      </c>
      <c r="E116" s="99">
        <v>0</v>
      </c>
      <c r="F116" s="99">
        <v>0</v>
      </c>
      <c r="G116" s="99">
        <v>1</v>
      </c>
      <c r="H116" s="99">
        <v>0</v>
      </c>
      <c r="I116" s="99">
        <v>1</v>
      </c>
      <c r="J116" s="99">
        <v>0</v>
      </c>
      <c r="K116" s="99">
        <v>0</v>
      </c>
      <c r="L116" s="99">
        <v>1</v>
      </c>
      <c r="M116" s="99">
        <v>0</v>
      </c>
      <c r="N116" s="99">
        <v>0</v>
      </c>
      <c r="O116" s="99">
        <v>1</v>
      </c>
      <c r="P116" s="99">
        <v>0</v>
      </c>
      <c r="Q116" s="99">
        <v>1</v>
      </c>
      <c r="R116" s="99">
        <v>0</v>
      </c>
      <c r="S116" s="99">
        <v>0</v>
      </c>
      <c r="T116" s="99">
        <v>0</v>
      </c>
      <c r="U116" s="99">
        <v>0</v>
      </c>
      <c r="V116" s="99">
        <v>0</v>
      </c>
      <c r="W116" s="99">
        <v>0</v>
      </c>
      <c r="X116" s="99">
        <v>0</v>
      </c>
      <c r="Y116" s="99">
        <v>0</v>
      </c>
      <c r="Z116" s="99">
        <v>0</v>
      </c>
      <c r="AA116" s="99">
        <v>0</v>
      </c>
      <c r="AB116" s="99">
        <v>0</v>
      </c>
      <c r="AC116" s="99">
        <v>0</v>
      </c>
      <c r="AD116" s="99">
        <v>0</v>
      </c>
      <c r="AE116" s="99">
        <v>1</v>
      </c>
      <c r="AF116" s="99">
        <v>1</v>
      </c>
      <c r="AG116" s="99">
        <v>0</v>
      </c>
      <c r="AH116" s="99">
        <v>1</v>
      </c>
      <c r="AI116" s="99">
        <v>0</v>
      </c>
      <c r="AJ116" s="99">
        <v>1</v>
      </c>
      <c r="AK116" s="99">
        <v>0</v>
      </c>
      <c r="AL116" s="99">
        <v>0</v>
      </c>
      <c r="AM116" s="99">
        <v>1</v>
      </c>
      <c r="AN116" s="99">
        <v>0</v>
      </c>
      <c r="AO116" s="99">
        <v>0</v>
      </c>
      <c r="AP116" s="99">
        <v>0</v>
      </c>
      <c r="AQ116" s="99">
        <v>0</v>
      </c>
      <c r="AR116" s="99">
        <v>0</v>
      </c>
      <c r="AS116" s="99">
        <v>0</v>
      </c>
      <c r="AT116" s="99">
        <v>0</v>
      </c>
      <c r="AU116" s="99">
        <v>1</v>
      </c>
      <c r="AV116" s="99">
        <v>1</v>
      </c>
      <c r="AW116" s="99">
        <v>1</v>
      </c>
      <c r="AX116" s="99">
        <v>0</v>
      </c>
      <c r="AY116" s="99">
        <v>0</v>
      </c>
      <c r="AZ116" s="99">
        <v>0</v>
      </c>
      <c r="BA116" s="99">
        <v>0</v>
      </c>
      <c r="BB116" s="99">
        <v>0</v>
      </c>
      <c r="BC116" s="99">
        <v>1</v>
      </c>
      <c r="BD116" s="99">
        <v>0</v>
      </c>
      <c r="BE116" s="99">
        <v>0</v>
      </c>
      <c r="BF116" s="99">
        <v>0</v>
      </c>
      <c r="BG116" s="99">
        <v>0</v>
      </c>
      <c r="BH116" s="99">
        <v>0</v>
      </c>
      <c r="BI116" s="99">
        <v>0</v>
      </c>
      <c r="BJ116" s="99">
        <v>0</v>
      </c>
      <c r="BK116" s="99">
        <v>0</v>
      </c>
      <c r="BL116" s="99">
        <v>1</v>
      </c>
      <c r="BM116" s="99">
        <v>0</v>
      </c>
      <c r="BN116" s="99">
        <v>0</v>
      </c>
      <c r="BO116" s="99">
        <v>1</v>
      </c>
      <c r="BP116" s="99">
        <v>0</v>
      </c>
      <c r="BQ116" s="99">
        <v>0</v>
      </c>
      <c r="BR116" s="99">
        <v>0</v>
      </c>
      <c r="BS116" s="99">
        <v>0</v>
      </c>
      <c r="BT116" s="99">
        <v>0</v>
      </c>
      <c r="BU116" s="99">
        <v>0</v>
      </c>
      <c r="BV116" s="99">
        <v>0</v>
      </c>
      <c r="BW116" s="99">
        <v>1</v>
      </c>
      <c r="BX116" s="99">
        <v>0</v>
      </c>
      <c r="BY116" s="99">
        <v>0</v>
      </c>
      <c r="BZ116" s="99">
        <v>1</v>
      </c>
      <c r="CA116" s="99">
        <v>0</v>
      </c>
      <c r="CB116" s="99">
        <v>1</v>
      </c>
      <c r="CC116" s="99">
        <v>0</v>
      </c>
      <c r="CD116" s="99">
        <v>0</v>
      </c>
      <c r="CE116" s="99">
        <v>0</v>
      </c>
      <c r="CF116" s="99">
        <v>1</v>
      </c>
      <c r="CG116" s="99">
        <v>0</v>
      </c>
      <c r="CH116" s="99">
        <v>0</v>
      </c>
      <c r="CI116" s="99">
        <v>0</v>
      </c>
      <c r="CJ116" s="99">
        <v>1</v>
      </c>
      <c r="CK116" s="99">
        <v>1</v>
      </c>
      <c r="CL116" s="99">
        <v>0</v>
      </c>
      <c r="CM116" s="99">
        <v>0</v>
      </c>
      <c r="CN116" s="99">
        <v>1</v>
      </c>
      <c r="CO116" s="99">
        <v>0</v>
      </c>
      <c r="CP116" s="99">
        <v>0</v>
      </c>
      <c r="CQ116" s="99">
        <v>0</v>
      </c>
      <c r="CR116" s="99">
        <v>0</v>
      </c>
      <c r="CS116" s="98">
        <v>0</v>
      </c>
    </row>
    <row r="117" spans="2:97" x14ac:dyDescent="0.3">
      <c r="B117" s="83" t="s">
        <v>73</v>
      </c>
      <c r="C117" s="99">
        <v>0</v>
      </c>
      <c r="D117" s="99">
        <v>0</v>
      </c>
      <c r="E117" s="99">
        <v>0</v>
      </c>
      <c r="F117" s="99">
        <v>1</v>
      </c>
      <c r="G117" s="99">
        <v>0</v>
      </c>
      <c r="H117" s="99">
        <v>1</v>
      </c>
      <c r="I117" s="99">
        <v>0</v>
      </c>
      <c r="J117" s="99">
        <v>1</v>
      </c>
      <c r="K117" s="99">
        <v>0</v>
      </c>
      <c r="L117" s="99">
        <v>0</v>
      </c>
      <c r="M117" s="99">
        <v>0</v>
      </c>
      <c r="N117" s="99">
        <v>0</v>
      </c>
      <c r="O117" s="99">
        <v>0</v>
      </c>
      <c r="P117" s="99">
        <v>1</v>
      </c>
      <c r="Q117" s="99">
        <v>0</v>
      </c>
      <c r="R117" s="99">
        <v>1</v>
      </c>
      <c r="S117" s="99">
        <v>0</v>
      </c>
      <c r="T117" s="99">
        <v>1</v>
      </c>
      <c r="U117" s="99">
        <v>0</v>
      </c>
      <c r="V117" s="99">
        <v>0</v>
      </c>
      <c r="W117" s="99">
        <v>1</v>
      </c>
      <c r="X117" s="99">
        <v>0</v>
      </c>
      <c r="Y117" s="99">
        <v>0</v>
      </c>
      <c r="Z117" s="99">
        <v>0</v>
      </c>
      <c r="AA117" s="99">
        <v>1</v>
      </c>
      <c r="AB117" s="99">
        <v>1</v>
      </c>
      <c r="AC117" s="99">
        <v>0</v>
      </c>
      <c r="AD117" s="99">
        <v>0</v>
      </c>
      <c r="AE117" s="99">
        <v>0</v>
      </c>
      <c r="AF117" s="99">
        <v>0</v>
      </c>
      <c r="AG117" s="99">
        <v>1</v>
      </c>
      <c r="AH117" s="99">
        <v>0</v>
      </c>
      <c r="AI117" s="99">
        <v>1</v>
      </c>
      <c r="AJ117" s="99">
        <v>0</v>
      </c>
      <c r="AK117" s="99">
        <v>0</v>
      </c>
      <c r="AL117" s="99">
        <v>0</v>
      </c>
      <c r="AM117" s="99">
        <v>0</v>
      </c>
      <c r="AN117" s="99">
        <v>0</v>
      </c>
      <c r="AO117" s="99">
        <v>0</v>
      </c>
      <c r="AP117" s="99">
        <v>0</v>
      </c>
      <c r="AQ117" s="99">
        <v>0</v>
      </c>
      <c r="AR117" s="99">
        <v>0</v>
      </c>
      <c r="AS117" s="99">
        <v>0</v>
      </c>
      <c r="AT117" s="99">
        <v>1</v>
      </c>
      <c r="AU117" s="99">
        <v>0</v>
      </c>
      <c r="AV117" s="99">
        <v>0</v>
      </c>
      <c r="AW117" s="99">
        <v>0</v>
      </c>
      <c r="AX117" s="99">
        <v>0</v>
      </c>
      <c r="AY117" s="99">
        <v>0</v>
      </c>
      <c r="AZ117" s="99">
        <v>0</v>
      </c>
      <c r="BA117" s="99">
        <v>0</v>
      </c>
      <c r="BB117" s="99">
        <v>0</v>
      </c>
      <c r="BC117" s="99">
        <v>0</v>
      </c>
      <c r="BD117" s="99">
        <v>0</v>
      </c>
      <c r="BE117" s="99">
        <v>0</v>
      </c>
      <c r="BF117" s="99">
        <v>1</v>
      </c>
      <c r="BG117" s="99">
        <v>0</v>
      </c>
      <c r="BH117" s="99">
        <v>0</v>
      </c>
      <c r="BI117" s="99">
        <v>1</v>
      </c>
      <c r="BJ117" s="99">
        <v>0</v>
      </c>
      <c r="BK117" s="99">
        <v>1</v>
      </c>
      <c r="BL117" s="99">
        <v>0</v>
      </c>
      <c r="BM117" s="99">
        <v>0</v>
      </c>
      <c r="BN117" s="99">
        <v>0</v>
      </c>
      <c r="BO117" s="99">
        <v>0</v>
      </c>
      <c r="BP117" s="99">
        <v>0</v>
      </c>
      <c r="BQ117" s="99">
        <v>1</v>
      </c>
      <c r="BR117" s="99">
        <v>0</v>
      </c>
      <c r="BS117" s="99">
        <v>1</v>
      </c>
      <c r="BT117" s="99">
        <v>1</v>
      </c>
      <c r="BU117" s="99">
        <v>1</v>
      </c>
      <c r="BV117" s="99">
        <v>1</v>
      </c>
      <c r="BW117" s="99">
        <v>0</v>
      </c>
      <c r="BX117" s="99">
        <v>0</v>
      </c>
      <c r="BY117" s="99">
        <v>0</v>
      </c>
      <c r="BZ117" s="99">
        <v>0</v>
      </c>
      <c r="CA117" s="99">
        <v>1</v>
      </c>
      <c r="CB117" s="99">
        <v>0</v>
      </c>
      <c r="CC117" s="99">
        <v>0</v>
      </c>
      <c r="CD117" s="99">
        <v>0</v>
      </c>
      <c r="CE117" s="99">
        <v>0</v>
      </c>
      <c r="CF117" s="99">
        <v>0</v>
      </c>
      <c r="CG117" s="99">
        <v>0</v>
      </c>
      <c r="CH117" s="99">
        <v>0</v>
      </c>
      <c r="CI117" s="99">
        <v>0</v>
      </c>
      <c r="CJ117" s="99">
        <v>0</v>
      </c>
      <c r="CK117" s="99">
        <v>0</v>
      </c>
      <c r="CL117" s="99">
        <v>1</v>
      </c>
      <c r="CM117" s="99">
        <v>1</v>
      </c>
      <c r="CN117" s="99">
        <v>0</v>
      </c>
      <c r="CO117" s="99">
        <v>0</v>
      </c>
      <c r="CP117" s="99">
        <v>0</v>
      </c>
      <c r="CQ117" s="99">
        <v>1</v>
      </c>
      <c r="CR117" s="99">
        <v>0</v>
      </c>
      <c r="CS117" s="98">
        <v>0</v>
      </c>
    </row>
    <row r="118" spans="2:97" x14ac:dyDescent="0.3">
      <c r="B118" s="83" t="s">
        <v>74</v>
      </c>
      <c r="C118" s="99">
        <v>1</v>
      </c>
      <c r="D118" s="99">
        <v>0</v>
      </c>
      <c r="E118" s="99">
        <v>0</v>
      </c>
      <c r="F118" s="99">
        <v>0</v>
      </c>
      <c r="G118" s="99">
        <v>1</v>
      </c>
      <c r="H118" s="99">
        <v>0</v>
      </c>
      <c r="I118" s="99">
        <v>1</v>
      </c>
      <c r="J118" s="99">
        <v>0</v>
      </c>
      <c r="K118" s="99">
        <v>0</v>
      </c>
      <c r="L118" s="99">
        <v>1</v>
      </c>
      <c r="M118" s="99">
        <v>0</v>
      </c>
      <c r="N118" s="99">
        <v>0</v>
      </c>
      <c r="O118" s="99">
        <v>1</v>
      </c>
      <c r="P118" s="99">
        <v>0</v>
      </c>
      <c r="Q118" s="99">
        <v>1</v>
      </c>
      <c r="R118" s="99">
        <v>0</v>
      </c>
      <c r="S118" s="99">
        <v>0</v>
      </c>
      <c r="T118" s="99">
        <v>0</v>
      </c>
      <c r="U118" s="99">
        <v>0</v>
      </c>
      <c r="V118" s="99">
        <v>0</v>
      </c>
      <c r="W118" s="99">
        <v>0</v>
      </c>
      <c r="X118" s="99">
        <v>0</v>
      </c>
      <c r="Y118" s="99">
        <v>0</v>
      </c>
      <c r="Z118" s="99">
        <v>0</v>
      </c>
      <c r="AA118" s="99">
        <v>0</v>
      </c>
      <c r="AB118" s="99">
        <v>0</v>
      </c>
      <c r="AC118" s="99">
        <v>0</v>
      </c>
      <c r="AD118" s="99">
        <v>0</v>
      </c>
      <c r="AE118" s="99">
        <v>1</v>
      </c>
      <c r="AF118" s="99">
        <v>1</v>
      </c>
      <c r="AG118" s="99">
        <v>0</v>
      </c>
      <c r="AH118" s="99">
        <v>1</v>
      </c>
      <c r="AI118" s="99">
        <v>0</v>
      </c>
      <c r="AJ118" s="99">
        <v>1</v>
      </c>
      <c r="AK118" s="99">
        <v>0</v>
      </c>
      <c r="AL118" s="99">
        <v>0</v>
      </c>
      <c r="AM118" s="99">
        <v>1</v>
      </c>
      <c r="AN118" s="99">
        <v>0</v>
      </c>
      <c r="AO118" s="99">
        <v>0</v>
      </c>
      <c r="AP118" s="99">
        <v>0</v>
      </c>
      <c r="AQ118" s="99">
        <v>0</v>
      </c>
      <c r="AR118" s="99">
        <v>0</v>
      </c>
      <c r="AS118" s="99">
        <v>0</v>
      </c>
      <c r="AT118" s="99">
        <v>0</v>
      </c>
      <c r="AU118" s="99">
        <v>1</v>
      </c>
      <c r="AV118" s="99">
        <v>1</v>
      </c>
      <c r="AW118" s="99">
        <v>1</v>
      </c>
      <c r="AX118" s="99">
        <v>0</v>
      </c>
      <c r="AY118" s="99">
        <v>0</v>
      </c>
      <c r="AZ118" s="99">
        <v>0</v>
      </c>
      <c r="BA118" s="99">
        <v>0</v>
      </c>
      <c r="BB118" s="99">
        <v>0</v>
      </c>
      <c r="BC118" s="99">
        <v>1</v>
      </c>
      <c r="BD118" s="99">
        <v>0</v>
      </c>
      <c r="BE118" s="99">
        <v>0</v>
      </c>
      <c r="BF118" s="99">
        <v>0</v>
      </c>
      <c r="BG118" s="99">
        <v>0</v>
      </c>
      <c r="BH118" s="99">
        <v>0</v>
      </c>
      <c r="BI118" s="99">
        <v>0</v>
      </c>
      <c r="BJ118" s="99">
        <v>0</v>
      </c>
      <c r="BK118" s="99">
        <v>0</v>
      </c>
      <c r="BL118" s="99">
        <v>1</v>
      </c>
      <c r="BM118" s="99">
        <v>0</v>
      </c>
      <c r="BN118" s="99">
        <v>0</v>
      </c>
      <c r="BO118" s="99">
        <v>1</v>
      </c>
      <c r="BP118" s="99">
        <v>0</v>
      </c>
      <c r="BQ118" s="99">
        <v>0</v>
      </c>
      <c r="BR118" s="99">
        <v>0</v>
      </c>
      <c r="BS118" s="99">
        <v>0</v>
      </c>
      <c r="BT118" s="99">
        <v>0</v>
      </c>
      <c r="BU118" s="99">
        <v>0</v>
      </c>
      <c r="BV118" s="99">
        <v>0</v>
      </c>
      <c r="BW118" s="99">
        <v>1</v>
      </c>
      <c r="BX118" s="99">
        <v>0</v>
      </c>
      <c r="BY118" s="99">
        <v>0</v>
      </c>
      <c r="BZ118" s="99">
        <v>1</v>
      </c>
      <c r="CA118" s="99">
        <v>0</v>
      </c>
      <c r="CB118" s="99">
        <v>1</v>
      </c>
      <c r="CC118" s="99">
        <v>0</v>
      </c>
      <c r="CD118" s="99">
        <v>0</v>
      </c>
      <c r="CE118" s="99">
        <v>0</v>
      </c>
      <c r="CF118" s="99">
        <v>1</v>
      </c>
      <c r="CG118" s="99">
        <v>0</v>
      </c>
      <c r="CH118" s="99">
        <v>0</v>
      </c>
      <c r="CI118" s="99">
        <v>0</v>
      </c>
      <c r="CJ118" s="99">
        <v>1</v>
      </c>
      <c r="CK118" s="99">
        <v>1</v>
      </c>
      <c r="CL118" s="99">
        <v>0</v>
      </c>
      <c r="CM118" s="99">
        <v>0</v>
      </c>
      <c r="CN118" s="99">
        <v>1</v>
      </c>
      <c r="CO118" s="99">
        <v>0</v>
      </c>
      <c r="CP118" s="99">
        <v>0</v>
      </c>
      <c r="CQ118" s="99">
        <v>0</v>
      </c>
      <c r="CR118" s="99">
        <v>0</v>
      </c>
      <c r="CS118" s="98">
        <v>0</v>
      </c>
    </row>
    <row r="119" spans="2:97" x14ac:dyDescent="0.3">
      <c r="B119" s="83" t="s">
        <v>75</v>
      </c>
      <c r="C119" s="99">
        <v>0</v>
      </c>
      <c r="D119" s="99">
        <v>0</v>
      </c>
      <c r="E119" s="99">
        <v>0</v>
      </c>
      <c r="F119" s="99">
        <v>1</v>
      </c>
      <c r="G119" s="99">
        <v>0</v>
      </c>
      <c r="H119" s="99">
        <v>1</v>
      </c>
      <c r="I119" s="99">
        <v>0</v>
      </c>
      <c r="J119" s="99">
        <v>1</v>
      </c>
      <c r="K119" s="99">
        <v>0</v>
      </c>
      <c r="L119" s="99">
        <v>0</v>
      </c>
      <c r="M119" s="99">
        <v>0</v>
      </c>
      <c r="N119" s="99">
        <v>0</v>
      </c>
      <c r="O119" s="99">
        <v>0</v>
      </c>
      <c r="P119" s="99">
        <v>1</v>
      </c>
      <c r="Q119" s="99">
        <v>0</v>
      </c>
      <c r="R119" s="99">
        <v>1</v>
      </c>
      <c r="S119" s="99">
        <v>0</v>
      </c>
      <c r="T119" s="99">
        <v>1</v>
      </c>
      <c r="U119" s="99">
        <v>0</v>
      </c>
      <c r="V119" s="99">
        <v>0</v>
      </c>
      <c r="W119" s="99">
        <v>1</v>
      </c>
      <c r="X119" s="99">
        <v>0</v>
      </c>
      <c r="Y119" s="99">
        <v>0</v>
      </c>
      <c r="Z119" s="99">
        <v>0</v>
      </c>
      <c r="AA119" s="99">
        <v>1</v>
      </c>
      <c r="AB119" s="99">
        <v>1</v>
      </c>
      <c r="AC119" s="99">
        <v>0</v>
      </c>
      <c r="AD119" s="99">
        <v>0</v>
      </c>
      <c r="AE119" s="99">
        <v>0</v>
      </c>
      <c r="AF119" s="99">
        <v>0</v>
      </c>
      <c r="AG119" s="99">
        <v>1</v>
      </c>
      <c r="AH119" s="99">
        <v>0</v>
      </c>
      <c r="AI119" s="99">
        <v>1</v>
      </c>
      <c r="AJ119" s="99">
        <v>0</v>
      </c>
      <c r="AK119" s="99">
        <v>0</v>
      </c>
      <c r="AL119" s="99">
        <v>0</v>
      </c>
      <c r="AM119" s="99">
        <v>0</v>
      </c>
      <c r="AN119" s="99">
        <v>0</v>
      </c>
      <c r="AO119" s="99">
        <v>0</v>
      </c>
      <c r="AP119" s="99">
        <v>0</v>
      </c>
      <c r="AQ119" s="99">
        <v>0</v>
      </c>
      <c r="AR119" s="99">
        <v>0</v>
      </c>
      <c r="AS119" s="99">
        <v>0</v>
      </c>
      <c r="AT119" s="99">
        <v>1</v>
      </c>
      <c r="AU119" s="99">
        <v>0</v>
      </c>
      <c r="AV119" s="99">
        <v>0</v>
      </c>
      <c r="AW119" s="99">
        <v>0</v>
      </c>
      <c r="AX119" s="99">
        <v>0</v>
      </c>
      <c r="AY119" s="99">
        <v>0</v>
      </c>
      <c r="AZ119" s="99">
        <v>0</v>
      </c>
      <c r="BA119" s="99">
        <v>0</v>
      </c>
      <c r="BB119" s="99">
        <v>0</v>
      </c>
      <c r="BC119" s="99">
        <v>0</v>
      </c>
      <c r="BD119" s="99">
        <v>0</v>
      </c>
      <c r="BE119" s="99">
        <v>0</v>
      </c>
      <c r="BF119" s="99">
        <v>1</v>
      </c>
      <c r="BG119" s="99">
        <v>0</v>
      </c>
      <c r="BH119" s="99">
        <v>0</v>
      </c>
      <c r="BI119" s="99">
        <v>1</v>
      </c>
      <c r="BJ119" s="99">
        <v>0</v>
      </c>
      <c r="BK119" s="99">
        <v>1</v>
      </c>
      <c r="BL119" s="99">
        <v>0</v>
      </c>
      <c r="BM119" s="99">
        <v>0</v>
      </c>
      <c r="BN119" s="99">
        <v>0</v>
      </c>
      <c r="BO119" s="99">
        <v>0</v>
      </c>
      <c r="BP119" s="99">
        <v>0</v>
      </c>
      <c r="BQ119" s="99">
        <v>1</v>
      </c>
      <c r="BR119" s="99">
        <v>0</v>
      </c>
      <c r="BS119" s="99">
        <v>1</v>
      </c>
      <c r="BT119" s="99">
        <v>1</v>
      </c>
      <c r="BU119" s="99">
        <v>1</v>
      </c>
      <c r="BV119" s="99">
        <v>1</v>
      </c>
      <c r="BW119" s="99">
        <v>0</v>
      </c>
      <c r="BX119" s="99">
        <v>0</v>
      </c>
      <c r="BY119" s="99">
        <v>0</v>
      </c>
      <c r="BZ119" s="99">
        <v>0</v>
      </c>
      <c r="CA119" s="99">
        <v>1</v>
      </c>
      <c r="CB119" s="99">
        <v>0</v>
      </c>
      <c r="CC119" s="99">
        <v>0</v>
      </c>
      <c r="CD119" s="99">
        <v>0</v>
      </c>
      <c r="CE119" s="99">
        <v>0</v>
      </c>
      <c r="CF119" s="99">
        <v>0</v>
      </c>
      <c r="CG119" s="99">
        <v>0</v>
      </c>
      <c r="CH119" s="99">
        <v>0</v>
      </c>
      <c r="CI119" s="99">
        <v>0</v>
      </c>
      <c r="CJ119" s="99">
        <v>0</v>
      </c>
      <c r="CK119" s="99">
        <v>0</v>
      </c>
      <c r="CL119" s="99">
        <v>1</v>
      </c>
      <c r="CM119" s="99">
        <v>1</v>
      </c>
      <c r="CN119" s="99">
        <v>0</v>
      </c>
      <c r="CO119" s="99">
        <v>0</v>
      </c>
      <c r="CP119" s="99">
        <v>0</v>
      </c>
      <c r="CQ119" s="99">
        <v>1</v>
      </c>
      <c r="CR119" s="99">
        <v>0</v>
      </c>
      <c r="CS119" s="98">
        <v>0</v>
      </c>
    </row>
    <row r="120" spans="2:97" x14ac:dyDescent="0.3">
      <c r="B120" s="83" t="s">
        <v>76</v>
      </c>
      <c r="C120" s="99">
        <v>0</v>
      </c>
      <c r="D120" s="99">
        <v>0</v>
      </c>
      <c r="E120" s="99">
        <v>1</v>
      </c>
      <c r="F120" s="99">
        <v>0</v>
      </c>
      <c r="G120" s="99">
        <v>0</v>
      </c>
      <c r="H120" s="99">
        <v>0</v>
      </c>
      <c r="I120" s="99">
        <v>0</v>
      </c>
      <c r="J120" s="99">
        <v>0</v>
      </c>
      <c r="K120" s="99">
        <v>1</v>
      </c>
      <c r="L120" s="99">
        <v>0</v>
      </c>
      <c r="M120" s="99">
        <v>0</v>
      </c>
      <c r="N120" s="99">
        <v>1</v>
      </c>
      <c r="O120" s="99">
        <v>0</v>
      </c>
      <c r="P120" s="99">
        <v>0</v>
      </c>
      <c r="Q120" s="99">
        <v>0</v>
      </c>
      <c r="R120" s="99">
        <v>0</v>
      </c>
      <c r="S120" s="99">
        <v>1</v>
      </c>
      <c r="T120" s="99">
        <v>0</v>
      </c>
      <c r="U120" s="99">
        <v>0</v>
      </c>
      <c r="V120" s="99">
        <v>1</v>
      </c>
      <c r="W120" s="99">
        <v>0</v>
      </c>
      <c r="X120" s="99">
        <v>0</v>
      </c>
      <c r="Y120" s="99">
        <v>1</v>
      </c>
      <c r="Z120" s="99">
        <v>1</v>
      </c>
      <c r="AA120" s="99">
        <v>0</v>
      </c>
      <c r="AB120" s="99">
        <v>0</v>
      </c>
      <c r="AC120" s="99">
        <v>1</v>
      </c>
      <c r="AD120" s="99">
        <v>0</v>
      </c>
      <c r="AE120" s="99">
        <v>0</v>
      </c>
      <c r="AF120" s="99">
        <v>0</v>
      </c>
      <c r="AG120" s="99">
        <v>0</v>
      </c>
      <c r="AH120" s="99">
        <v>0</v>
      </c>
      <c r="AI120" s="99">
        <v>0</v>
      </c>
      <c r="AJ120" s="99">
        <v>0</v>
      </c>
      <c r="AK120" s="99">
        <v>1</v>
      </c>
      <c r="AL120" s="99">
        <v>1</v>
      </c>
      <c r="AM120" s="99">
        <v>0</v>
      </c>
      <c r="AN120" s="99">
        <v>1</v>
      </c>
      <c r="AO120" s="99">
        <v>1</v>
      </c>
      <c r="AP120" s="99">
        <v>1</v>
      </c>
      <c r="AQ120" s="99">
        <v>0</v>
      </c>
      <c r="AR120" s="99">
        <v>0</v>
      </c>
      <c r="AS120" s="99">
        <v>0</v>
      </c>
      <c r="AT120" s="99">
        <v>0</v>
      </c>
      <c r="AU120" s="99">
        <v>0</v>
      </c>
      <c r="AV120" s="99">
        <v>0</v>
      </c>
      <c r="AW120" s="99">
        <v>0</v>
      </c>
      <c r="AX120" s="99">
        <v>1</v>
      </c>
      <c r="AY120" s="99">
        <v>1</v>
      </c>
      <c r="AZ120" s="99">
        <v>0</v>
      </c>
      <c r="BA120" s="99">
        <v>0</v>
      </c>
      <c r="BB120" s="99">
        <v>0</v>
      </c>
      <c r="BC120" s="99">
        <v>0</v>
      </c>
      <c r="BD120" s="99">
        <v>0</v>
      </c>
      <c r="BE120" s="99">
        <v>1</v>
      </c>
      <c r="BF120" s="99">
        <v>0</v>
      </c>
      <c r="BG120" s="99">
        <v>0</v>
      </c>
      <c r="BH120" s="99">
        <v>0</v>
      </c>
      <c r="BI120" s="99">
        <v>0</v>
      </c>
      <c r="BJ120" s="99">
        <v>1</v>
      </c>
      <c r="BK120" s="99">
        <v>0</v>
      </c>
      <c r="BL120" s="99">
        <v>0</v>
      </c>
      <c r="BM120" s="99">
        <v>0</v>
      </c>
      <c r="BN120" s="99">
        <v>0</v>
      </c>
      <c r="BO120" s="99">
        <v>0</v>
      </c>
      <c r="BP120" s="99">
        <v>1</v>
      </c>
      <c r="BQ120" s="99">
        <v>0</v>
      </c>
      <c r="BR120" s="99">
        <v>0</v>
      </c>
      <c r="BS120" s="99">
        <v>0</v>
      </c>
      <c r="BT120" s="99">
        <v>0</v>
      </c>
      <c r="BU120" s="99">
        <v>0</v>
      </c>
      <c r="BV120" s="99">
        <v>0</v>
      </c>
      <c r="BW120" s="99">
        <v>0</v>
      </c>
      <c r="BX120" s="99">
        <v>0</v>
      </c>
      <c r="BY120" s="99">
        <v>0</v>
      </c>
      <c r="BZ120" s="99">
        <v>0</v>
      </c>
      <c r="CA120" s="99">
        <v>0</v>
      </c>
      <c r="CB120" s="99">
        <v>0</v>
      </c>
      <c r="CC120" s="99">
        <v>1</v>
      </c>
      <c r="CD120" s="99">
        <v>0</v>
      </c>
      <c r="CE120" s="99">
        <v>0</v>
      </c>
      <c r="CF120" s="99">
        <v>0</v>
      </c>
      <c r="CG120" s="99">
        <v>0</v>
      </c>
      <c r="CH120" s="99">
        <v>1</v>
      </c>
      <c r="CI120" s="99">
        <v>0</v>
      </c>
      <c r="CJ120" s="99">
        <v>0</v>
      </c>
      <c r="CK120" s="99">
        <v>0</v>
      </c>
      <c r="CL120" s="99">
        <v>0</v>
      </c>
      <c r="CM120" s="99">
        <v>0</v>
      </c>
      <c r="CN120" s="99">
        <v>0</v>
      </c>
      <c r="CO120" s="99">
        <v>0</v>
      </c>
      <c r="CP120" s="99">
        <v>1</v>
      </c>
      <c r="CQ120" s="99">
        <v>0</v>
      </c>
      <c r="CR120" s="99">
        <v>0</v>
      </c>
      <c r="CS120" s="98">
        <v>0</v>
      </c>
    </row>
    <row r="121" spans="2:97" x14ac:dyDescent="0.3">
      <c r="B121" s="83" t="s">
        <v>77</v>
      </c>
      <c r="C121" s="99">
        <v>0</v>
      </c>
      <c r="D121" s="99">
        <v>0</v>
      </c>
      <c r="E121" s="99">
        <v>0</v>
      </c>
      <c r="F121" s="99">
        <v>1</v>
      </c>
      <c r="G121" s="99">
        <v>0</v>
      </c>
      <c r="H121" s="99">
        <v>1</v>
      </c>
      <c r="I121" s="99">
        <v>0</v>
      </c>
      <c r="J121" s="99">
        <v>1</v>
      </c>
      <c r="K121" s="99">
        <v>0</v>
      </c>
      <c r="L121" s="99">
        <v>0</v>
      </c>
      <c r="M121" s="99">
        <v>0</v>
      </c>
      <c r="N121" s="99">
        <v>0</v>
      </c>
      <c r="O121" s="99">
        <v>0</v>
      </c>
      <c r="P121" s="99">
        <v>1</v>
      </c>
      <c r="Q121" s="99">
        <v>0</v>
      </c>
      <c r="R121" s="99">
        <v>1</v>
      </c>
      <c r="S121" s="99">
        <v>0</v>
      </c>
      <c r="T121" s="99">
        <v>1</v>
      </c>
      <c r="U121" s="99">
        <v>0</v>
      </c>
      <c r="V121" s="99">
        <v>0</v>
      </c>
      <c r="W121" s="99">
        <v>1</v>
      </c>
      <c r="X121" s="99">
        <v>0</v>
      </c>
      <c r="Y121" s="99">
        <v>0</v>
      </c>
      <c r="Z121" s="99">
        <v>0</v>
      </c>
      <c r="AA121" s="99">
        <v>1</v>
      </c>
      <c r="AB121" s="99">
        <v>1</v>
      </c>
      <c r="AC121" s="99">
        <v>0</v>
      </c>
      <c r="AD121" s="99">
        <v>0</v>
      </c>
      <c r="AE121" s="99">
        <v>0</v>
      </c>
      <c r="AF121" s="99">
        <v>0</v>
      </c>
      <c r="AG121" s="99">
        <v>1</v>
      </c>
      <c r="AH121" s="99">
        <v>0</v>
      </c>
      <c r="AI121" s="99">
        <v>1</v>
      </c>
      <c r="AJ121" s="99">
        <v>0</v>
      </c>
      <c r="AK121" s="99">
        <v>0</v>
      </c>
      <c r="AL121" s="99">
        <v>0</v>
      </c>
      <c r="AM121" s="99">
        <v>0</v>
      </c>
      <c r="AN121" s="99">
        <v>0</v>
      </c>
      <c r="AO121" s="99">
        <v>0</v>
      </c>
      <c r="AP121" s="99">
        <v>0</v>
      </c>
      <c r="AQ121" s="99">
        <v>0</v>
      </c>
      <c r="AR121" s="99">
        <v>0</v>
      </c>
      <c r="AS121" s="99">
        <v>0</v>
      </c>
      <c r="AT121" s="99">
        <v>1</v>
      </c>
      <c r="AU121" s="99">
        <v>0</v>
      </c>
      <c r="AV121" s="99">
        <v>0</v>
      </c>
      <c r="AW121" s="99">
        <v>0</v>
      </c>
      <c r="AX121" s="99">
        <v>0</v>
      </c>
      <c r="AY121" s="99">
        <v>0</v>
      </c>
      <c r="AZ121" s="99">
        <v>0</v>
      </c>
      <c r="BA121" s="99">
        <v>0</v>
      </c>
      <c r="BB121" s="99">
        <v>0</v>
      </c>
      <c r="BC121" s="99">
        <v>0</v>
      </c>
      <c r="BD121" s="99">
        <v>0</v>
      </c>
      <c r="BE121" s="99">
        <v>0</v>
      </c>
      <c r="BF121" s="99">
        <v>1</v>
      </c>
      <c r="BG121" s="99">
        <v>0</v>
      </c>
      <c r="BH121" s="99">
        <v>0</v>
      </c>
      <c r="BI121" s="99">
        <v>1</v>
      </c>
      <c r="BJ121" s="99">
        <v>0</v>
      </c>
      <c r="BK121" s="99">
        <v>1</v>
      </c>
      <c r="BL121" s="99">
        <v>0</v>
      </c>
      <c r="BM121" s="99">
        <v>0</v>
      </c>
      <c r="BN121" s="99">
        <v>0</v>
      </c>
      <c r="BO121" s="99">
        <v>0</v>
      </c>
      <c r="BP121" s="99">
        <v>0</v>
      </c>
      <c r="BQ121" s="99">
        <v>1</v>
      </c>
      <c r="BR121" s="99">
        <v>0</v>
      </c>
      <c r="BS121" s="99">
        <v>1</v>
      </c>
      <c r="BT121" s="99">
        <v>1</v>
      </c>
      <c r="BU121" s="99">
        <v>1</v>
      </c>
      <c r="BV121" s="99">
        <v>1</v>
      </c>
      <c r="BW121" s="99">
        <v>0</v>
      </c>
      <c r="BX121" s="99">
        <v>0</v>
      </c>
      <c r="BY121" s="99">
        <v>0</v>
      </c>
      <c r="BZ121" s="99">
        <v>0</v>
      </c>
      <c r="CA121" s="99">
        <v>1</v>
      </c>
      <c r="CB121" s="99">
        <v>0</v>
      </c>
      <c r="CC121" s="99">
        <v>0</v>
      </c>
      <c r="CD121" s="99">
        <v>0</v>
      </c>
      <c r="CE121" s="99">
        <v>0</v>
      </c>
      <c r="CF121" s="99">
        <v>0</v>
      </c>
      <c r="CG121" s="99">
        <v>0</v>
      </c>
      <c r="CH121" s="99">
        <v>0</v>
      </c>
      <c r="CI121" s="99">
        <v>0</v>
      </c>
      <c r="CJ121" s="99">
        <v>0</v>
      </c>
      <c r="CK121" s="99">
        <v>0</v>
      </c>
      <c r="CL121" s="99">
        <v>1</v>
      </c>
      <c r="CM121" s="99">
        <v>1</v>
      </c>
      <c r="CN121" s="99">
        <v>0</v>
      </c>
      <c r="CO121" s="99">
        <v>0</v>
      </c>
      <c r="CP121" s="99">
        <v>0</v>
      </c>
      <c r="CQ121" s="99">
        <v>1</v>
      </c>
      <c r="CR121" s="99">
        <v>0</v>
      </c>
      <c r="CS121" s="98">
        <v>0</v>
      </c>
    </row>
    <row r="122" spans="2:97" x14ac:dyDescent="0.3">
      <c r="B122" s="83" t="s">
        <v>78</v>
      </c>
      <c r="C122" s="99">
        <v>0</v>
      </c>
      <c r="D122" s="99">
        <v>1</v>
      </c>
      <c r="E122" s="99">
        <v>0</v>
      </c>
      <c r="F122" s="99">
        <v>0</v>
      </c>
      <c r="G122" s="99">
        <v>0</v>
      </c>
      <c r="H122" s="99">
        <v>0</v>
      </c>
      <c r="I122" s="99">
        <v>0</v>
      </c>
      <c r="J122" s="99">
        <v>0</v>
      </c>
      <c r="K122" s="99">
        <v>0</v>
      </c>
      <c r="L122" s="99">
        <v>0</v>
      </c>
      <c r="M122" s="99">
        <v>1</v>
      </c>
      <c r="N122" s="99">
        <v>0</v>
      </c>
      <c r="O122" s="99">
        <v>0</v>
      </c>
      <c r="P122" s="99">
        <v>0</v>
      </c>
      <c r="Q122" s="99">
        <v>0</v>
      </c>
      <c r="R122" s="99">
        <v>0</v>
      </c>
      <c r="S122" s="99">
        <v>0</v>
      </c>
      <c r="T122" s="99">
        <v>0</v>
      </c>
      <c r="U122" s="99">
        <v>1</v>
      </c>
      <c r="V122" s="99">
        <v>0</v>
      </c>
      <c r="W122" s="99">
        <v>0</v>
      </c>
      <c r="X122" s="99">
        <v>1</v>
      </c>
      <c r="Y122" s="99">
        <v>0</v>
      </c>
      <c r="Z122" s="99">
        <v>0</v>
      </c>
      <c r="AA122" s="99">
        <v>0</v>
      </c>
      <c r="AB122" s="99">
        <v>0</v>
      </c>
      <c r="AC122" s="99">
        <v>0</v>
      </c>
      <c r="AD122" s="99">
        <v>1</v>
      </c>
      <c r="AE122" s="99">
        <v>0</v>
      </c>
      <c r="AF122" s="99">
        <v>0</v>
      </c>
      <c r="AG122" s="99">
        <v>0</v>
      </c>
      <c r="AH122" s="99">
        <v>0</v>
      </c>
      <c r="AI122" s="99">
        <v>0</v>
      </c>
      <c r="AJ122" s="99">
        <v>0</v>
      </c>
      <c r="AK122" s="99">
        <v>0</v>
      </c>
      <c r="AL122" s="99">
        <v>0</v>
      </c>
      <c r="AM122" s="99">
        <v>0</v>
      </c>
      <c r="AN122" s="99">
        <v>0</v>
      </c>
      <c r="AO122" s="99">
        <v>0</v>
      </c>
      <c r="AP122" s="99">
        <v>0</v>
      </c>
      <c r="AQ122" s="99">
        <v>1</v>
      </c>
      <c r="AR122" s="99">
        <v>1</v>
      </c>
      <c r="AS122" s="99">
        <v>1</v>
      </c>
      <c r="AT122" s="99">
        <v>0</v>
      </c>
      <c r="AU122" s="99">
        <v>0</v>
      </c>
      <c r="AV122" s="99">
        <v>0</v>
      </c>
      <c r="AW122" s="99">
        <v>0</v>
      </c>
      <c r="AX122" s="99">
        <v>0</v>
      </c>
      <c r="AY122" s="99">
        <v>0</v>
      </c>
      <c r="AZ122" s="99">
        <v>1</v>
      </c>
      <c r="BA122" s="99">
        <v>1</v>
      </c>
      <c r="BB122" s="99">
        <v>1</v>
      </c>
      <c r="BC122" s="99">
        <v>0</v>
      </c>
      <c r="BD122" s="99">
        <v>1</v>
      </c>
      <c r="BE122" s="99">
        <v>0</v>
      </c>
      <c r="BF122" s="99">
        <v>0</v>
      </c>
      <c r="BG122" s="99">
        <v>1</v>
      </c>
      <c r="BH122" s="99">
        <v>1</v>
      </c>
      <c r="BI122" s="99">
        <v>0</v>
      </c>
      <c r="BJ122" s="99">
        <v>0</v>
      </c>
      <c r="BK122" s="99">
        <v>0</v>
      </c>
      <c r="BL122" s="99">
        <v>0</v>
      </c>
      <c r="BM122" s="99">
        <v>1</v>
      </c>
      <c r="BN122" s="99">
        <v>1</v>
      </c>
      <c r="BO122" s="99">
        <v>0</v>
      </c>
      <c r="BP122" s="99">
        <v>0</v>
      </c>
      <c r="BQ122" s="99">
        <v>0</v>
      </c>
      <c r="BR122" s="99">
        <v>1</v>
      </c>
      <c r="BS122" s="99">
        <v>0</v>
      </c>
      <c r="BT122" s="99">
        <v>0</v>
      </c>
      <c r="BU122" s="99">
        <v>0</v>
      </c>
      <c r="BV122" s="99">
        <v>0</v>
      </c>
      <c r="BW122" s="99">
        <v>0</v>
      </c>
      <c r="BX122" s="99">
        <v>1</v>
      </c>
      <c r="BY122" s="99">
        <v>1</v>
      </c>
      <c r="BZ122" s="99">
        <v>0</v>
      </c>
      <c r="CA122" s="99">
        <v>0</v>
      </c>
      <c r="CB122" s="99">
        <v>0</v>
      </c>
      <c r="CC122" s="99">
        <v>0</v>
      </c>
      <c r="CD122" s="99">
        <v>1</v>
      </c>
      <c r="CE122" s="99">
        <v>1</v>
      </c>
      <c r="CF122" s="99">
        <v>0</v>
      </c>
      <c r="CG122" s="99">
        <v>1</v>
      </c>
      <c r="CH122" s="99">
        <v>0</v>
      </c>
      <c r="CI122" s="99">
        <v>1</v>
      </c>
      <c r="CJ122" s="99">
        <v>0</v>
      </c>
      <c r="CK122" s="99">
        <v>0</v>
      </c>
      <c r="CL122" s="99">
        <v>0</v>
      </c>
      <c r="CM122" s="99">
        <v>0</v>
      </c>
      <c r="CN122" s="99">
        <v>0</v>
      </c>
      <c r="CO122" s="99">
        <v>1</v>
      </c>
      <c r="CP122" s="99">
        <v>0</v>
      </c>
      <c r="CQ122" s="99">
        <v>0</v>
      </c>
      <c r="CR122" s="99">
        <v>1</v>
      </c>
      <c r="CS122" s="98">
        <v>1</v>
      </c>
    </row>
    <row r="123" spans="2:97" x14ac:dyDescent="0.3">
      <c r="B123" s="83" t="s">
        <v>79</v>
      </c>
      <c r="C123" s="99">
        <v>0</v>
      </c>
      <c r="D123" s="99">
        <v>0</v>
      </c>
      <c r="E123" s="99">
        <v>1</v>
      </c>
      <c r="F123" s="99">
        <v>0</v>
      </c>
      <c r="G123" s="99">
        <v>0</v>
      </c>
      <c r="H123" s="99">
        <v>0</v>
      </c>
      <c r="I123" s="99">
        <v>0</v>
      </c>
      <c r="J123" s="99">
        <v>0</v>
      </c>
      <c r="K123" s="99">
        <v>1</v>
      </c>
      <c r="L123" s="99">
        <v>0</v>
      </c>
      <c r="M123" s="99">
        <v>0</v>
      </c>
      <c r="N123" s="99">
        <v>1</v>
      </c>
      <c r="O123" s="99">
        <v>0</v>
      </c>
      <c r="P123" s="99">
        <v>0</v>
      </c>
      <c r="Q123" s="99">
        <v>0</v>
      </c>
      <c r="R123" s="99">
        <v>0</v>
      </c>
      <c r="S123" s="99">
        <v>1</v>
      </c>
      <c r="T123" s="99">
        <v>0</v>
      </c>
      <c r="U123" s="99">
        <v>0</v>
      </c>
      <c r="V123" s="99">
        <v>1</v>
      </c>
      <c r="W123" s="99">
        <v>0</v>
      </c>
      <c r="X123" s="99">
        <v>0</v>
      </c>
      <c r="Y123" s="99">
        <v>1</v>
      </c>
      <c r="Z123" s="99">
        <v>1</v>
      </c>
      <c r="AA123" s="99">
        <v>0</v>
      </c>
      <c r="AB123" s="99">
        <v>0</v>
      </c>
      <c r="AC123" s="99">
        <v>1</v>
      </c>
      <c r="AD123" s="99">
        <v>0</v>
      </c>
      <c r="AE123" s="99">
        <v>0</v>
      </c>
      <c r="AF123" s="99">
        <v>0</v>
      </c>
      <c r="AG123" s="99">
        <v>0</v>
      </c>
      <c r="AH123" s="99">
        <v>0</v>
      </c>
      <c r="AI123" s="99">
        <v>0</v>
      </c>
      <c r="AJ123" s="99">
        <v>0</v>
      </c>
      <c r="AK123" s="99">
        <v>1</v>
      </c>
      <c r="AL123" s="99">
        <v>1</v>
      </c>
      <c r="AM123" s="99">
        <v>0</v>
      </c>
      <c r="AN123" s="99">
        <v>1</v>
      </c>
      <c r="AO123" s="99">
        <v>1</v>
      </c>
      <c r="AP123" s="99">
        <v>1</v>
      </c>
      <c r="AQ123" s="99">
        <v>0</v>
      </c>
      <c r="AR123" s="99">
        <v>0</v>
      </c>
      <c r="AS123" s="99">
        <v>0</v>
      </c>
      <c r="AT123" s="99">
        <v>0</v>
      </c>
      <c r="AU123" s="99">
        <v>0</v>
      </c>
      <c r="AV123" s="99">
        <v>0</v>
      </c>
      <c r="AW123" s="99">
        <v>0</v>
      </c>
      <c r="AX123" s="99">
        <v>1</v>
      </c>
      <c r="AY123" s="99">
        <v>1</v>
      </c>
      <c r="AZ123" s="99">
        <v>0</v>
      </c>
      <c r="BA123" s="99">
        <v>0</v>
      </c>
      <c r="BB123" s="99">
        <v>0</v>
      </c>
      <c r="BC123" s="99">
        <v>0</v>
      </c>
      <c r="BD123" s="99">
        <v>0</v>
      </c>
      <c r="BE123" s="99">
        <v>1</v>
      </c>
      <c r="BF123" s="99">
        <v>0</v>
      </c>
      <c r="BG123" s="99">
        <v>0</v>
      </c>
      <c r="BH123" s="99">
        <v>0</v>
      </c>
      <c r="BI123" s="99">
        <v>0</v>
      </c>
      <c r="BJ123" s="99">
        <v>1</v>
      </c>
      <c r="BK123" s="99">
        <v>0</v>
      </c>
      <c r="BL123" s="99">
        <v>0</v>
      </c>
      <c r="BM123" s="99">
        <v>0</v>
      </c>
      <c r="BN123" s="99">
        <v>0</v>
      </c>
      <c r="BO123" s="99">
        <v>0</v>
      </c>
      <c r="BP123" s="99">
        <v>1</v>
      </c>
      <c r="BQ123" s="99">
        <v>0</v>
      </c>
      <c r="BR123" s="99">
        <v>0</v>
      </c>
      <c r="BS123" s="99">
        <v>0</v>
      </c>
      <c r="BT123" s="99">
        <v>0</v>
      </c>
      <c r="BU123" s="99">
        <v>0</v>
      </c>
      <c r="BV123" s="99">
        <v>0</v>
      </c>
      <c r="BW123" s="99">
        <v>0</v>
      </c>
      <c r="BX123" s="99">
        <v>0</v>
      </c>
      <c r="BY123" s="99">
        <v>0</v>
      </c>
      <c r="BZ123" s="99">
        <v>0</v>
      </c>
      <c r="CA123" s="99">
        <v>0</v>
      </c>
      <c r="CB123" s="99">
        <v>0</v>
      </c>
      <c r="CC123" s="99">
        <v>1</v>
      </c>
      <c r="CD123" s="99">
        <v>0</v>
      </c>
      <c r="CE123" s="99">
        <v>0</v>
      </c>
      <c r="CF123" s="99">
        <v>0</v>
      </c>
      <c r="CG123" s="99">
        <v>0</v>
      </c>
      <c r="CH123" s="99">
        <v>1</v>
      </c>
      <c r="CI123" s="99">
        <v>0</v>
      </c>
      <c r="CJ123" s="99">
        <v>0</v>
      </c>
      <c r="CK123" s="99">
        <v>0</v>
      </c>
      <c r="CL123" s="99">
        <v>0</v>
      </c>
      <c r="CM123" s="99">
        <v>0</v>
      </c>
      <c r="CN123" s="99">
        <v>0</v>
      </c>
      <c r="CO123" s="99">
        <v>0</v>
      </c>
      <c r="CP123" s="99">
        <v>1</v>
      </c>
      <c r="CQ123" s="99">
        <v>0</v>
      </c>
      <c r="CR123" s="99">
        <v>0</v>
      </c>
      <c r="CS123" s="98">
        <v>0</v>
      </c>
    </row>
    <row r="124" spans="2:97" x14ac:dyDescent="0.3">
      <c r="B124" s="83" t="s">
        <v>159</v>
      </c>
      <c r="C124" s="99">
        <v>0</v>
      </c>
      <c r="D124" s="99">
        <v>0</v>
      </c>
      <c r="E124" s="99">
        <v>0</v>
      </c>
      <c r="F124" s="99">
        <v>1</v>
      </c>
      <c r="G124" s="99">
        <v>0</v>
      </c>
      <c r="H124" s="99">
        <v>1</v>
      </c>
      <c r="I124" s="99">
        <v>0</v>
      </c>
      <c r="J124" s="99">
        <v>1</v>
      </c>
      <c r="K124" s="99">
        <v>0</v>
      </c>
      <c r="L124" s="99">
        <v>0</v>
      </c>
      <c r="M124" s="99">
        <v>0</v>
      </c>
      <c r="N124" s="99">
        <v>0</v>
      </c>
      <c r="O124" s="99">
        <v>0</v>
      </c>
      <c r="P124" s="99">
        <v>1</v>
      </c>
      <c r="Q124" s="99">
        <v>0</v>
      </c>
      <c r="R124" s="99">
        <v>1</v>
      </c>
      <c r="S124" s="99">
        <v>0</v>
      </c>
      <c r="T124" s="99">
        <v>1</v>
      </c>
      <c r="U124" s="99">
        <v>0</v>
      </c>
      <c r="V124" s="99">
        <v>0</v>
      </c>
      <c r="W124" s="99">
        <v>1</v>
      </c>
      <c r="X124" s="99">
        <v>0</v>
      </c>
      <c r="Y124" s="99">
        <v>0</v>
      </c>
      <c r="Z124" s="99">
        <v>0</v>
      </c>
      <c r="AA124" s="99">
        <v>1</v>
      </c>
      <c r="AB124" s="99">
        <v>1</v>
      </c>
      <c r="AC124" s="99">
        <v>0</v>
      </c>
      <c r="AD124" s="99">
        <v>0</v>
      </c>
      <c r="AE124" s="99">
        <v>0</v>
      </c>
      <c r="AF124" s="99">
        <v>0</v>
      </c>
      <c r="AG124" s="99">
        <v>1</v>
      </c>
      <c r="AH124" s="99">
        <v>0</v>
      </c>
      <c r="AI124" s="99">
        <v>1</v>
      </c>
      <c r="AJ124" s="99">
        <v>0</v>
      </c>
      <c r="AK124" s="99">
        <v>0</v>
      </c>
      <c r="AL124" s="99">
        <v>0</v>
      </c>
      <c r="AM124" s="99">
        <v>0</v>
      </c>
      <c r="AN124" s="99">
        <v>0</v>
      </c>
      <c r="AO124" s="99">
        <v>0</v>
      </c>
      <c r="AP124" s="99">
        <v>0</v>
      </c>
      <c r="AQ124" s="99">
        <v>0</v>
      </c>
      <c r="AR124" s="99">
        <v>0</v>
      </c>
      <c r="AS124" s="99">
        <v>0</v>
      </c>
      <c r="AT124" s="99">
        <v>1</v>
      </c>
      <c r="AU124" s="99">
        <v>0</v>
      </c>
      <c r="AV124" s="99">
        <v>0</v>
      </c>
      <c r="AW124" s="99">
        <v>0</v>
      </c>
      <c r="AX124" s="99">
        <v>0</v>
      </c>
      <c r="AY124" s="99">
        <v>0</v>
      </c>
      <c r="AZ124" s="99">
        <v>0</v>
      </c>
      <c r="BA124" s="99">
        <v>0</v>
      </c>
      <c r="BB124" s="99">
        <v>0</v>
      </c>
      <c r="BC124" s="99">
        <v>0</v>
      </c>
      <c r="BD124" s="99">
        <v>0</v>
      </c>
      <c r="BE124" s="99">
        <v>0</v>
      </c>
      <c r="BF124" s="99">
        <v>1</v>
      </c>
      <c r="BG124" s="99">
        <v>0</v>
      </c>
      <c r="BH124" s="99">
        <v>0</v>
      </c>
      <c r="BI124" s="99">
        <v>1</v>
      </c>
      <c r="BJ124" s="99">
        <v>0</v>
      </c>
      <c r="BK124" s="99">
        <v>1</v>
      </c>
      <c r="BL124" s="99">
        <v>0</v>
      </c>
      <c r="BM124" s="99">
        <v>0</v>
      </c>
      <c r="BN124" s="99">
        <v>0</v>
      </c>
      <c r="BO124" s="99">
        <v>0</v>
      </c>
      <c r="BP124" s="99">
        <v>0</v>
      </c>
      <c r="BQ124" s="99">
        <v>1</v>
      </c>
      <c r="BR124" s="99">
        <v>0</v>
      </c>
      <c r="BS124" s="99">
        <v>1</v>
      </c>
      <c r="BT124" s="99">
        <v>1</v>
      </c>
      <c r="BU124" s="99">
        <v>1</v>
      </c>
      <c r="BV124" s="99">
        <v>1</v>
      </c>
      <c r="BW124" s="99">
        <v>0</v>
      </c>
      <c r="BX124" s="99">
        <v>0</v>
      </c>
      <c r="BY124" s="99">
        <v>0</v>
      </c>
      <c r="BZ124" s="99">
        <v>0</v>
      </c>
      <c r="CA124" s="99">
        <v>1</v>
      </c>
      <c r="CB124" s="99">
        <v>0</v>
      </c>
      <c r="CC124" s="99">
        <v>0</v>
      </c>
      <c r="CD124" s="99">
        <v>0</v>
      </c>
      <c r="CE124" s="99">
        <v>0</v>
      </c>
      <c r="CF124" s="99">
        <v>0</v>
      </c>
      <c r="CG124" s="99">
        <v>0</v>
      </c>
      <c r="CH124" s="99">
        <v>0</v>
      </c>
      <c r="CI124" s="99">
        <v>0</v>
      </c>
      <c r="CJ124" s="99">
        <v>0</v>
      </c>
      <c r="CK124" s="99">
        <v>0</v>
      </c>
      <c r="CL124" s="99">
        <v>1</v>
      </c>
      <c r="CM124" s="99">
        <v>1</v>
      </c>
      <c r="CN124" s="99">
        <v>0</v>
      </c>
      <c r="CO124" s="99">
        <v>0</v>
      </c>
      <c r="CP124" s="99">
        <v>0</v>
      </c>
      <c r="CQ124" s="99">
        <v>1</v>
      </c>
      <c r="CR124" s="99">
        <v>0</v>
      </c>
      <c r="CS124" s="98">
        <v>0</v>
      </c>
    </row>
    <row r="125" spans="2:97" x14ac:dyDescent="0.3">
      <c r="B125" s="83" t="s">
        <v>81</v>
      </c>
      <c r="C125" s="99">
        <v>0</v>
      </c>
      <c r="D125" s="99">
        <v>1</v>
      </c>
      <c r="E125" s="99">
        <v>0</v>
      </c>
      <c r="F125" s="99">
        <v>0</v>
      </c>
      <c r="G125" s="99">
        <v>0</v>
      </c>
      <c r="H125" s="99">
        <v>0</v>
      </c>
      <c r="I125" s="99">
        <v>0</v>
      </c>
      <c r="J125" s="99">
        <v>0</v>
      </c>
      <c r="K125" s="99">
        <v>0</v>
      </c>
      <c r="L125" s="99">
        <v>0</v>
      </c>
      <c r="M125" s="99">
        <v>1</v>
      </c>
      <c r="N125" s="99">
        <v>0</v>
      </c>
      <c r="O125" s="99">
        <v>0</v>
      </c>
      <c r="P125" s="99">
        <v>0</v>
      </c>
      <c r="Q125" s="99">
        <v>0</v>
      </c>
      <c r="R125" s="99">
        <v>0</v>
      </c>
      <c r="S125" s="99">
        <v>0</v>
      </c>
      <c r="T125" s="99">
        <v>0</v>
      </c>
      <c r="U125" s="99">
        <v>1</v>
      </c>
      <c r="V125" s="99">
        <v>0</v>
      </c>
      <c r="W125" s="99">
        <v>0</v>
      </c>
      <c r="X125" s="99">
        <v>1</v>
      </c>
      <c r="Y125" s="99">
        <v>0</v>
      </c>
      <c r="Z125" s="99">
        <v>0</v>
      </c>
      <c r="AA125" s="99">
        <v>0</v>
      </c>
      <c r="AB125" s="99">
        <v>0</v>
      </c>
      <c r="AC125" s="99">
        <v>0</v>
      </c>
      <c r="AD125" s="99">
        <v>1</v>
      </c>
      <c r="AE125" s="99">
        <v>0</v>
      </c>
      <c r="AF125" s="99">
        <v>0</v>
      </c>
      <c r="AG125" s="99">
        <v>0</v>
      </c>
      <c r="AH125" s="99">
        <v>0</v>
      </c>
      <c r="AI125" s="99">
        <v>0</v>
      </c>
      <c r="AJ125" s="99">
        <v>0</v>
      </c>
      <c r="AK125" s="99">
        <v>0</v>
      </c>
      <c r="AL125" s="99">
        <v>0</v>
      </c>
      <c r="AM125" s="99">
        <v>0</v>
      </c>
      <c r="AN125" s="99">
        <v>0</v>
      </c>
      <c r="AO125" s="99">
        <v>0</v>
      </c>
      <c r="AP125" s="99">
        <v>0</v>
      </c>
      <c r="AQ125" s="99">
        <v>1</v>
      </c>
      <c r="AR125" s="99">
        <v>1</v>
      </c>
      <c r="AS125" s="99">
        <v>1</v>
      </c>
      <c r="AT125" s="99">
        <v>0</v>
      </c>
      <c r="AU125" s="99">
        <v>0</v>
      </c>
      <c r="AV125" s="99">
        <v>0</v>
      </c>
      <c r="AW125" s="99">
        <v>0</v>
      </c>
      <c r="AX125" s="99">
        <v>0</v>
      </c>
      <c r="AY125" s="99">
        <v>0</v>
      </c>
      <c r="AZ125" s="99">
        <v>1</v>
      </c>
      <c r="BA125" s="99">
        <v>1</v>
      </c>
      <c r="BB125" s="99">
        <v>1</v>
      </c>
      <c r="BC125" s="99">
        <v>0</v>
      </c>
      <c r="BD125" s="99">
        <v>1</v>
      </c>
      <c r="BE125" s="99">
        <v>0</v>
      </c>
      <c r="BF125" s="99">
        <v>0</v>
      </c>
      <c r="BG125" s="99">
        <v>1</v>
      </c>
      <c r="BH125" s="99">
        <v>1</v>
      </c>
      <c r="BI125" s="99">
        <v>0</v>
      </c>
      <c r="BJ125" s="99">
        <v>0</v>
      </c>
      <c r="BK125" s="99">
        <v>0</v>
      </c>
      <c r="BL125" s="99">
        <v>0</v>
      </c>
      <c r="BM125" s="99">
        <v>1</v>
      </c>
      <c r="BN125" s="99">
        <v>1</v>
      </c>
      <c r="BO125" s="99">
        <v>0</v>
      </c>
      <c r="BP125" s="99">
        <v>0</v>
      </c>
      <c r="BQ125" s="99">
        <v>0</v>
      </c>
      <c r="BR125" s="99">
        <v>1</v>
      </c>
      <c r="BS125" s="99">
        <v>0</v>
      </c>
      <c r="BT125" s="99">
        <v>0</v>
      </c>
      <c r="BU125" s="99">
        <v>0</v>
      </c>
      <c r="BV125" s="99">
        <v>0</v>
      </c>
      <c r="BW125" s="99">
        <v>0</v>
      </c>
      <c r="BX125" s="99">
        <v>1</v>
      </c>
      <c r="BY125" s="99">
        <v>1</v>
      </c>
      <c r="BZ125" s="99">
        <v>0</v>
      </c>
      <c r="CA125" s="99">
        <v>0</v>
      </c>
      <c r="CB125" s="99">
        <v>0</v>
      </c>
      <c r="CC125" s="99">
        <v>0</v>
      </c>
      <c r="CD125" s="99">
        <v>1</v>
      </c>
      <c r="CE125" s="99">
        <v>1</v>
      </c>
      <c r="CF125" s="99">
        <v>0</v>
      </c>
      <c r="CG125" s="99">
        <v>1</v>
      </c>
      <c r="CH125" s="99">
        <v>0</v>
      </c>
      <c r="CI125" s="99">
        <v>1</v>
      </c>
      <c r="CJ125" s="99">
        <v>0</v>
      </c>
      <c r="CK125" s="99">
        <v>0</v>
      </c>
      <c r="CL125" s="99">
        <v>0</v>
      </c>
      <c r="CM125" s="99">
        <v>0</v>
      </c>
      <c r="CN125" s="99">
        <v>0</v>
      </c>
      <c r="CO125" s="99">
        <v>1</v>
      </c>
      <c r="CP125" s="99">
        <v>0</v>
      </c>
      <c r="CQ125" s="99">
        <v>0</v>
      </c>
      <c r="CR125" s="99">
        <v>1</v>
      </c>
      <c r="CS125" s="98">
        <v>1</v>
      </c>
    </row>
    <row r="126" spans="2:97" x14ac:dyDescent="0.3">
      <c r="B126" s="83" t="s">
        <v>82</v>
      </c>
      <c r="C126" s="99">
        <v>0</v>
      </c>
      <c r="D126" s="99">
        <v>0</v>
      </c>
      <c r="E126" s="99">
        <v>1</v>
      </c>
      <c r="F126" s="99">
        <v>0</v>
      </c>
      <c r="G126" s="99">
        <v>0</v>
      </c>
      <c r="H126" s="99">
        <v>0</v>
      </c>
      <c r="I126" s="99">
        <v>0</v>
      </c>
      <c r="J126" s="99">
        <v>0</v>
      </c>
      <c r="K126" s="99">
        <v>1</v>
      </c>
      <c r="L126" s="99">
        <v>0</v>
      </c>
      <c r="M126" s="99">
        <v>0</v>
      </c>
      <c r="N126" s="99">
        <v>1</v>
      </c>
      <c r="O126" s="99">
        <v>0</v>
      </c>
      <c r="P126" s="99">
        <v>0</v>
      </c>
      <c r="Q126" s="99">
        <v>0</v>
      </c>
      <c r="R126" s="99">
        <v>0</v>
      </c>
      <c r="S126" s="99">
        <v>1</v>
      </c>
      <c r="T126" s="99">
        <v>0</v>
      </c>
      <c r="U126" s="99">
        <v>0</v>
      </c>
      <c r="V126" s="99">
        <v>1</v>
      </c>
      <c r="W126" s="99">
        <v>0</v>
      </c>
      <c r="X126" s="99">
        <v>0</v>
      </c>
      <c r="Y126" s="99">
        <v>1</v>
      </c>
      <c r="Z126" s="99">
        <v>1</v>
      </c>
      <c r="AA126" s="99">
        <v>0</v>
      </c>
      <c r="AB126" s="99">
        <v>0</v>
      </c>
      <c r="AC126" s="99">
        <v>1</v>
      </c>
      <c r="AD126" s="99">
        <v>0</v>
      </c>
      <c r="AE126" s="99">
        <v>0</v>
      </c>
      <c r="AF126" s="99">
        <v>0</v>
      </c>
      <c r="AG126" s="99">
        <v>0</v>
      </c>
      <c r="AH126" s="99">
        <v>0</v>
      </c>
      <c r="AI126" s="99">
        <v>0</v>
      </c>
      <c r="AJ126" s="99">
        <v>0</v>
      </c>
      <c r="AK126" s="99">
        <v>1</v>
      </c>
      <c r="AL126" s="99">
        <v>1</v>
      </c>
      <c r="AM126" s="99">
        <v>0</v>
      </c>
      <c r="AN126" s="99">
        <v>1</v>
      </c>
      <c r="AO126" s="99">
        <v>1</v>
      </c>
      <c r="AP126" s="99">
        <v>1</v>
      </c>
      <c r="AQ126" s="99">
        <v>0</v>
      </c>
      <c r="AR126" s="99">
        <v>0</v>
      </c>
      <c r="AS126" s="99">
        <v>0</v>
      </c>
      <c r="AT126" s="99">
        <v>0</v>
      </c>
      <c r="AU126" s="99">
        <v>0</v>
      </c>
      <c r="AV126" s="99">
        <v>0</v>
      </c>
      <c r="AW126" s="99">
        <v>0</v>
      </c>
      <c r="AX126" s="99">
        <v>1</v>
      </c>
      <c r="AY126" s="99">
        <v>1</v>
      </c>
      <c r="AZ126" s="99">
        <v>0</v>
      </c>
      <c r="BA126" s="99">
        <v>0</v>
      </c>
      <c r="BB126" s="99">
        <v>0</v>
      </c>
      <c r="BC126" s="99">
        <v>0</v>
      </c>
      <c r="BD126" s="99">
        <v>0</v>
      </c>
      <c r="BE126" s="99">
        <v>1</v>
      </c>
      <c r="BF126" s="99">
        <v>0</v>
      </c>
      <c r="BG126" s="99">
        <v>0</v>
      </c>
      <c r="BH126" s="99">
        <v>0</v>
      </c>
      <c r="BI126" s="99">
        <v>0</v>
      </c>
      <c r="BJ126" s="99">
        <v>1</v>
      </c>
      <c r="BK126" s="99">
        <v>0</v>
      </c>
      <c r="BL126" s="99">
        <v>0</v>
      </c>
      <c r="BM126" s="99">
        <v>0</v>
      </c>
      <c r="BN126" s="99">
        <v>0</v>
      </c>
      <c r="BO126" s="99">
        <v>0</v>
      </c>
      <c r="BP126" s="99">
        <v>1</v>
      </c>
      <c r="BQ126" s="99">
        <v>0</v>
      </c>
      <c r="BR126" s="99">
        <v>0</v>
      </c>
      <c r="BS126" s="99">
        <v>0</v>
      </c>
      <c r="BT126" s="99">
        <v>0</v>
      </c>
      <c r="BU126" s="99">
        <v>0</v>
      </c>
      <c r="BV126" s="99">
        <v>0</v>
      </c>
      <c r="BW126" s="99">
        <v>0</v>
      </c>
      <c r="BX126" s="99">
        <v>0</v>
      </c>
      <c r="BY126" s="99">
        <v>0</v>
      </c>
      <c r="BZ126" s="99">
        <v>0</v>
      </c>
      <c r="CA126" s="99">
        <v>0</v>
      </c>
      <c r="CB126" s="99">
        <v>0</v>
      </c>
      <c r="CC126" s="99">
        <v>1</v>
      </c>
      <c r="CD126" s="99">
        <v>0</v>
      </c>
      <c r="CE126" s="99">
        <v>0</v>
      </c>
      <c r="CF126" s="99">
        <v>0</v>
      </c>
      <c r="CG126" s="99">
        <v>0</v>
      </c>
      <c r="CH126" s="99">
        <v>1</v>
      </c>
      <c r="CI126" s="99">
        <v>0</v>
      </c>
      <c r="CJ126" s="99">
        <v>0</v>
      </c>
      <c r="CK126" s="99">
        <v>0</v>
      </c>
      <c r="CL126" s="99">
        <v>0</v>
      </c>
      <c r="CM126" s="99">
        <v>0</v>
      </c>
      <c r="CN126" s="99">
        <v>0</v>
      </c>
      <c r="CO126" s="99">
        <v>0</v>
      </c>
      <c r="CP126" s="99">
        <v>1</v>
      </c>
      <c r="CQ126" s="99">
        <v>0</v>
      </c>
      <c r="CR126" s="99">
        <v>0</v>
      </c>
      <c r="CS126" s="98">
        <v>0</v>
      </c>
    </row>
    <row r="127" spans="2:97" x14ac:dyDescent="0.3">
      <c r="B127" s="83" t="s">
        <v>83</v>
      </c>
      <c r="C127" s="99">
        <v>0</v>
      </c>
      <c r="D127" s="99">
        <v>0</v>
      </c>
      <c r="E127" s="99">
        <v>1</v>
      </c>
      <c r="F127" s="99">
        <v>0</v>
      </c>
      <c r="G127" s="99">
        <v>0</v>
      </c>
      <c r="H127" s="99">
        <v>0</v>
      </c>
      <c r="I127" s="99">
        <v>0</v>
      </c>
      <c r="J127" s="99">
        <v>0</v>
      </c>
      <c r="K127" s="99">
        <v>1</v>
      </c>
      <c r="L127" s="99">
        <v>0</v>
      </c>
      <c r="M127" s="99">
        <v>0</v>
      </c>
      <c r="N127" s="99">
        <v>1</v>
      </c>
      <c r="O127" s="99">
        <v>0</v>
      </c>
      <c r="P127" s="99">
        <v>0</v>
      </c>
      <c r="Q127" s="99">
        <v>0</v>
      </c>
      <c r="R127" s="99">
        <v>0</v>
      </c>
      <c r="S127" s="99">
        <v>1</v>
      </c>
      <c r="T127" s="99">
        <v>0</v>
      </c>
      <c r="U127" s="99">
        <v>0</v>
      </c>
      <c r="V127" s="99">
        <v>1</v>
      </c>
      <c r="W127" s="99">
        <v>0</v>
      </c>
      <c r="X127" s="99">
        <v>0</v>
      </c>
      <c r="Y127" s="99">
        <v>1</v>
      </c>
      <c r="Z127" s="99">
        <v>1</v>
      </c>
      <c r="AA127" s="99">
        <v>0</v>
      </c>
      <c r="AB127" s="99">
        <v>0</v>
      </c>
      <c r="AC127" s="99">
        <v>1</v>
      </c>
      <c r="AD127" s="99">
        <v>0</v>
      </c>
      <c r="AE127" s="99">
        <v>0</v>
      </c>
      <c r="AF127" s="99">
        <v>0</v>
      </c>
      <c r="AG127" s="99">
        <v>0</v>
      </c>
      <c r="AH127" s="99">
        <v>0</v>
      </c>
      <c r="AI127" s="99">
        <v>0</v>
      </c>
      <c r="AJ127" s="99">
        <v>0</v>
      </c>
      <c r="AK127" s="99">
        <v>1</v>
      </c>
      <c r="AL127" s="99">
        <v>1</v>
      </c>
      <c r="AM127" s="99">
        <v>0</v>
      </c>
      <c r="AN127" s="99">
        <v>1</v>
      </c>
      <c r="AO127" s="99">
        <v>1</v>
      </c>
      <c r="AP127" s="99">
        <v>1</v>
      </c>
      <c r="AQ127" s="99">
        <v>0</v>
      </c>
      <c r="AR127" s="99">
        <v>0</v>
      </c>
      <c r="AS127" s="99">
        <v>0</v>
      </c>
      <c r="AT127" s="99">
        <v>0</v>
      </c>
      <c r="AU127" s="99">
        <v>0</v>
      </c>
      <c r="AV127" s="99">
        <v>0</v>
      </c>
      <c r="AW127" s="99">
        <v>0</v>
      </c>
      <c r="AX127" s="99">
        <v>1</v>
      </c>
      <c r="AY127" s="99">
        <v>1</v>
      </c>
      <c r="AZ127" s="99">
        <v>0</v>
      </c>
      <c r="BA127" s="99">
        <v>0</v>
      </c>
      <c r="BB127" s="99">
        <v>0</v>
      </c>
      <c r="BC127" s="99">
        <v>0</v>
      </c>
      <c r="BD127" s="99">
        <v>0</v>
      </c>
      <c r="BE127" s="99">
        <v>1</v>
      </c>
      <c r="BF127" s="99">
        <v>0</v>
      </c>
      <c r="BG127" s="99">
        <v>0</v>
      </c>
      <c r="BH127" s="99">
        <v>0</v>
      </c>
      <c r="BI127" s="99">
        <v>0</v>
      </c>
      <c r="BJ127" s="99">
        <v>1</v>
      </c>
      <c r="BK127" s="99">
        <v>0</v>
      </c>
      <c r="BL127" s="99">
        <v>0</v>
      </c>
      <c r="BM127" s="99">
        <v>0</v>
      </c>
      <c r="BN127" s="99">
        <v>0</v>
      </c>
      <c r="BO127" s="99">
        <v>0</v>
      </c>
      <c r="BP127" s="99">
        <v>1</v>
      </c>
      <c r="BQ127" s="99">
        <v>0</v>
      </c>
      <c r="BR127" s="99">
        <v>0</v>
      </c>
      <c r="BS127" s="99">
        <v>0</v>
      </c>
      <c r="BT127" s="99">
        <v>0</v>
      </c>
      <c r="BU127" s="99">
        <v>0</v>
      </c>
      <c r="BV127" s="99">
        <v>0</v>
      </c>
      <c r="BW127" s="99">
        <v>0</v>
      </c>
      <c r="BX127" s="99">
        <v>0</v>
      </c>
      <c r="BY127" s="99">
        <v>0</v>
      </c>
      <c r="BZ127" s="99">
        <v>0</v>
      </c>
      <c r="CA127" s="99">
        <v>0</v>
      </c>
      <c r="CB127" s="99">
        <v>0</v>
      </c>
      <c r="CC127" s="99">
        <v>1</v>
      </c>
      <c r="CD127" s="99">
        <v>0</v>
      </c>
      <c r="CE127" s="99">
        <v>0</v>
      </c>
      <c r="CF127" s="99">
        <v>0</v>
      </c>
      <c r="CG127" s="99">
        <v>0</v>
      </c>
      <c r="CH127" s="99">
        <v>1</v>
      </c>
      <c r="CI127" s="99">
        <v>0</v>
      </c>
      <c r="CJ127" s="99">
        <v>0</v>
      </c>
      <c r="CK127" s="99">
        <v>0</v>
      </c>
      <c r="CL127" s="99">
        <v>0</v>
      </c>
      <c r="CM127" s="99">
        <v>0</v>
      </c>
      <c r="CN127" s="99">
        <v>0</v>
      </c>
      <c r="CO127" s="99">
        <v>0</v>
      </c>
      <c r="CP127" s="99">
        <v>1</v>
      </c>
      <c r="CQ127" s="99">
        <v>0</v>
      </c>
      <c r="CR127" s="99">
        <v>0</v>
      </c>
      <c r="CS127" s="98">
        <v>0</v>
      </c>
    </row>
    <row r="128" spans="2:97" x14ac:dyDescent="0.3">
      <c r="B128" s="83" t="s">
        <v>84</v>
      </c>
      <c r="C128" s="99">
        <v>0</v>
      </c>
      <c r="D128" s="99">
        <v>0</v>
      </c>
      <c r="E128" s="99">
        <v>0</v>
      </c>
      <c r="F128" s="99">
        <v>1</v>
      </c>
      <c r="G128" s="99">
        <v>0</v>
      </c>
      <c r="H128" s="99">
        <v>1</v>
      </c>
      <c r="I128" s="99">
        <v>0</v>
      </c>
      <c r="J128" s="99">
        <v>1</v>
      </c>
      <c r="K128" s="99">
        <v>0</v>
      </c>
      <c r="L128" s="99">
        <v>0</v>
      </c>
      <c r="M128" s="99">
        <v>0</v>
      </c>
      <c r="N128" s="99">
        <v>0</v>
      </c>
      <c r="O128" s="99">
        <v>0</v>
      </c>
      <c r="P128" s="99">
        <v>1</v>
      </c>
      <c r="Q128" s="99">
        <v>0</v>
      </c>
      <c r="R128" s="99">
        <v>1</v>
      </c>
      <c r="S128" s="99">
        <v>0</v>
      </c>
      <c r="T128" s="99">
        <v>1</v>
      </c>
      <c r="U128" s="99">
        <v>0</v>
      </c>
      <c r="V128" s="99">
        <v>0</v>
      </c>
      <c r="W128" s="99">
        <v>1</v>
      </c>
      <c r="X128" s="99">
        <v>0</v>
      </c>
      <c r="Y128" s="99">
        <v>0</v>
      </c>
      <c r="Z128" s="99">
        <v>0</v>
      </c>
      <c r="AA128" s="99">
        <v>1</v>
      </c>
      <c r="AB128" s="99">
        <v>1</v>
      </c>
      <c r="AC128" s="99">
        <v>0</v>
      </c>
      <c r="AD128" s="99">
        <v>0</v>
      </c>
      <c r="AE128" s="99">
        <v>0</v>
      </c>
      <c r="AF128" s="99">
        <v>0</v>
      </c>
      <c r="AG128" s="99">
        <v>1</v>
      </c>
      <c r="AH128" s="99">
        <v>0</v>
      </c>
      <c r="AI128" s="99">
        <v>1</v>
      </c>
      <c r="AJ128" s="99">
        <v>0</v>
      </c>
      <c r="AK128" s="99">
        <v>0</v>
      </c>
      <c r="AL128" s="99">
        <v>0</v>
      </c>
      <c r="AM128" s="99">
        <v>0</v>
      </c>
      <c r="AN128" s="99">
        <v>0</v>
      </c>
      <c r="AO128" s="99">
        <v>0</v>
      </c>
      <c r="AP128" s="99">
        <v>0</v>
      </c>
      <c r="AQ128" s="99">
        <v>0</v>
      </c>
      <c r="AR128" s="99">
        <v>0</v>
      </c>
      <c r="AS128" s="99">
        <v>0</v>
      </c>
      <c r="AT128" s="99">
        <v>1</v>
      </c>
      <c r="AU128" s="99">
        <v>0</v>
      </c>
      <c r="AV128" s="99">
        <v>0</v>
      </c>
      <c r="AW128" s="99">
        <v>0</v>
      </c>
      <c r="AX128" s="99">
        <v>0</v>
      </c>
      <c r="AY128" s="99">
        <v>0</v>
      </c>
      <c r="AZ128" s="99">
        <v>0</v>
      </c>
      <c r="BA128" s="99">
        <v>0</v>
      </c>
      <c r="BB128" s="99">
        <v>0</v>
      </c>
      <c r="BC128" s="99">
        <v>0</v>
      </c>
      <c r="BD128" s="99">
        <v>0</v>
      </c>
      <c r="BE128" s="99">
        <v>0</v>
      </c>
      <c r="BF128" s="99">
        <v>1</v>
      </c>
      <c r="BG128" s="99">
        <v>0</v>
      </c>
      <c r="BH128" s="99">
        <v>0</v>
      </c>
      <c r="BI128" s="99">
        <v>1</v>
      </c>
      <c r="BJ128" s="99">
        <v>0</v>
      </c>
      <c r="BK128" s="99">
        <v>1</v>
      </c>
      <c r="BL128" s="99">
        <v>0</v>
      </c>
      <c r="BM128" s="99">
        <v>0</v>
      </c>
      <c r="BN128" s="99">
        <v>0</v>
      </c>
      <c r="BO128" s="99">
        <v>0</v>
      </c>
      <c r="BP128" s="99">
        <v>0</v>
      </c>
      <c r="BQ128" s="99">
        <v>1</v>
      </c>
      <c r="BR128" s="99">
        <v>0</v>
      </c>
      <c r="BS128" s="99">
        <v>1</v>
      </c>
      <c r="BT128" s="99">
        <v>1</v>
      </c>
      <c r="BU128" s="99">
        <v>1</v>
      </c>
      <c r="BV128" s="99">
        <v>1</v>
      </c>
      <c r="BW128" s="99">
        <v>0</v>
      </c>
      <c r="BX128" s="99">
        <v>0</v>
      </c>
      <c r="BY128" s="99">
        <v>0</v>
      </c>
      <c r="BZ128" s="99">
        <v>0</v>
      </c>
      <c r="CA128" s="99">
        <v>1</v>
      </c>
      <c r="CB128" s="99">
        <v>0</v>
      </c>
      <c r="CC128" s="99">
        <v>0</v>
      </c>
      <c r="CD128" s="99">
        <v>0</v>
      </c>
      <c r="CE128" s="99">
        <v>0</v>
      </c>
      <c r="CF128" s="99">
        <v>0</v>
      </c>
      <c r="CG128" s="99">
        <v>0</v>
      </c>
      <c r="CH128" s="99">
        <v>0</v>
      </c>
      <c r="CI128" s="99">
        <v>0</v>
      </c>
      <c r="CJ128" s="99">
        <v>0</v>
      </c>
      <c r="CK128" s="99">
        <v>0</v>
      </c>
      <c r="CL128" s="99">
        <v>1</v>
      </c>
      <c r="CM128" s="99">
        <v>1</v>
      </c>
      <c r="CN128" s="99">
        <v>0</v>
      </c>
      <c r="CO128" s="99">
        <v>0</v>
      </c>
      <c r="CP128" s="99">
        <v>0</v>
      </c>
      <c r="CQ128" s="99">
        <v>1</v>
      </c>
      <c r="CR128" s="99">
        <v>0</v>
      </c>
      <c r="CS128" s="98">
        <v>0</v>
      </c>
    </row>
    <row r="129" spans="2:97" x14ac:dyDescent="0.3">
      <c r="B129" s="83" t="s">
        <v>85</v>
      </c>
      <c r="C129" s="99">
        <v>0</v>
      </c>
      <c r="D129" s="99">
        <v>0</v>
      </c>
      <c r="E129" s="99">
        <v>0</v>
      </c>
      <c r="F129" s="99">
        <v>1</v>
      </c>
      <c r="G129" s="99">
        <v>0</v>
      </c>
      <c r="H129" s="99">
        <v>1</v>
      </c>
      <c r="I129" s="99">
        <v>0</v>
      </c>
      <c r="J129" s="99">
        <v>1</v>
      </c>
      <c r="K129" s="99">
        <v>0</v>
      </c>
      <c r="L129" s="99">
        <v>0</v>
      </c>
      <c r="M129" s="99">
        <v>0</v>
      </c>
      <c r="N129" s="99">
        <v>0</v>
      </c>
      <c r="O129" s="99">
        <v>0</v>
      </c>
      <c r="P129" s="99">
        <v>1</v>
      </c>
      <c r="Q129" s="99">
        <v>0</v>
      </c>
      <c r="R129" s="99">
        <v>1</v>
      </c>
      <c r="S129" s="99">
        <v>0</v>
      </c>
      <c r="T129" s="99">
        <v>1</v>
      </c>
      <c r="U129" s="99">
        <v>0</v>
      </c>
      <c r="V129" s="99">
        <v>0</v>
      </c>
      <c r="W129" s="99">
        <v>1</v>
      </c>
      <c r="X129" s="99">
        <v>0</v>
      </c>
      <c r="Y129" s="99">
        <v>0</v>
      </c>
      <c r="Z129" s="99">
        <v>0</v>
      </c>
      <c r="AA129" s="99">
        <v>1</v>
      </c>
      <c r="AB129" s="99">
        <v>1</v>
      </c>
      <c r="AC129" s="99">
        <v>0</v>
      </c>
      <c r="AD129" s="99">
        <v>0</v>
      </c>
      <c r="AE129" s="99">
        <v>0</v>
      </c>
      <c r="AF129" s="99">
        <v>0</v>
      </c>
      <c r="AG129" s="99">
        <v>1</v>
      </c>
      <c r="AH129" s="99">
        <v>0</v>
      </c>
      <c r="AI129" s="99">
        <v>1</v>
      </c>
      <c r="AJ129" s="99">
        <v>0</v>
      </c>
      <c r="AK129" s="99">
        <v>0</v>
      </c>
      <c r="AL129" s="99">
        <v>0</v>
      </c>
      <c r="AM129" s="99">
        <v>0</v>
      </c>
      <c r="AN129" s="99">
        <v>0</v>
      </c>
      <c r="AO129" s="99">
        <v>0</v>
      </c>
      <c r="AP129" s="99">
        <v>0</v>
      </c>
      <c r="AQ129" s="99">
        <v>0</v>
      </c>
      <c r="AR129" s="99">
        <v>0</v>
      </c>
      <c r="AS129" s="99">
        <v>0</v>
      </c>
      <c r="AT129" s="99">
        <v>1</v>
      </c>
      <c r="AU129" s="99">
        <v>0</v>
      </c>
      <c r="AV129" s="99">
        <v>0</v>
      </c>
      <c r="AW129" s="99">
        <v>0</v>
      </c>
      <c r="AX129" s="99">
        <v>0</v>
      </c>
      <c r="AY129" s="99">
        <v>0</v>
      </c>
      <c r="AZ129" s="99">
        <v>0</v>
      </c>
      <c r="BA129" s="99">
        <v>0</v>
      </c>
      <c r="BB129" s="99">
        <v>0</v>
      </c>
      <c r="BC129" s="99">
        <v>0</v>
      </c>
      <c r="BD129" s="99">
        <v>0</v>
      </c>
      <c r="BE129" s="99">
        <v>0</v>
      </c>
      <c r="BF129" s="99">
        <v>1</v>
      </c>
      <c r="BG129" s="99">
        <v>0</v>
      </c>
      <c r="BH129" s="99">
        <v>0</v>
      </c>
      <c r="BI129" s="99">
        <v>1</v>
      </c>
      <c r="BJ129" s="99">
        <v>0</v>
      </c>
      <c r="BK129" s="99">
        <v>1</v>
      </c>
      <c r="BL129" s="99">
        <v>0</v>
      </c>
      <c r="BM129" s="99">
        <v>0</v>
      </c>
      <c r="BN129" s="99">
        <v>0</v>
      </c>
      <c r="BO129" s="99">
        <v>0</v>
      </c>
      <c r="BP129" s="99">
        <v>0</v>
      </c>
      <c r="BQ129" s="99">
        <v>1</v>
      </c>
      <c r="BR129" s="99">
        <v>0</v>
      </c>
      <c r="BS129" s="99">
        <v>1</v>
      </c>
      <c r="BT129" s="99">
        <v>1</v>
      </c>
      <c r="BU129" s="99">
        <v>1</v>
      </c>
      <c r="BV129" s="99">
        <v>1</v>
      </c>
      <c r="BW129" s="99">
        <v>0</v>
      </c>
      <c r="BX129" s="99">
        <v>0</v>
      </c>
      <c r="BY129" s="99">
        <v>0</v>
      </c>
      <c r="BZ129" s="99">
        <v>0</v>
      </c>
      <c r="CA129" s="99">
        <v>1</v>
      </c>
      <c r="CB129" s="99">
        <v>0</v>
      </c>
      <c r="CC129" s="99">
        <v>0</v>
      </c>
      <c r="CD129" s="99">
        <v>0</v>
      </c>
      <c r="CE129" s="99">
        <v>0</v>
      </c>
      <c r="CF129" s="99">
        <v>0</v>
      </c>
      <c r="CG129" s="99">
        <v>0</v>
      </c>
      <c r="CH129" s="99">
        <v>0</v>
      </c>
      <c r="CI129" s="99">
        <v>0</v>
      </c>
      <c r="CJ129" s="99">
        <v>0</v>
      </c>
      <c r="CK129" s="99">
        <v>0</v>
      </c>
      <c r="CL129" s="99">
        <v>1</v>
      </c>
      <c r="CM129" s="99">
        <v>1</v>
      </c>
      <c r="CN129" s="99">
        <v>0</v>
      </c>
      <c r="CO129" s="99">
        <v>0</v>
      </c>
      <c r="CP129" s="99">
        <v>0</v>
      </c>
      <c r="CQ129" s="99">
        <v>1</v>
      </c>
      <c r="CR129" s="99">
        <v>0</v>
      </c>
      <c r="CS129" s="98">
        <v>0</v>
      </c>
    </row>
    <row r="130" spans="2:97" x14ac:dyDescent="0.3">
      <c r="B130" s="83" t="s">
        <v>86</v>
      </c>
      <c r="C130" s="99">
        <v>0</v>
      </c>
      <c r="D130" s="99">
        <v>0</v>
      </c>
      <c r="E130" s="99">
        <v>1</v>
      </c>
      <c r="F130" s="99">
        <v>0</v>
      </c>
      <c r="G130" s="99">
        <v>0</v>
      </c>
      <c r="H130" s="99">
        <v>0</v>
      </c>
      <c r="I130" s="99">
        <v>0</v>
      </c>
      <c r="J130" s="99">
        <v>0</v>
      </c>
      <c r="K130" s="99">
        <v>1</v>
      </c>
      <c r="L130" s="99">
        <v>0</v>
      </c>
      <c r="M130" s="99">
        <v>0</v>
      </c>
      <c r="N130" s="99">
        <v>1</v>
      </c>
      <c r="O130" s="99">
        <v>0</v>
      </c>
      <c r="P130" s="99">
        <v>0</v>
      </c>
      <c r="Q130" s="99">
        <v>0</v>
      </c>
      <c r="R130" s="99">
        <v>0</v>
      </c>
      <c r="S130" s="99">
        <v>1</v>
      </c>
      <c r="T130" s="99">
        <v>0</v>
      </c>
      <c r="U130" s="99">
        <v>0</v>
      </c>
      <c r="V130" s="99">
        <v>1</v>
      </c>
      <c r="W130" s="99">
        <v>0</v>
      </c>
      <c r="X130" s="99">
        <v>0</v>
      </c>
      <c r="Y130" s="99">
        <v>1</v>
      </c>
      <c r="Z130" s="99">
        <v>1</v>
      </c>
      <c r="AA130" s="99">
        <v>0</v>
      </c>
      <c r="AB130" s="99">
        <v>0</v>
      </c>
      <c r="AC130" s="99">
        <v>1</v>
      </c>
      <c r="AD130" s="99">
        <v>0</v>
      </c>
      <c r="AE130" s="99">
        <v>0</v>
      </c>
      <c r="AF130" s="99">
        <v>0</v>
      </c>
      <c r="AG130" s="99">
        <v>0</v>
      </c>
      <c r="AH130" s="99">
        <v>0</v>
      </c>
      <c r="AI130" s="99">
        <v>0</v>
      </c>
      <c r="AJ130" s="99">
        <v>0</v>
      </c>
      <c r="AK130" s="99">
        <v>1</v>
      </c>
      <c r="AL130" s="99">
        <v>1</v>
      </c>
      <c r="AM130" s="99">
        <v>0</v>
      </c>
      <c r="AN130" s="99">
        <v>1</v>
      </c>
      <c r="AO130" s="99">
        <v>1</v>
      </c>
      <c r="AP130" s="99">
        <v>1</v>
      </c>
      <c r="AQ130" s="99">
        <v>0</v>
      </c>
      <c r="AR130" s="99">
        <v>0</v>
      </c>
      <c r="AS130" s="99">
        <v>0</v>
      </c>
      <c r="AT130" s="99">
        <v>0</v>
      </c>
      <c r="AU130" s="99">
        <v>0</v>
      </c>
      <c r="AV130" s="99">
        <v>0</v>
      </c>
      <c r="AW130" s="99">
        <v>0</v>
      </c>
      <c r="AX130" s="99">
        <v>1</v>
      </c>
      <c r="AY130" s="99">
        <v>1</v>
      </c>
      <c r="AZ130" s="99">
        <v>0</v>
      </c>
      <c r="BA130" s="99">
        <v>0</v>
      </c>
      <c r="BB130" s="99">
        <v>0</v>
      </c>
      <c r="BC130" s="99">
        <v>0</v>
      </c>
      <c r="BD130" s="99">
        <v>0</v>
      </c>
      <c r="BE130" s="99">
        <v>1</v>
      </c>
      <c r="BF130" s="99">
        <v>0</v>
      </c>
      <c r="BG130" s="99">
        <v>0</v>
      </c>
      <c r="BH130" s="99">
        <v>0</v>
      </c>
      <c r="BI130" s="99">
        <v>0</v>
      </c>
      <c r="BJ130" s="99">
        <v>1</v>
      </c>
      <c r="BK130" s="99">
        <v>0</v>
      </c>
      <c r="BL130" s="99">
        <v>0</v>
      </c>
      <c r="BM130" s="99">
        <v>0</v>
      </c>
      <c r="BN130" s="99">
        <v>0</v>
      </c>
      <c r="BO130" s="99">
        <v>0</v>
      </c>
      <c r="BP130" s="99">
        <v>1</v>
      </c>
      <c r="BQ130" s="99">
        <v>0</v>
      </c>
      <c r="BR130" s="99">
        <v>0</v>
      </c>
      <c r="BS130" s="99">
        <v>0</v>
      </c>
      <c r="BT130" s="99">
        <v>0</v>
      </c>
      <c r="BU130" s="99">
        <v>0</v>
      </c>
      <c r="BV130" s="99">
        <v>0</v>
      </c>
      <c r="BW130" s="99">
        <v>0</v>
      </c>
      <c r="BX130" s="99">
        <v>0</v>
      </c>
      <c r="BY130" s="99">
        <v>0</v>
      </c>
      <c r="BZ130" s="99">
        <v>0</v>
      </c>
      <c r="CA130" s="99">
        <v>0</v>
      </c>
      <c r="CB130" s="99">
        <v>0</v>
      </c>
      <c r="CC130" s="99">
        <v>1</v>
      </c>
      <c r="CD130" s="99">
        <v>0</v>
      </c>
      <c r="CE130" s="99">
        <v>0</v>
      </c>
      <c r="CF130" s="99">
        <v>0</v>
      </c>
      <c r="CG130" s="99">
        <v>0</v>
      </c>
      <c r="CH130" s="99">
        <v>1</v>
      </c>
      <c r="CI130" s="99">
        <v>0</v>
      </c>
      <c r="CJ130" s="99">
        <v>0</v>
      </c>
      <c r="CK130" s="99">
        <v>0</v>
      </c>
      <c r="CL130" s="99">
        <v>0</v>
      </c>
      <c r="CM130" s="99">
        <v>0</v>
      </c>
      <c r="CN130" s="99">
        <v>0</v>
      </c>
      <c r="CO130" s="99">
        <v>0</v>
      </c>
      <c r="CP130" s="99">
        <v>1</v>
      </c>
      <c r="CQ130" s="99">
        <v>0</v>
      </c>
      <c r="CR130" s="99">
        <v>0</v>
      </c>
      <c r="CS130" s="98">
        <v>0</v>
      </c>
    </row>
    <row r="131" spans="2:97" x14ac:dyDescent="0.3">
      <c r="B131" s="83" t="s">
        <v>87</v>
      </c>
      <c r="C131" s="99">
        <v>0</v>
      </c>
      <c r="D131" s="99">
        <v>1</v>
      </c>
      <c r="E131" s="99">
        <v>0</v>
      </c>
      <c r="F131" s="99">
        <v>0</v>
      </c>
      <c r="G131" s="99">
        <v>0</v>
      </c>
      <c r="H131" s="99">
        <v>0</v>
      </c>
      <c r="I131" s="99">
        <v>0</v>
      </c>
      <c r="J131" s="99">
        <v>0</v>
      </c>
      <c r="K131" s="99">
        <v>0</v>
      </c>
      <c r="L131" s="99">
        <v>0</v>
      </c>
      <c r="M131" s="99">
        <v>1</v>
      </c>
      <c r="N131" s="99">
        <v>0</v>
      </c>
      <c r="O131" s="99">
        <v>0</v>
      </c>
      <c r="P131" s="99">
        <v>0</v>
      </c>
      <c r="Q131" s="99">
        <v>0</v>
      </c>
      <c r="R131" s="99">
        <v>0</v>
      </c>
      <c r="S131" s="99">
        <v>0</v>
      </c>
      <c r="T131" s="99">
        <v>0</v>
      </c>
      <c r="U131" s="99">
        <v>1</v>
      </c>
      <c r="V131" s="99">
        <v>0</v>
      </c>
      <c r="W131" s="99">
        <v>0</v>
      </c>
      <c r="X131" s="99">
        <v>1</v>
      </c>
      <c r="Y131" s="99">
        <v>0</v>
      </c>
      <c r="Z131" s="99">
        <v>0</v>
      </c>
      <c r="AA131" s="99">
        <v>0</v>
      </c>
      <c r="AB131" s="99">
        <v>0</v>
      </c>
      <c r="AC131" s="99">
        <v>0</v>
      </c>
      <c r="AD131" s="99">
        <v>1</v>
      </c>
      <c r="AE131" s="99">
        <v>0</v>
      </c>
      <c r="AF131" s="99">
        <v>0</v>
      </c>
      <c r="AG131" s="99">
        <v>0</v>
      </c>
      <c r="AH131" s="99">
        <v>0</v>
      </c>
      <c r="AI131" s="99">
        <v>0</v>
      </c>
      <c r="AJ131" s="99">
        <v>0</v>
      </c>
      <c r="AK131" s="99">
        <v>0</v>
      </c>
      <c r="AL131" s="99">
        <v>0</v>
      </c>
      <c r="AM131" s="99">
        <v>0</v>
      </c>
      <c r="AN131" s="99">
        <v>0</v>
      </c>
      <c r="AO131" s="99">
        <v>0</v>
      </c>
      <c r="AP131" s="99">
        <v>0</v>
      </c>
      <c r="AQ131" s="99">
        <v>1</v>
      </c>
      <c r="AR131" s="99">
        <v>1</v>
      </c>
      <c r="AS131" s="99">
        <v>1</v>
      </c>
      <c r="AT131" s="99">
        <v>0</v>
      </c>
      <c r="AU131" s="99">
        <v>0</v>
      </c>
      <c r="AV131" s="99">
        <v>0</v>
      </c>
      <c r="AW131" s="99">
        <v>0</v>
      </c>
      <c r="AX131" s="99">
        <v>0</v>
      </c>
      <c r="AY131" s="99">
        <v>0</v>
      </c>
      <c r="AZ131" s="99">
        <v>1</v>
      </c>
      <c r="BA131" s="99">
        <v>1</v>
      </c>
      <c r="BB131" s="99">
        <v>1</v>
      </c>
      <c r="BC131" s="99">
        <v>0</v>
      </c>
      <c r="BD131" s="99">
        <v>1</v>
      </c>
      <c r="BE131" s="99">
        <v>0</v>
      </c>
      <c r="BF131" s="99">
        <v>0</v>
      </c>
      <c r="BG131" s="99">
        <v>1</v>
      </c>
      <c r="BH131" s="99">
        <v>1</v>
      </c>
      <c r="BI131" s="99">
        <v>0</v>
      </c>
      <c r="BJ131" s="99">
        <v>0</v>
      </c>
      <c r="BK131" s="99">
        <v>0</v>
      </c>
      <c r="BL131" s="99">
        <v>0</v>
      </c>
      <c r="BM131" s="99">
        <v>1</v>
      </c>
      <c r="BN131" s="99">
        <v>1</v>
      </c>
      <c r="BO131" s="99">
        <v>0</v>
      </c>
      <c r="BP131" s="99">
        <v>0</v>
      </c>
      <c r="BQ131" s="99">
        <v>0</v>
      </c>
      <c r="BR131" s="99">
        <v>1</v>
      </c>
      <c r="BS131" s="99">
        <v>0</v>
      </c>
      <c r="BT131" s="99">
        <v>0</v>
      </c>
      <c r="BU131" s="99">
        <v>0</v>
      </c>
      <c r="BV131" s="99">
        <v>0</v>
      </c>
      <c r="BW131" s="99">
        <v>0</v>
      </c>
      <c r="BX131" s="99">
        <v>1</v>
      </c>
      <c r="BY131" s="99">
        <v>1</v>
      </c>
      <c r="BZ131" s="99">
        <v>0</v>
      </c>
      <c r="CA131" s="99">
        <v>0</v>
      </c>
      <c r="CB131" s="99">
        <v>0</v>
      </c>
      <c r="CC131" s="99">
        <v>0</v>
      </c>
      <c r="CD131" s="99">
        <v>1</v>
      </c>
      <c r="CE131" s="99">
        <v>1</v>
      </c>
      <c r="CF131" s="99">
        <v>0</v>
      </c>
      <c r="CG131" s="99">
        <v>1</v>
      </c>
      <c r="CH131" s="99">
        <v>0</v>
      </c>
      <c r="CI131" s="99">
        <v>1</v>
      </c>
      <c r="CJ131" s="99">
        <v>0</v>
      </c>
      <c r="CK131" s="99">
        <v>0</v>
      </c>
      <c r="CL131" s="99">
        <v>0</v>
      </c>
      <c r="CM131" s="99">
        <v>0</v>
      </c>
      <c r="CN131" s="99">
        <v>0</v>
      </c>
      <c r="CO131" s="99">
        <v>1</v>
      </c>
      <c r="CP131" s="99">
        <v>0</v>
      </c>
      <c r="CQ131" s="99">
        <v>0</v>
      </c>
      <c r="CR131" s="99">
        <v>1</v>
      </c>
      <c r="CS131" s="98">
        <v>1</v>
      </c>
    </row>
    <row r="132" spans="2:97" x14ac:dyDescent="0.3">
      <c r="B132" s="83" t="s">
        <v>88</v>
      </c>
      <c r="C132" s="99">
        <v>1</v>
      </c>
      <c r="D132" s="99">
        <v>0</v>
      </c>
      <c r="E132" s="99">
        <v>0</v>
      </c>
      <c r="F132" s="99">
        <v>0</v>
      </c>
      <c r="G132" s="99">
        <v>1</v>
      </c>
      <c r="H132" s="99">
        <v>0</v>
      </c>
      <c r="I132" s="99">
        <v>1</v>
      </c>
      <c r="J132" s="99">
        <v>0</v>
      </c>
      <c r="K132" s="99">
        <v>0</v>
      </c>
      <c r="L132" s="99">
        <v>1</v>
      </c>
      <c r="M132" s="99">
        <v>0</v>
      </c>
      <c r="N132" s="99">
        <v>0</v>
      </c>
      <c r="O132" s="99">
        <v>1</v>
      </c>
      <c r="P132" s="99">
        <v>0</v>
      </c>
      <c r="Q132" s="99">
        <v>1</v>
      </c>
      <c r="R132" s="99">
        <v>0</v>
      </c>
      <c r="S132" s="99">
        <v>0</v>
      </c>
      <c r="T132" s="99">
        <v>0</v>
      </c>
      <c r="U132" s="99">
        <v>0</v>
      </c>
      <c r="V132" s="99">
        <v>0</v>
      </c>
      <c r="W132" s="99">
        <v>0</v>
      </c>
      <c r="X132" s="99">
        <v>0</v>
      </c>
      <c r="Y132" s="99">
        <v>0</v>
      </c>
      <c r="Z132" s="99">
        <v>0</v>
      </c>
      <c r="AA132" s="99">
        <v>0</v>
      </c>
      <c r="AB132" s="99">
        <v>0</v>
      </c>
      <c r="AC132" s="99">
        <v>0</v>
      </c>
      <c r="AD132" s="99">
        <v>0</v>
      </c>
      <c r="AE132" s="99">
        <v>1</v>
      </c>
      <c r="AF132" s="99">
        <v>1</v>
      </c>
      <c r="AG132" s="99">
        <v>0</v>
      </c>
      <c r="AH132" s="99">
        <v>1</v>
      </c>
      <c r="AI132" s="99">
        <v>0</v>
      </c>
      <c r="AJ132" s="99">
        <v>1</v>
      </c>
      <c r="AK132" s="99">
        <v>0</v>
      </c>
      <c r="AL132" s="99">
        <v>0</v>
      </c>
      <c r="AM132" s="99">
        <v>1</v>
      </c>
      <c r="AN132" s="99">
        <v>0</v>
      </c>
      <c r="AO132" s="99">
        <v>0</v>
      </c>
      <c r="AP132" s="99">
        <v>0</v>
      </c>
      <c r="AQ132" s="99">
        <v>0</v>
      </c>
      <c r="AR132" s="99">
        <v>0</v>
      </c>
      <c r="AS132" s="99">
        <v>0</v>
      </c>
      <c r="AT132" s="99">
        <v>0</v>
      </c>
      <c r="AU132" s="99">
        <v>1</v>
      </c>
      <c r="AV132" s="99">
        <v>1</v>
      </c>
      <c r="AW132" s="99">
        <v>1</v>
      </c>
      <c r="AX132" s="99">
        <v>0</v>
      </c>
      <c r="AY132" s="99">
        <v>0</v>
      </c>
      <c r="AZ132" s="99">
        <v>0</v>
      </c>
      <c r="BA132" s="99">
        <v>0</v>
      </c>
      <c r="BB132" s="99">
        <v>0</v>
      </c>
      <c r="BC132" s="99">
        <v>1</v>
      </c>
      <c r="BD132" s="99">
        <v>0</v>
      </c>
      <c r="BE132" s="99">
        <v>0</v>
      </c>
      <c r="BF132" s="99">
        <v>0</v>
      </c>
      <c r="BG132" s="99">
        <v>0</v>
      </c>
      <c r="BH132" s="99">
        <v>0</v>
      </c>
      <c r="BI132" s="99">
        <v>0</v>
      </c>
      <c r="BJ132" s="99">
        <v>0</v>
      </c>
      <c r="BK132" s="99">
        <v>0</v>
      </c>
      <c r="BL132" s="99">
        <v>1</v>
      </c>
      <c r="BM132" s="99">
        <v>0</v>
      </c>
      <c r="BN132" s="99">
        <v>0</v>
      </c>
      <c r="BO132" s="99">
        <v>1</v>
      </c>
      <c r="BP132" s="99">
        <v>0</v>
      </c>
      <c r="BQ132" s="99">
        <v>0</v>
      </c>
      <c r="BR132" s="99">
        <v>0</v>
      </c>
      <c r="BS132" s="99">
        <v>0</v>
      </c>
      <c r="BT132" s="99">
        <v>0</v>
      </c>
      <c r="BU132" s="99">
        <v>0</v>
      </c>
      <c r="BV132" s="99">
        <v>0</v>
      </c>
      <c r="BW132" s="99">
        <v>1</v>
      </c>
      <c r="BX132" s="99">
        <v>0</v>
      </c>
      <c r="BY132" s="99">
        <v>0</v>
      </c>
      <c r="BZ132" s="99">
        <v>1</v>
      </c>
      <c r="CA132" s="99">
        <v>0</v>
      </c>
      <c r="CB132" s="99">
        <v>1</v>
      </c>
      <c r="CC132" s="99">
        <v>0</v>
      </c>
      <c r="CD132" s="99">
        <v>0</v>
      </c>
      <c r="CE132" s="99">
        <v>0</v>
      </c>
      <c r="CF132" s="99">
        <v>1</v>
      </c>
      <c r="CG132" s="99">
        <v>0</v>
      </c>
      <c r="CH132" s="99">
        <v>0</v>
      </c>
      <c r="CI132" s="99">
        <v>0</v>
      </c>
      <c r="CJ132" s="99">
        <v>1</v>
      </c>
      <c r="CK132" s="99">
        <v>1</v>
      </c>
      <c r="CL132" s="99">
        <v>0</v>
      </c>
      <c r="CM132" s="99">
        <v>0</v>
      </c>
      <c r="CN132" s="99">
        <v>1</v>
      </c>
      <c r="CO132" s="99">
        <v>0</v>
      </c>
      <c r="CP132" s="99">
        <v>0</v>
      </c>
      <c r="CQ132" s="99">
        <v>0</v>
      </c>
      <c r="CR132" s="99">
        <v>0</v>
      </c>
      <c r="CS132" s="98">
        <v>0</v>
      </c>
    </row>
    <row r="133" spans="2:97" x14ac:dyDescent="0.3">
      <c r="B133" s="83" t="s">
        <v>89</v>
      </c>
      <c r="C133" s="99">
        <v>1</v>
      </c>
      <c r="D133" s="99">
        <v>0</v>
      </c>
      <c r="E133" s="99">
        <v>0</v>
      </c>
      <c r="F133" s="99">
        <v>0</v>
      </c>
      <c r="G133" s="99">
        <v>1</v>
      </c>
      <c r="H133" s="99">
        <v>0</v>
      </c>
      <c r="I133" s="99">
        <v>1</v>
      </c>
      <c r="J133" s="99">
        <v>0</v>
      </c>
      <c r="K133" s="99">
        <v>0</v>
      </c>
      <c r="L133" s="99">
        <v>1</v>
      </c>
      <c r="M133" s="99">
        <v>0</v>
      </c>
      <c r="N133" s="99">
        <v>0</v>
      </c>
      <c r="O133" s="99">
        <v>1</v>
      </c>
      <c r="P133" s="99">
        <v>0</v>
      </c>
      <c r="Q133" s="99">
        <v>1</v>
      </c>
      <c r="R133" s="99">
        <v>0</v>
      </c>
      <c r="S133" s="99">
        <v>0</v>
      </c>
      <c r="T133" s="99">
        <v>0</v>
      </c>
      <c r="U133" s="99">
        <v>0</v>
      </c>
      <c r="V133" s="99">
        <v>0</v>
      </c>
      <c r="W133" s="99">
        <v>0</v>
      </c>
      <c r="X133" s="99">
        <v>0</v>
      </c>
      <c r="Y133" s="99">
        <v>0</v>
      </c>
      <c r="Z133" s="99">
        <v>0</v>
      </c>
      <c r="AA133" s="99">
        <v>0</v>
      </c>
      <c r="AB133" s="99">
        <v>0</v>
      </c>
      <c r="AC133" s="99">
        <v>0</v>
      </c>
      <c r="AD133" s="99">
        <v>0</v>
      </c>
      <c r="AE133" s="99">
        <v>1</v>
      </c>
      <c r="AF133" s="99">
        <v>1</v>
      </c>
      <c r="AG133" s="99">
        <v>0</v>
      </c>
      <c r="AH133" s="99">
        <v>1</v>
      </c>
      <c r="AI133" s="99">
        <v>0</v>
      </c>
      <c r="AJ133" s="99">
        <v>1</v>
      </c>
      <c r="AK133" s="99">
        <v>0</v>
      </c>
      <c r="AL133" s="99">
        <v>0</v>
      </c>
      <c r="AM133" s="99">
        <v>1</v>
      </c>
      <c r="AN133" s="99">
        <v>0</v>
      </c>
      <c r="AO133" s="99">
        <v>0</v>
      </c>
      <c r="AP133" s="99">
        <v>0</v>
      </c>
      <c r="AQ133" s="99">
        <v>0</v>
      </c>
      <c r="AR133" s="99">
        <v>0</v>
      </c>
      <c r="AS133" s="99">
        <v>0</v>
      </c>
      <c r="AT133" s="99">
        <v>0</v>
      </c>
      <c r="AU133" s="99">
        <v>1</v>
      </c>
      <c r="AV133" s="99">
        <v>1</v>
      </c>
      <c r="AW133" s="99">
        <v>1</v>
      </c>
      <c r="AX133" s="99">
        <v>0</v>
      </c>
      <c r="AY133" s="99">
        <v>0</v>
      </c>
      <c r="AZ133" s="99">
        <v>0</v>
      </c>
      <c r="BA133" s="99">
        <v>0</v>
      </c>
      <c r="BB133" s="99">
        <v>0</v>
      </c>
      <c r="BC133" s="99">
        <v>1</v>
      </c>
      <c r="BD133" s="99">
        <v>0</v>
      </c>
      <c r="BE133" s="99">
        <v>0</v>
      </c>
      <c r="BF133" s="99">
        <v>0</v>
      </c>
      <c r="BG133" s="99">
        <v>0</v>
      </c>
      <c r="BH133" s="99">
        <v>0</v>
      </c>
      <c r="BI133" s="99">
        <v>0</v>
      </c>
      <c r="BJ133" s="99">
        <v>0</v>
      </c>
      <c r="BK133" s="99">
        <v>0</v>
      </c>
      <c r="BL133" s="99">
        <v>1</v>
      </c>
      <c r="BM133" s="99">
        <v>0</v>
      </c>
      <c r="BN133" s="99">
        <v>0</v>
      </c>
      <c r="BO133" s="99">
        <v>1</v>
      </c>
      <c r="BP133" s="99">
        <v>0</v>
      </c>
      <c r="BQ133" s="99">
        <v>0</v>
      </c>
      <c r="BR133" s="99">
        <v>0</v>
      </c>
      <c r="BS133" s="99">
        <v>0</v>
      </c>
      <c r="BT133" s="99">
        <v>0</v>
      </c>
      <c r="BU133" s="99">
        <v>0</v>
      </c>
      <c r="BV133" s="99">
        <v>0</v>
      </c>
      <c r="BW133" s="99">
        <v>1</v>
      </c>
      <c r="BX133" s="99">
        <v>0</v>
      </c>
      <c r="BY133" s="99">
        <v>0</v>
      </c>
      <c r="BZ133" s="99">
        <v>1</v>
      </c>
      <c r="CA133" s="99">
        <v>0</v>
      </c>
      <c r="CB133" s="99">
        <v>1</v>
      </c>
      <c r="CC133" s="99">
        <v>0</v>
      </c>
      <c r="CD133" s="99">
        <v>0</v>
      </c>
      <c r="CE133" s="99">
        <v>0</v>
      </c>
      <c r="CF133" s="99">
        <v>1</v>
      </c>
      <c r="CG133" s="99">
        <v>0</v>
      </c>
      <c r="CH133" s="99">
        <v>0</v>
      </c>
      <c r="CI133" s="99">
        <v>0</v>
      </c>
      <c r="CJ133" s="99">
        <v>1</v>
      </c>
      <c r="CK133" s="99">
        <v>1</v>
      </c>
      <c r="CL133" s="99">
        <v>0</v>
      </c>
      <c r="CM133" s="99">
        <v>0</v>
      </c>
      <c r="CN133" s="99">
        <v>1</v>
      </c>
      <c r="CO133" s="99">
        <v>0</v>
      </c>
      <c r="CP133" s="99">
        <v>0</v>
      </c>
      <c r="CQ133" s="99">
        <v>0</v>
      </c>
      <c r="CR133" s="99">
        <v>0</v>
      </c>
      <c r="CS133" s="98">
        <v>0</v>
      </c>
    </row>
    <row r="134" spans="2:97" x14ac:dyDescent="0.3">
      <c r="B134" s="83" t="s">
        <v>90</v>
      </c>
      <c r="C134" s="99">
        <v>0</v>
      </c>
      <c r="D134" s="99">
        <v>0</v>
      </c>
      <c r="E134" s="99">
        <v>0</v>
      </c>
      <c r="F134" s="99">
        <v>1</v>
      </c>
      <c r="G134" s="99">
        <v>0</v>
      </c>
      <c r="H134" s="99">
        <v>1</v>
      </c>
      <c r="I134" s="99">
        <v>0</v>
      </c>
      <c r="J134" s="99">
        <v>1</v>
      </c>
      <c r="K134" s="99">
        <v>0</v>
      </c>
      <c r="L134" s="99">
        <v>0</v>
      </c>
      <c r="M134" s="99">
        <v>0</v>
      </c>
      <c r="N134" s="99">
        <v>0</v>
      </c>
      <c r="O134" s="99">
        <v>0</v>
      </c>
      <c r="P134" s="99">
        <v>1</v>
      </c>
      <c r="Q134" s="99">
        <v>0</v>
      </c>
      <c r="R134" s="99">
        <v>1</v>
      </c>
      <c r="S134" s="99">
        <v>0</v>
      </c>
      <c r="T134" s="99">
        <v>1</v>
      </c>
      <c r="U134" s="99">
        <v>0</v>
      </c>
      <c r="V134" s="99">
        <v>0</v>
      </c>
      <c r="W134" s="99">
        <v>1</v>
      </c>
      <c r="X134" s="99">
        <v>0</v>
      </c>
      <c r="Y134" s="99">
        <v>0</v>
      </c>
      <c r="Z134" s="99">
        <v>0</v>
      </c>
      <c r="AA134" s="99">
        <v>1</v>
      </c>
      <c r="AB134" s="99">
        <v>1</v>
      </c>
      <c r="AC134" s="99">
        <v>0</v>
      </c>
      <c r="AD134" s="99">
        <v>0</v>
      </c>
      <c r="AE134" s="99">
        <v>0</v>
      </c>
      <c r="AF134" s="99">
        <v>0</v>
      </c>
      <c r="AG134" s="99">
        <v>1</v>
      </c>
      <c r="AH134" s="99">
        <v>0</v>
      </c>
      <c r="AI134" s="99">
        <v>1</v>
      </c>
      <c r="AJ134" s="99">
        <v>0</v>
      </c>
      <c r="AK134" s="99">
        <v>0</v>
      </c>
      <c r="AL134" s="99">
        <v>0</v>
      </c>
      <c r="AM134" s="99">
        <v>0</v>
      </c>
      <c r="AN134" s="99">
        <v>0</v>
      </c>
      <c r="AO134" s="99">
        <v>0</v>
      </c>
      <c r="AP134" s="99">
        <v>0</v>
      </c>
      <c r="AQ134" s="99">
        <v>0</v>
      </c>
      <c r="AR134" s="99">
        <v>0</v>
      </c>
      <c r="AS134" s="99">
        <v>0</v>
      </c>
      <c r="AT134" s="99">
        <v>1</v>
      </c>
      <c r="AU134" s="99">
        <v>0</v>
      </c>
      <c r="AV134" s="99">
        <v>0</v>
      </c>
      <c r="AW134" s="99">
        <v>0</v>
      </c>
      <c r="AX134" s="99">
        <v>0</v>
      </c>
      <c r="AY134" s="99">
        <v>0</v>
      </c>
      <c r="AZ134" s="99">
        <v>0</v>
      </c>
      <c r="BA134" s="99">
        <v>0</v>
      </c>
      <c r="BB134" s="99">
        <v>0</v>
      </c>
      <c r="BC134" s="99">
        <v>0</v>
      </c>
      <c r="BD134" s="99">
        <v>0</v>
      </c>
      <c r="BE134" s="99">
        <v>0</v>
      </c>
      <c r="BF134" s="99">
        <v>1</v>
      </c>
      <c r="BG134" s="99">
        <v>0</v>
      </c>
      <c r="BH134" s="99">
        <v>0</v>
      </c>
      <c r="BI134" s="99">
        <v>1</v>
      </c>
      <c r="BJ134" s="99">
        <v>0</v>
      </c>
      <c r="BK134" s="99">
        <v>1</v>
      </c>
      <c r="BL134" s="99">
        <v>0</v>
      </c>
      <c r="BM134" s="99">
        <v>0</v>
      </c>
      <c r="BN134" s="99">
        <v>0</v>
      </c>
      <c r="BO134" s="99">
        <v>0</v>
      </c>
      <c r="BP134" s="99">
        <v>0</v>
      </c>
      <c r="BQ134" s="99">
        <v>1</v>
      </c>
      <c r="BR134" s="99">
        <v>0</v>
      </c>
      <c r="BS134" s="99">
        <v>1</v>
      </c>
      <c r="BT134" s="99">
        <v>1</v>
      </c>
      <c r="BU134" s="99">
        <v>1</v>
      </c>
      <c r="BV134" s="99">
        <v>1</v>
      </c>
      <c r="BW134" s="99">
        <v>0</v>
      </c>
      <c r="BX134" s="99">
        <v>0</v>
      </c>
      <c r="BY134" s="99">
        <v>0</v>
      </c>
      <c r="BZ134" s="99">
        <v>0</v>
      </c>
      <c r="CA134" s="99">
        <v>1</v>
      </c>
      <c r="CB134" s="99">
        <v>0</v>
      </c>
      <c r="CC134" s="99">
        <v>0</v>
      </c>
      <c r="CD134" s="99">
        <v>0</v>
      </c>
      <c r="CE134" s="99">
        <v>0</v>
      </c>
      <c r="CF134" s="99">
        <v>0</v>
      </c>
      <c r="CG134" s="99">
        <v>0</v>
      </c>
      <c r="CH134" s="99">
        <v>0</v>
      </c>
      <c r="CI134" s="99">
        <v>0</v>
      </c>
      <c r="CJ134" s="99">
        <v>0</v>
      </c>
      <c r="CK134" s="99">
        <v>0</v>
      </c>
      <c r="CL134" s="99">
        <v>1</v>
      </c>
      <c r="CM134" s="99">
        <v>1</v>
      </c>
      <c r="CN134" s="99">
        <v>0</v>
      </c>
      <c r="CO134" s="99">
        <v>0</v>
      </c>
      <c r="CP134" s="99">
        <v>0</v>
      </c>
      <c r="CQ134" s="99">
        <v>1</v>
      </c>
      <c r="CR134" s="99">
        <v>0</v>
      </c>
      <c r="CS134" s="98">
        <v>0</v>
      </c>
    </row>
    <row r="135" spans="2:97" x14ac:dyDescent="0.3">
      <c r="B135" s="83" t="s">
        <v>91</v>
      </c>
      <c r="C135" s="99">
        <v>1</v>
      </c>
      <c r="D135" s="99">
        <v>0</v>
      </c>
      <c r="E135" s="99">
        <v>0</v>
      </c>
      <c r="F135" s="99">
        <v>0</v>
      </c>
      <c r="G135" s="99">
        <v>1</v>
      </c>
      <c r="H135" s="99">
        <v>0</v>
      </c>
      <c r="I135" s="99">
        <v>1</v>
      </c>
      <c r="J135" s="99">
        <v>0</v>
      </c>
      <c r="K135" s="99">
        <v>0</v>
      </c>
      <c r="L135" s="99">
        <v>1</v>
      </c>
      <c r="M135" s="99">
        <v>0</v>
      </c>
      <c r="N135" s="99">
        <v>0</v>
      </c>
      <c r="O135" s="99">
        <v>1</v>
      </c>
      <c r="P135" s="99">
        <v>0</v>
      </c>
      <c r="Q135" s="99">
        <v>1</v>
      </c>
      <c r="R135" s="99">
        <v>0</v>
      </c>
      <c r="S135" s="99">
        <v>0</v>
      </c>
      <c r="T135" s="99">
        <v>0</v>
      </c>
      <c r="U135" s="99">
        <v>0</v>
      </c>
      <c r="V135" s="99">
        <v>0</v>
      </c>
      <c r="W135" s="99">
        <v>0</v>
      </c>
      <c r="X135" s="99">
        <v>0</v>
      </c>
      <c r="Y135" s="99">
        <v>0</v>
      </c>
      <c r="Z135" s="99">
        <v>0</v>
      </c>
      <c r="AA135" s="99">
        <v>0</v>
      </c>
      <c r="AB135" s="99">
        <v>0</v>
      </c>
      <c r="AC135" s="99">
        <v>0</v>
      </c>
      <c r="AD135" s="99">
        <v>0</v>
      </c>
      <c r="AE135" s="99">
        <v>1</v>
      </c>
      <c r="AF135" s="99">
        <v>1</v>
      </c>
      <c r="AG135" s="99">
        <v>0</v>
      </c>
      <c r="AH135" s="99">
        <v>1</v>
      </c>
      <c r="AI135" s="99">
        <v>0</v>
      </c>
      <c r="AJ135" s="99">
        <v>1</v>
      </c>
      <c r="AK135" s="99">
        <v>0</v>
      </c>
      <c r="AL135" s="99">
        <v>0</v>
      </c>
      <c r="AM135" s="99">
        <v>1</v>
      </c>
      <c r="AN135" s="99">
        <v>0</v>
      </c>
      <c r="AO135" s="99">
        <v>0</v>
      </c>
      <c r="AP135" s="99">
        <v>0</v>
      </c>
      <c r="AQ135" s="99">
        <v>0</v>
      </c>
      <c r="AR135" s="99">
        <v>0</v>
      </c>
      <c r="AS135" s="99">
        <v>0</v>
      </c>
      <c r="AT135" s="99">
        <v>0</v>
      </c>
      <c r="AU135" s="99">
        <v>1</v>
      </c>
      <c r="AV135" s="99">
        <v>1</v>
      </c>
      <c r="AW135" s="99">
        <v>1</v>
      </c>
      <c r="AX135" s="99">
        <v>0</v>
      </c>
      <c r="AY135" s="99">
        <v>0</v>
      </c>
      <c r="AZ135" s="99">
        <v>0</v>
      </c>
      <c r="BA135" s="99">
        <v>0</v>
      </c>
      <c r="BB135" s="99">
        <v>0</v>
      </c>
      <c r="BC135" s="99">
        <v>1</v>
      </c>
      <c r="BD135" s="99">
        <v>0</v>
      </c>
      <c r="BE135" s="99">
        <v>0</v>
      </c>
      <c r="BF135" s="99">
        <v>0</v>
      </c>
      <c r="BG135" s="99">
        <v>0</v>
      </c>
      <c r="BH135" s="99">
        <v>0</v>
      </c>
      <c r="BI135" s="99">
        <v>0</v>
      </c>
      <c r="BJ135" s="99">
        <v>0</v>
      </c>
      <c r="BK135" s="99">
        <v>0</v>
      </c>
      <c r="BL135" s="99">
        <v>1</v>
      </c>
      <c r="BM135" s="99">
        <v>0</v>
      </c>
      <c r="BN135" s="99">
        <v>0</v>
      </c>
      <c r="BO135" s="99">
        <v>1</v>
      </c>
      <c r="BP135" s="99">
        <v>0</v>
      </c>
      <c r="BQ135" s="99">
        <v>0</v>
      </c>
      <c r="BR135" s="99">
        <v>0</v>
      </c>
      <c r="BS135" s="99">
        <v>0</v>
      </c>
      <c r="BT135" s="99">
        <v>0</v>
      </c>
      <c r="BU135" s="99">
        <v>0</v>
      </c>
      <c r="BV135" s="99">
        <v>0</v>
      </c>
      <c r="BW135" s="99">
        <v>1</v>
      </c>
      <c r="BX135" s="99">
        <v>0</v>
      </c>
      <c r="BY135" s="99">
        <v>0</v>
      </c>
      <c r="BZ135" s="99">
        <v>1</v>
      </c>
      <c r="CA135" s="99">
        <v>0</v>
      </c>
      <c r="CB135" s="99">
        <v>1</v>
      </c>
      <c r="CC135" s="99">
        <v>0</v>
      </c>
      <c r="CD135" s="99">
        <v>0</v>
      </c>
      <c r="CE135" s="99">
        <v>0</v>
      </c>
      <c r="CF135" s="99">
        <v>1</v>
      </c>
      <c r="CG135" s="99">
        <v>0</v>
      </c>
      <c r="CH135" s="99">
        <v>0</v>
      </c>
      <c r="CI135" s="99">
        <v>0</v>
      </c>
      <c r="CJ135" s="99">
        <v>1</v>
      </c>
      <c r="CK135" s="99">
        <v>1</v>
      </c>
      <c r="CL135" s="99">
        <v>0</v>
      </c>
      <c r="CM135" s="99">
        <v>0</v>
      </c>
      <c r="CN135" s="99">
        <v>1</v>
      </c>
      <c r="CO135" s="99">
        <v>0</v>
      </c>
      <c r="CP135" s="99">
        <v>0</v>
      </c>
      <c r="CQ135" s="99">
        <v>0</v>
      </c>
      <c r="CR135" s="99">
        <v>0</v>
      </c>
      <c r="CS135" s="98">
        <v>0</v>
      </c>
    </row>
    <row r="136" spans="2:97" x14ac:dyDescent="0.3">
      <c r="B136" s="83" t="s">
        <v>92</v>
      </c>
      <c r="C136" s="99">
        <v>0</v>
      </c>
      <c r="D136" s="99">
        <v>0</v>
      </c>
      <c r="E136" s="99">
        <v>0</v>
      </c>
      <c r="F136" s="99">
        <v>1</v>
      </c>
      <c r="G136" s="99">
        <v>0</v>
      </c>
      <c r="H136" s="99">
        <v>1</v>
      </c>
      <c r="I136" s="99">
        <v>0</v>
      </c>
      <c r="J136" s="99">
        <v>1</v>
      </c>
      <c r="K136" s="99">
        <v>0</v>
      </c>
      <c r="L136" s="99">
        <v>0</v>
      </c>
      <c r="M136" s="99">
        <v>0</v>
      </c>
      <c r="N136" s="99">
        <v>0</v>
      </c>
      <c r="O136" s="99">
        <v>0</v>
      </c>
      <c r="P136" s="99">
        <v>1</v>
      </c>
      <c r="Q136" s="99">
        <v>0</v>
      </c>
      <c r="R136" s="99">
        <v>1</v>
      </c>
      <c r="S136" s="99">
        <v>0</v>
      </c>
      <c r="T136" s="99">
        <v>1</v>
      </c>
      <c r="U136" s="99">
        <v>0</v>
      </c>
      <c r="V136" s="99">
        <v>0</v>
      </c>
      <c r="W136" s="99">
        <v>1</v>
      </c>
      <c r="X136" s="99">
        <v>0</v>
      </c>
      <c r="Y136" s="99">
        <v>0</v>
      </c>
      <c r="Z136" s="99">
        <v>0</v>
      </c>
      <c r="AA136" s="99">
        <v>1</v>
      </c>
      <c r="AB136" s="99">
        <v>1</v>
      </c>
      <c r="AC136" s="99">
        <v>0</v>
      </c>
      <c r="AD136" s="99">
        <v>0</v>
      </c>
      <c r="AE136" s="99">
        <v>0</v>
      </c>
      <c r="AF136" s="99">
        <v>0</v>
      </c>
      <c r="AG136" s="99">
        <v>1</v>
      </c>
      <c r="AH136" s="99">
        <v>0</v>
      </c>
      <c r="AI136" s="99">
        <v>1</v>
      </c>
      <c r="AJ136" s="99">
        <v>0</v>
      </c>
      <c r="AK136" s="99">
        <v>0</v>
      </c>
      <c r="AL136" s="99">
        <v>0</v>
      </c>
      <c r="AM136" s="99">
        <v>0</v>
      </c>
      <c r="AN136" s="99">
        <v>0</v>
      </c>
      <c r="AO136" s="99">
        <v>0</v>
      </c>
      <c r="AP136" s="99">
        <v>0</v>
      </c>
      <c r="AQ136" s="99">
        <v>0</v>
      </c>
      <c r="AR136" s="99">
        <v>0</v>
      </c>
      <c r="AS136" s="99">
        <v>0</v>
      </c>
      <c r="AT136" s="99">
        <v>1</v>
      </c>
      <c r="AU136" s="99">
        <v>0</v>
      </c>
      <c r="AV136" s="99">
        <v>0</v>
      </c>
      <c r="AW136" s="99">
        <v>0</v>
      </c>
      <c r="AX136" s="99">
        <v>0</v>
      </c>
      <c r="AY136" s="99">
        <v>0</v>
      </c>
      <c r="AZ136" s="99">
        <v>0</v>
      </c>
      <c r="BA136" s="99">
        <v>0</v>
      </c>
      <c r="BB136" s="99">
        <v>0</v>
      </c>
      <c r="BC136" s="99">
        <v>0</v>
      </c>
      <c r="BD136" s="99">
        <v>0</v>
      </c>
      <c r="BE136" s="99">
        <v>0</v>
      </c>
      <c r="BF136" s="99">
        <v>1</v>
      </c>
      <c r="BG136" s="99">
        <v>0</v>
      </c>
      <c r="BH136" s="99">
        <v>0</v>
      </c>
      <c r="BI136" s="99">
        <v>1</v>
      </c>
      <c r="BJ136" s="99">
        <v>0</v>
      </c>
      <c r="BK136" s="99">
        <v>1</v>
      </c>
      <c r="BL136" s="99">
        <v>0</v>
      </c>
      <c r="BM136" s="99">
        <v>0</v>
      </c>
      <c r="BN136" s="99">
        <v>0</v>
      </c>
      <c r="BO136" s="99">
        <v>0</v>
      </c>
      <c r="BP136" s="99">
        <v>0</v>
      </c>
      <c r="BQ136" s="99">
        <v>1</v>
      </c>
      <c r="BR136" s="99">
        <v>0</v>
      </c>
      <c r="BS136" s="99">
        <v>1</v>
      </c>
      <c r="BT136" s="99">
        <v>1</v>
      </c>
      <c r="BU136" s="99">
        <v>1</v>
      </c>
      <c r="BV136" s="99">
        <v>1</v>
      </c>
      <c r="BW136" s="99">
        <v>0</v>
      </c>
      <c r="BX136" s="99">
        <v>0</v>
      </c>
      <c r="BY136" s="99">
        <v>0</v>
      </c>
      <c r="BZ136" s="99">
        <v>0</v>
      </c>
      <c r="CA136" s="99">
        <v>1</v>
      </c>
      <c r="CB136" s="99">
        <v>0</v>
      </c>
      <c r="CC136" s="99">
        <v>0</v>
      </c>
      <c r="CD136" s="99">
        <v>0</v>
      </c>
      <c r="CE136" s="99">
        <v>0</v>
      </c>
      <c r="CF136" s="99">
        <v>0</v>
      </c>
      <c r="CG136" s="99">
        <v>0</v>
      </c>
      <c r="CH136" s="99">
        <v>0</v>
      </c>
      <c r="CI136" s="99">
        <v>0</v>
      </c>
      <c r="CJ136" s="99">
        <v>0</v>
      </c>
      <c r="CK136" s="99">
        <v>0</v>
      </c>
      <c r="CL136" s="99">
        <v>1</v>
      </c>
      <c r="CM136" s="99">
        <v>1</v>
      </c>
      <c r="CN136" s="99">
        <v>0</v>
      </c>
      <c r="CO136" s="99">
        <v>0</v>
      </c>
      <c r="CP136" s="99">
        <v>0</v>
      </c>
      <c r="CQ136" s="99">
        <v>1</v>
      </c>
      <c r="CR136" s="99">
        <v>0</v>
      </c>
      <c r="CS136" s="98">
        <v>0</v>
      </c>
    </row>
    <row r="137" spans="2:97" x14ac:dyDescent="0.3">
      <c r="B137" s="83" t="s">
        <v>93</v>
      </c>
      <c r="C137" s="99">
        <v>1</v>
      </c>
      <c r="D137" s="99">
        <v>0</v>
      </c>
      <c r="E137" s="99">
        <v>0</v>
      </c>
      <c r="F137" s="99">
        <v>0</v>
      </c>
      <c r="G137" s="99">
        <v>1</v>
      </c>
      <c r="H137" s="99">
        <v>0</v>
      </c>
      <c r="I137" s="99">
        <v>1</v>
      </c>
      <c r="J137" s="99">
        <v>0</v>
      </c>
      <c r="K137" s="99">
        <v>0</v>
      </c>
      <c r="L137" s="99">
        <v>1</v>
      </c>
      <c r="M137" s="99">
        <v>0</v>
      </c>
      <c r="N137" s="99">
        <v>0</v>
      </c>
      <c r="O137" s="99">
        <v>1</v>
      </c>
      <c r="P137" s="99">
        <v>0</v>
      </c>
      <c r="Q137" s="99">
        <v>1</v>
      </c>
      <c r="R137" s="99">
        <v>0</v>
      </c>
      <c r="S137" s="99">
        <v>0</v>
      </c>
      <c r="T137" s="99">
        <v>0</v>
      </c>
      <c r="U137" s="99">
        <v>0</v>
      </c>
      <c r="V137" s="99">
        <v>0</v>
      </c>
      <c r="W137" s="99">
        <v>0</v>
      </c>
      <c r="X137" s="99">
        <v>0</v>
      </c>
      <c r="Y137" s="99">
        <v>0</v>
      </c>
      <c r="Z137" s="99">
        <v>0</v>
      </c>
      <c r="AA137" s="99">
        <v>0</v>
      </c>
      <c r="AB137" s="99">
        <v>0</v>
      </c>
      <c r="AC137" s="99">
        <v>0</v>
      </c>
      <c r="AD137" s="99">
        <v>0</v>
      </c>
      <c r="AE137" s="99">
        <v>1</v>
      </c>
      <c r="AF137" s="99">
        <v>1</v>
      </c>
      <c r="AG137" s="99">
        <v>0</v>
      </c>
      <c r="AH137" s="99">
        <v>1</v>
      </c>
      <c r="AI137" s="99">
        <v>0</v>
      </c>
      <c r="AJ137" s="99">
        <v>1</v>
      </c>
      <c r="AK137" s="99">
        <v>0</v>
      </c>
      <c r="AL137" s="99">
        <v>0</v>
      </c>
      <c r="AM137" s="99">
        <v>1</v>
      </c>
      <c r="AN137" s="99">
        <v>0</v>
      </c>
      <c r="AO137" s="99">
        <v>0</v>
      </c>
      <c r="AP137" s="99">
        <v>0</v>
      </c>
      <c r="AQ137" s="99">
        <v>0</v>
      </c>
      <c r="AR137" s="99">
        <v>0</v>
      </c>
      <c r="AS137" s="99">
        <v>0</v>
      </c>
      <c r="AT137" s="99">
        <v>0</v>
      </c>
      <c r="AU137" s="99">
        <v>1</v>
      </c>
      <c r="AV137" s="99">
        <v>1</v>
      </c>
      <c r="AW137" s="99">
        <v>1</v>
      </c>
      <c r="AX137" s="99">
        <v>0</v>
      </c>
      <c r="AY137" s="99">
        <v>0</v>
      </c>
      <c r="AZ137" s="99">
        <v>0</v>
      </c>
      <c r="BA137" s="99">
        <v>0</v>
      </c>
      <c r="BB137" s="99">
        <v>0</v>
      </c>
      <c r="BC137" s="99">
        <v>1</v>
      </c>
      <c r="BD137" s="99">
        <v>0</v>
      </c>
      <c r="BE137" s="99">
        <v>0</v>
      </c>
      <c r="BF137" s="99">
        <v>0</v>
      </c>
      <c r="BG137" s="99">
        <v>0</v>
      </c>
      <c r="BH137" s="99">
        <v>0</v>
      </c>
      <c r="BI137" s="99">
        <v>0</v>
      </c>
      <c r="BJ137" s="99">
        <v>0</v>
      </c>
      <c r="BK137" s="99">
        <v>0</v>
      </c>
      <c r="BL137" s="99">
        <v>1</v>
      </c>
      <c r="BM137" s="99">
        <v>0</v>
      </c>
      <c r="BN137" s="99">
        <v>0</v>
      </c>
      <c r="BO137" s="99">
        <v>1</v>
      </c>
      <c r="BP137" s="99">
        <v>0</v>
      </c>
      <c r="BQ137" s="99">
        <v>0</v>
      </c>
      <c r="BR137" s="99">
        <v>0</v>
      </c>
      <c r="BS137" s="99">
        <v>0</v>
      </c>
      <c r="BT137" s="99">
        <v>0</v>
      </c>
      <c r="BU137" s="99">
        <v>0</v>
      </c>
      <c r="BV137" s="99">
        <v>0</v>
      </c>
      <c r="BW137" s="99">
        <v>1</v>
      </c>
      <c r="BX137" s="99">
        <v>0</v>
      </c>
      <c r="BY137" s="99">
        <v>0</v>
      </c>
      <c r="BZ137" s="99">
        <v>1</v>
      </c>
      <c r="CA137" s="99">
        <v>0</v>
      </c>
      <c r="CB137" s="99">
        <v>1</v>
      </c>
      <c r="CC137" s="99">
        <v>0</v>
      </c>
      <c r="CD137" s="99">
        <v>0</v>
      </c>
      <c r="CE137" s="99">
        <v>0</v>
      </c>
      <c r="CF137" s="99">
        <v>1</v>
      </c>
      <c r="CG137" s="99">
        <v>0</v>
      </c>
      <c r="CH137" s="99">
        <v>0</v>
      </c>
      <c r="CI137" s="99">
        <v>0</v>
      </c>
      <c r="CJ137" s="99">
        <v>1</v>
      </c>
      <c r="CK137" s="99">
        <v>1</v>
      </c>
      <c r="CL137" s="99">
        <v>0</v>
      </c>
      <c r="CM137" s="99">
        <v>0</v>
      </c>
      <c r="CN137" s="99">
        <v>1</v>
      </c>
      <c r="CO137" s="99">
        <v>0</v>
      </c>
      <c r="CP137" s="99">
        <v>0</v>
      </c>
      <c r="CQ137" s="99">
        <v>0</v>
      </c>
      <c r="CR137" s="99">
        <v>0</v>
      </c>
      <c r="CS137" s="98">
        <v>0</v>
      </c>
    </row>
    <row r="138" spans="2:97" x14ac:dyDescent="0.3">
      <c r="B138" s="83" t="s">
        <v>94</v>
      </c>
      <c r="C138" s="99">
        <v>0</v>
      </c>
      <c r="D138" s="99">
        <v>0</v>
      </c>
      <c r="E138" s="99">
        <v>1</v>
      </c>
      <c r="F138" s="99">
        <v>0</v>
      </c>
      <c r="G138" s="99">
        <v>0</v>
      </c>
      <c r="H138" s="99">
        <v>0</v>
      </c>
      <c r="I138" s="99">
        <v>0</v>
      </c>
      <c r="J138" s="99">
        <v>0</v>
      </c>
      <c r="K138" s="99">
        <v>1</v>
      </c>
      <c r="L138" s="99">
        <v>0</v>
      </c>
      <c r="M138" s="99">
        <v>0</v>
      </c>
      <c r="N138" s="99">
        <v>1</v>
      </c>
      <c r="O138" s="99">
        <v>0</v>
      </c>
      <c r="P138" s="99">
        <v>0</v>
      </c>
      <c r="Q138" s="99">
        <v>0</v>
      </c>
      <c r="R138" s="99">
        <v>0</v>
      </c>
      <c r="S138" s="99">
        <v>1</v>
      </c>
      <c r="T138" s="99">
        <v>0</v>
      </c>
      <c r="U138" s="99">
        <v>0</v>
      </c>
      <c r="V138" s="99">
        <v>1</v>
      </c>
      <c r="W138" s="99">
        <v>0</v>
      </c>
      <c r="X138" s="99">
        <v>0</v>
      </c>
      <c r="Y138" s="99">
        <v>1</v>
      </c>
      <c r="Z138" s="99">
        <v>1</v>
      </c>
      <c r="AA138" s="99">
        <v>0</v>
      </c>
      <c r="AB138" s="99">
        <v>0</v>
      </c>
      <c r="AC138" s="99">
        <v>1</v>
      </c>
      <c r="AD138" s="99">
        <v>0</v>
      </c>
      <c r="AE138" s="99">
        <v>0</v>
      </c>
      <c r="AF138" s="99">
        <v>0</v>
      </c>
      <c r="AG138" s="99">
        <v>0</v>
      </c>
      <c r="AH138" s="99">
        <v>0</v>
      </c>
      <c r="AI138" s="99">
        <v>0</v>
      </c>
      <c r="AJ138" s="99">
        <v>0</v>
      </c>
      <c r="AK138" s="99">
        <v>1</v>
      </c>
      <c r="AL138" s="99">
        <v>1</v>
      </c>
      <c r="AM138" s="99">
        <v>0</v>
      </c>
      <c r="AN138" s="99">
        <v>1</v>
      </c>
      <c r="AO138" s="99">
        <v>1</v>
      </c>
      <c r="AP138" s="99">
        <v>1</v>
      </c>
      <c r="AQ138" s="99">
        <v>0</v>
      </c>
      <c r="AR138" s="99">
        <v>0</v>
      </c>
      <c r="AS138" s="99">
        <v>0</v>
      </c>
      <c r="AT138" s="99">
        <v>0</v>
      </c>
      <c r="AU138" s="99">
        <v>0</v>
      </c>
      <c r="AV138" s="99">
        <v>0</v>
      </c>
      <c r="AW138" s="99">
        <v>0</v>
      </c>
      <c r="AX138" s="99">
        <v>1</v>
      </c>
      <c r="AY138" s="99">
        <v>1</v>
      </c>
      <c r="AZ138" s="99">
        <v>0</v>
      </c>
      <c r="BA138" s="99">
        <v>0</v>
      </c>
      <c r="BB138" s="99">
        <v>0</v>
      </c>
      <c r="BC138" s="99">
        <v>0</v>
      </c>
      <c r="BD138" s="99">
        <v>0</v>
      </c>
      <c r="BE138" s="99">
        <v>1</v>
      </c>
      <c r="BF138" s="99">
        <v>0</v>
      </c>
      <c r="BG138" s="99">
        <v>0</v>
      </c>
      <c r="BH138" s="99">
        <v>0</v>
      </c>
      <c r="BI138" s="99">
        <v>0</v>
      </c>
      <c r="BJ138" s="99">
        <v>1</v>
      </c>
      <c r="BK138" s="99">
        <v>0</v>
      </c>
      <c r="BL138" s="99">
        <v>0</v>
      </c>
      <c r="BM138" s="99">
        <v>0</v>
      </c>
      <c r="BN138" s="99">
        <v>0</v>
      </c>
      <c r="BO138" s="99">
        <v>0</v>
      </c>
      <c r="BP138" s="99">
        <v>1</v>
      </c>
      <c r="BQ138" s="99">
        <v>0</v>
      </c>
      <c r="BR138" s="99">
        <v>0</v>
      </c>
      <c r="BS138" s="99">
        <v>0</v>
      </c>
      <c r="BT138" s="99">
        <v>0</v>
      </c>
      <c r="BU138" s="99">
        <v>0</v>
      </c>
      <c r="BV138" s="99">
        <v>0</v>
      </c>
      <c r="BW138" s="99">
        <v>0</v>
      </c>
      <c r="BX138" s="99">
        <v>0</v>
      </c>
      <c r="BY138" s="99">
        <v>0</v>
      </c>
      <c r="BZ138" s="99">
        <v>0</v>
      </c>
      <c r="CA138" s="99">
        <v>0</v>
      </c>
      <c r="CB138" s="99">
        <v>0</v>
      </c>
      <c r="CC138" s="99">
        <v>1</v>
      </c>
      <c r="CD138" s="99">
        <v>0</v>
      </c>
      <c r="CE138" s="99">
        <v>0</v>
      </c>
      <c r="CF138" s="99">
        <v>0</v>
      </c>
      <c r="CG138" s="99">
        <v>0</v>
      </c>
      <c r="CH138" s="99">
        <v>1</v>
      </c>
      <c r="CI138" s="99">
        <v>0</v>
      </c>
      <c r="CJ138" s="99">
        <v>0</v>
      </c>
      <c r="CK138" s="99">
        <v>0</v>
      </c>
      <c r="CL138" s="99">
        <v>0</v>
      </c>
      <c r="CM138" s="99">
        <v>0</v>
      </c>
      <c r="CN138" s="99">
        <v>0</v>
      </c>
      <c r="CO138" s="99">
        <v>0</v>
      </c>
      <c r="CP138" s="99">
        <v>1</v>
      </c>
      <c r="CQ138" s="99">
        <v>0</v>
      </c>
      <c r="CR138" s="99">
        <v>0</v>
      </c>
      <c r="CS138" s="98">
        <v>0</v>
      </c>
    </row>
    <row r="139" spans="2:97" x14ac:dyDescent="0.3">
      <c r="B139" s="83" t="s">
        <v>95</v>
      </c>
      <c r="C139" s="99">
        <v>0</v>
      </c>
      <c r="D139" s="99">
        <v>0</v>
      </c>
      <c r="E139" s="99">
        <v>1</v>
      </c>
      <c r="F139" s="99">
        <v>0</v>
      </c>
      <c r="G139" s="99">
        <v>0</v>
      </c>
      <c r="H139" s="99">
        <v>0</v>
      </c>
      <c r="I139" s="99">
        <v>0</v>
      </c>
      <c r="J139" s="99">
        <v>0</v>
      </c>
      <c r="K139" s="99">
        <v>1</v>
      </c>
      <c r="L139" s="99">
        <v>0</v>
      </c>
      <c r="M139" s="99">
        <v>0</v>
      </c>
      <c r="N139" s="99">
        <v>1</v>
      </c>
      <c r="O139" s="99">
        <v>0</v>
      </c>
      <c r="P139" s="99">
        <v>0</v>
      </c>
      <c r="Q139" s="99">
        <v>0</v>
      </c>
      <c r="R139" s="99">
        <v>0</v>
      </c>
      <c r="S139" s="99">
        <v>1</v>
      </c>
      <c r="T139" s="99">
        <v>0</v>
      </c>
      <c r="U139" s="99">
        <v>0</v>
      </c>
      <c r="V139" s="99">
        <v>1</v>
      </c>
      <c r="W139" s="99">
        <v>0</v>
      </c>
      <c r="X139" s="99">
        <v>0</v>
      </c>
      <c r="Y139" s="99">
        <v>1</v>
      </c>
      <c r="Z139" s="99">
        <v>1</v>
      </c>
      <c r="AA139" s="99">
        <v>0</v>
      </c>
      <c r="AB139" s="99">
        <v>0</v>
      </c>
      <c r="AC139" s="99">
        <v>1</v>
      </c>
      <c r="AD139" s="99">
        <v>0</v>
      </c>
      <c r="AE139" s="99">
        <v>0</v>
      </c>
      <c r="AF139" s="99">
        <v>0</v>
      </c>
      <c r="AG139" s="99">
        <v>0</v>
      </c>
      <c r="AH139" s="99">
        <v>0</v>
      </c>
      <c r="AI139" s="99">
        <v>0</v>
      </c>
      <c r="AJ139" s="99">
        <v>0</v>
      </c>
      <c r="AK139" s="99">
        <v>1</v>
      </c>
      <c r="AL139" s="99">
        <v>1</v>
      </c>
      <c r="AM139" s="99">
        <v>0</v>
      </c>
      <c r="AN139" s="99">
        <v>1</v>
      </c>
      <c r="AO139" s="99">
        <v>1</v>
      </c>
      <c r="AP139" s="99">
        <v>1</v>
      </c>
      <c r="AQ139" s="99">
        <v>0</v>
      </c>
      <c r="AR139" s="99">
        <v>0</v>
      </c>
      <c r="AS139" s="99">
        <v>0</v>
      </c>
      <c r="AT139" s="99">
        <v>0</v>
      </c>
      <c r="AU139" s="99">
        <v>0</v>
      </c>
      <c r="AV139" s="99">
        <v>0</v>
      </c>
      <c r="AW139" s="99">
        <v>0</v>
      </c>
      <c r="AX139" s="99">
        <v>1</v>
      </c>
      <c r="AY139" s="99">
        <v>1</v>
      </c>
      <c r="AZ139" s="99">
        <v>0</v>
      </c>
      <c r="BA139" s="99">
        <v>0</v>
      </c>
      <c r="BB139" s="99">
        <v>0</v>
      </c>
      <c r="BC139" s="99">
        <v>0</v>
      </c>
      <c r="BD139" s="99">
        <v>0</v>
      </c>
      <c r="BE139" s="99">
        <v>1</v>
      </c>
      <c r="BF139" s="99">
        <v>0</v>
      </c>
      <c r="BG139" s="99">
        <v>0</v>
      </c>
      <c r="BH139" s="99">
        <v>0</v>
      </c>
      <c r="BI139" s="99">
        <v>0</v>
      </c>
      <c r="BJ139" s="99">
        <v>1</v>
      </c>
      <c r="BK139" s="99">
        <v>0</v>
      </c>
      <c r="BL139" s="99">
        <v>0</v>
      </c>
      <c r="BM139" s="99">
        <v>0</v>
      </c>
      <c r="BN139" s="99">
        <v>0</v>
      </c>
      <c r="BO139" s="99">
        <v>0</v>
      </c>
      <c r="BP139" s="99">
        <v>1</v>
      </c>
      <c r="BQ139" s="99">
        <v>0</v>
      </c>
      <c r="BR139" s="99">
        <v>0</v>
      </c>
      <c r="BS139" s="99">
        <v>0</v>
      </c>
      <c r="BT139" s="99">
        <v>0</v>
      </c>
      <c r="BU139" s="99">
        <v>0</v>
      </c>
      <c r="BV139" s="99">
        <v>0</v>
      </c>
      <c r="BW139" s="99">
        <v>0</v>
      </c>
      <c r="BX139" s="99">
        <v>0</v>
      </c>
      <c r="BY139" s="99">
        <v>0</v>
      </c>
      <c r="BZ139" s="99">
        <v>0</v>
      </c>
      <c r="CA139" s="99">
        <v>0</v>
      </c>
      <c r="CB139" s="99">
        <v>0</v>
      </c>
      <c r="CC139" s="99">
        <v>1</v>
      </c>
      <c r="CD139" s="99">
        <v>0</v>
      </c>
      <c r="CE139" s="99">
        <v>0</v>
      </c>
      <c r="CF139" s="99">
        <v>0</v>
      </c>
      <c r="CG139" s="99">
        <v>0</v>
      </c>
      <c r="CH139" s="99">
        <v>1</v>
      </c>
      <c r="CI139" s="99">
        <v>0</v>
      </c>
      <c r="CJ139" s="99">
        <v>0</v>
      </c>
      <c r="CK139" s="99">
        <v>0</v>
      </c>
      <c r="CL139" s="99">
        <v>0</v>
      </c>
      <c r="CM139" s="99">
        <v>0</v>
      </c>
      <c r="CN139" s="99">
        <v>0</v>
      </c>
      <c r="CO139" s="99">
        <v>0</v>
      </c>
      <c r="CP139" s="99">
        <v>1</v>
      </c>
      <c r="CQ139" s="99">
        <v>0</v>
      </c>
      <c r="CR139" s="99">
        <v>0</v>
      </c>
      <c r="CS139" s="98">
        <v>0</v>
      </c>
    </row>
    <row r="140" spans="2:97" x14ac:dyDescent="0.3">
      <c r="B140" s="83" t="s">
        <v>96</v>
      </c>
      <c r="C140" s="99">
        <v>1</v>
      </c>
      <c r="D140" s="99">
        <v>0</v>
      </c>
      <c r="E140" s="99">
        <v>0</v>
      </c>
      <c r="F140" s="99">
        <v>0</v>
      </c>
      <c r="G140" s="99">
        <v>1</v>
      </c>
      <c r="H140" s="99">
        <v>0</v>
      </c>
      <c r="I140" s="99">
        <v>1</v>
      </c>
      <c r="J140" s="99">
        <v>0</v>
      </c>
      <c r="K140" s="99">
        <v>0</v>
      </c>
      <c r="L140" s="99">
        <v>1</v>
      </c>
      <c r="M140" s="99">
        <v>0</v>
      </c>
      <c r="N140" s="99">
        <v>0</v>
      </c>
      <c r="O140" s="99">
        <v>1</v>
      </c>
      <c r="P140" s="99">
        <v>0</v>
      </c>
      <c r="Q140" s="99">
        <v>1</v>
      </c>
      <c r="R140" s="99">
        <v>0</v>
      </c>
      <c r="S140" s="99">
        <v>0</v>
      </c>
      <c r="T140" s="99">
        <v>0</v>
      </c>
      <c r="U140" s="99">
        <v>0</v>
      </c>
      <c r="V140" s="99">
        <v>0</v>
      </c>
      <c r="W140" s="99">
        <v>0</v>
      </c>
      <c r="X140" s="99">
        <v>0</v>
      </c>
      <c r="Y140" s="99">
        <v>0</v>
      </c>
      <c r="Z140" s="99">
        <v>0</v>
      </c>
      <c r="AA140" s="99">
        <v>0</v>
      </c>
      <c r="AB140" s="99">
        <v>0</v>
      </c>
      <c r="AC140" s="99">
        <v>0</v>
      </c>
      <c r="AD140" s="99">
        <v>0</v>
      </c>
      <c r="AE140" s="99">
        <v>1</v>
      </c>
      <c r="AF140" s="99">
        <v>1</v>
      </c>
      <c r="AG140" s="99">
        <v>0</v>
      </c>
      <c r="AH140" s="99">
        <v>1</v>
      </c>
      <c r="AI140" s="99">
        <v>0</v>
      </c>
      <c r="AJ140" s="99">
        <v>1</v>
      </c>
      <c r="AK140" s="99">
        <v>0</v>
      </c>
      <c r="AL140" s="99">
        <v>0</v>
      </c>
      <c r="AM140" s="99">
        <v>1</v>
      </c>
      <c r="AN140" s="99">
        <v>0</v>
      </c>
      <c r="AO140" s="99">
        <v>0</v>
      </c>
      <c r="AP140" s="99">
        <v>0</v>
      </c>
      <c r="AQ140" s="99">
        <v>0</v>
      </c>
      <c r="AR140" s="99">
        <v>0</v>
      </c>
      <c r="AS140" s="99">
        <v>0</v>
      </c>
      <c r="AT140" s="99">
        <v>0</v>
      </c>
      <c r="AU140" s="99">
        <v>1</v>
      </c>
      <c r="AV140" s="99">
        <v>1</v>
      </c>
      <c r="AW140" s="99">
        <v>1</v>
      </c>
      <c r="AX140" s="99">
        <v>0</v>
      </c>
      <c r="AY140" s="99">
        <v>0</v>
      </c>
      <c r="AZ140" s="99">
        <v>0</v>
      </c>
      <c r="BA140" s="99">
        <v>0</v>
      </c>
      <c r="BB140" s="99">
        <v>0</v>
      </c>
      <c r="BC140" s="99">
        <v>1</v>
      </c>
      <c r="BD140" s="99">
        <v>0</v>
      </c>
      <c r="BE140" s="99">
        <v>0</v>
      </c>
      <c r="BF140" s="99">
        <v>0</v>
      </c>
      <c r="BG140" s="99">
        <v>0</v>
      </c>
      <c r="BH140" s="99">
        <v>0</v>
      </c>
      <c r="BI140" s="99">
        <v>0</v>
      </c>
      <c r="BJ140" s="99">
        <v>0</v>
      </c>
      <c r="BK140" s="99">
        <v>0</v>
      </c>
      <c r="BL140" s="99">
        <v>1</v>
      </c>
      <c r="BM140" s="99">
        <v>0</v>
      </c>
      <c r="BN140" s="99">
        <v>0</v>
      </c>
      <c r="BO140" s="99">
        <v>1</v>
      </c>
      <c r="BP140" s="99">
        <v>0</v>
      </c>
      <c r="BQ140" s="99">
        <v>0</v>
      </c>
      <c r="BR140" s="99">
        <v>0</v>
      </c>
      <c r="BS140" s="99">
        <v>0</v>
      </c>
      <c r="BT140" s="99">
        <v>0</v>
      </c>
      <c r="BU140" s="99">
        <v>0</v>
      </c>
      <c r="BV140" s="99">
        <v>0</v>
      </c>
      <c r="BW140" s="99">
        <v>1</v>
      </c>
      <c r="BX140" s="99">
        <v>0</v>
      </c>
      <c r="BY140" s="99">
        <v>0</v>
      </c>
      <c r="BZ140" s="99">
        <v>1</v>
      </c>
      <c r="CA140" s="99">
        <v>0</v>
      </c>
      <c r="CB140" s="99">
        <v>1</v>
      </c>
      <c r="CC140" s="99">
        <v>0</v>
      </c>
      <c r="CD140" s="99">
        <v>0</v>
      </c>
      <c r="CE140" s="99">
        <v>0</v>
      </c>
      <c r="CF140" s="99">
        <v>1</v>
      </c>
      <c r="CG140" s="99">
        <v>0</v>
      </c>
      <c r="CH140" s="99">
        <v>0</v>
      </c>
      <c r="CI140" s="99">
        <v>0</v>
      </c>
      <c r="CJ140" s="99">
        <v>1</v>
      </c>
      <c r="CK140" s="99">
        <v>1</v>
      </c>
      <c r="CL140" s="99">
        <v>0</v>
      </c>
      <c r="CM140" s="99">
        <v>0</v>
      </c>
      <c r="CN140" s="99">
        <v>1</v>
      </c>
      <c r="CO140" s="99">
        <v>0</v>
      </c>
      <c r="CP140" s="99">
        <v>0</v>
      </c>
      <c r="CQ140" s="99">
        <v>0</v>
      </c>
      <c r="CR140" s="99">
        <v>0</v>
      </c>
      <c r="CS140" s="98">
        <v>0</v>
      </c>
    </row>
    <row r="141" spans="2:97" x14ac:dyDescent="0.3">
      <c r="B141" s="83" t="s">
        <v>97</v>
      </c>
      <c r="C141" s="99">
        <v>0</v>
      </c>
      <c r="D141" s="99">
        <v>0</v>
      </c>
      <c r="E141" s="99">
        <v>1</v>
      </c>
      <c r="F141" s="99">
        <v>0</v>
      </c>
      <c r="G141" s="99">
        <v>0</v>
      </c>
      <c r="H141" s="99">
        <v>0</v>
      </c>
      <c r="I141" s="99">
        <v>0</v>
      </c>
      <c r="J141" s="99">
        <v>0</v>
      </c>
      <c r="K141" s="99">
        <v>1</v>
      </c>
      <c r="L141" s="99">
        <v>0</v>
      </c>
      <c r="M141" s="99">
        <v>0</v>
      </c>
      <c r="N141" s="99">
        <v>1</v>
      </c>
      <c r="O141" s="99">
        <v>0</v>
      </c>
      <c r="P141" s="99">
        <v>0</v>
      </c>
      <c r="Q141" s="99">
        <v>0</v>
      </c>
      <c r="R141" s="99">
        <v>0</v>
      </c>
      <c r="S141" s="99">
        <v>1</v>
      </c>
      <c r="T141" s="99">
        <v>0</v>
      </c>
      <c r="U141" s="99">
        <v>0</v>
      </c>
      <c r="V141" s="99">
        <v>1</v>
      </c>
      <c r="W141" s="99">
        <v>0</v>
      </c>
      <c r="X141" s="99">
        <v>0</v>
      </c>
      <c r="Y141" s="99">
        <v>1</v>
      </c>
      <c r="Z141" s="99">
        <v>1</v>
      </c>
      <c r="AA141" s="99">
        <v>0</v>
      </c>
      <c r="AB141" s="99">
        <v>0</v>
      </c>
      <c r="AC141" s="99">
        <v>1</v>
      </c>
      <c r="AD141" s="99">
        <v>0</v>
      </c>
      <c r="AE141" s="99">
        <v>0</v>
      </c>
      <c r="AF141" s="99">
        <v>0</v>
      </c>
      <c r="AG141" s="99">
        <v>0</v>
      </c>
      <c r="AH141" s="99">
        <v>0</v>
      </c>
      <c r="AI141" s="99">
        <v>0</v>
      </c>
      <c r="AJ141" s="99">
        <v>0</v>
      </c>
      <c r="AK141" s="99">
        <v>1</v>
      </c>
      <c r="AL141" s="99">
        <v>1</v>
      </c>
      <c r="AM141" s="99">
        <v>0</v>
      </c>
      <c r="AN141" s="99">
        <v>1</v>
      </c>
      <c r="AO141" s="99">
        <v>1</v>
      </c>
      <c r="AP141" s="99">
        <v>1</v>
      </c>
      <c r="AQ141" s="99">
        <v>0</v>
      </c>
      <c r="AR141" s="99">
        <v>0</v>
      </c>
      <c r="AS141" s="99">
        <v>0</v>
      </c>
      <c r="AT141" s="99">
        <v>0</v>
      </c>
      <c r="AU141" s="99">
        <v>0</v>
      </c>
      <c r="AV141" s="99">
        <v>0</v>
      </c>
      <c r="AW141" s="99">
        <v>0</v>
      </c>
      <c r="AX141" s="99">
        <v>1</v>
      </c>
      <c r="AY141" s="99">
        <v>1</v>
      </c>
      <c r="AZ141" s="99">
        <v>0</v>
      </c>
      <c r="BA141" s="99">
        <v>0</v>
      </c>
      <c r="BB141" s="99">
        <v>0</v>
      </c>
      <c r="BC141" s="99">
        <v>0</v>
      </c>
      <c r="BD141" s="99">
        <v>0</v>
      </c>
      <c r="BE141" s="99">
        <v>1</v>
      </c>
      <c r="BF141" s="99">
        <v>0</v>
      </c>
      <c r="BG141" s="99">
        <v>0</v>
      </c>
      <c r="BH141" s="99">
        <v>0</v>
      </c>
      <c r="BI141" s="99">
        <v>0</v>
      </c>
      <c r="BJ141" s="99">
        <v>1</v>
      </c>
      <c r="BK141" s="99">
        <v>0</v>
      </c>
      <c r="BL141" s="99">
        <v>0</v>
      </c>
      <c r="BM141" s="99">
        <v>0</v>
      </c>
      <c r="BN141" s="99">
        <v>0</v>
      </c>
      <c r="BO141" s="99">
        <v>0</v>
      </c>
      <c r="BP141" s="99">
        <v>1</v>
      </c>
      <c r="BQ141" s="99">
        <v>0</v>
      </c>
      <c r="BR141" s="99">
        <v>0</v>
      </c>
      <c r="BS141" s="99">
        <v>0</v>
      </c>
      <c r="BT141" s="99">
        <v>0</v>
      </c>
      <c r="BU141" s="99">
        <v>0</v>
      </c>
      <c r="BV141" s="99">
        <v>0</v>
      </c>
      <c r="BW141" s="99">
        <v>0</v>
      </c>
      <c r="BX141" s="99">
        <v>0</v>
      </c>
      <c r="BY141" s="99">
        <v>0</v>
      </c>
      <c r="BZ141" s="99">
        <v>0</v>
      </c>
      <c r="CA141" s="99">
        <v>0</v>
      </c>
      <c r="CB141" s="99">
        <v>0</v>
      </c>
      <c r="CC141" s="99">
        <v>1</v>
      </c>
      <c r="CD141" s="99">
        <v>0</v>
      </c>
      <c r="CE141" s="99">
        <v>0</v>
      </c>
      <c r="CF141" s="99">
        <v>0</v>
      </c>
      <c r="CG141" s="99">
        <v>0</v>
      </c>
      <c r="CH141" s="99">
        <v>1</v>
      </c>
      <c r="CI141" s="99">
        <v>0</v>
      </c>
      <c r="CJ141" s="99">
        <v>0</v>
      </c>
      <c r="CK141" s="99">
        <v>0</v>
      </c>
      <c r="CL141" s="99">
        <v>0</v>
      </c>
      <c r="CM141" s="99">
        <v>0</v>
      </c>
      <c r="CN141" s="99">
        <v>0</v>
      </c>
      <c r="CO141" s="99">
        <v>0</v>
      </c>
      <c r="CP141" s="99">
        <v>1</v>
      </c>
      <c r="CQ141" s="99">
        <v>0</v>
      </c>
      <c r="CR141" s="99">
        <v>0</v>
      </c>
      <c r="CS141" s="98">
        <v>0</v>
      </c>
    </row>
    <row r="142" spans="2:97" x14ac:dyDescent="0.3">
      <c r="B142" s="83" t="s">
        <v>98</v>
      </c>
      <c r="C142" s="99">
        <v>0</v>
      </c>
      <c r="D142" s="99">
        <v>0</v>
      </c>
      <c r="E142" s="99">
        <v>1</v>
      </c>
      <c r="F142" s="99">
        <v>0</v>
      </c>
      <c r="G142" s="99">
        <v>0</v>
      </c>
      <c r="H142" s="99">
        <v>0</v>
      </c>
      <c r="I142" s="99">
        <v>0</v>
      </c>
      <c r="J142" s="99">
        <v>0</v>
      </c>
      <c r="K142" s="99">
        <v>1</v>
      </c>
      <c r="L142" s="99">
        <v>0</v>
      </c>
      <c r="M142" s="99">
        <v>0</v>
      </c>
      <c r="N142" s="99">
        <v>1</v>
      </c>
      <c r="O142" s="99">
        <v>0</v>
      </c>
      <c r="P142" s="99">
        <v>0</v>
      </c>
      <c r="Q142" s="99">
        <v>0</v>
      </c>
      <c r="R142" s="99">
        <v>0</v>
      </c>
      <c r="S142" s="99">
        <v>1</v>
      </c>
      <c r="T142" s="99">
        <v>0</v>
      </c>
      <c r="U142" s="99">
        <v>0</v>
      </c>
      <c r="V142" s="99">
        <v>1</v>
      </c>
      <c r="W142" s="99">
        <v>0</v>
      </c>
      <c r="X142" s="99">
        <v>0</v>
      </c>
      <c r="Y142" s="99">
        <v>1</v>
      </c>
      <c r="Z142" s="99">
        <v>1</v>
      </c>
      <c r="AA142" s="99">
        <v>0</v>
      </c>
      <c r="AB142" s="99">
        <v>0</v>
      </c>
      <c r="AC142" s="99">
        <v>1</v>
      </c>
      <c r="AD142" s="99">
        <v>0</v>
      </c>
      <c r="AE142" s="99">
        <v>0</v>
      </c>
      <c r="AF142" s="99">
        <v>0</v>
      </c>
      <c r="AG142" s="99">
        <v>0</v>
      </c>
      <c r="AH142" s="99">
        <v>0</v>
      </c>
      <c r="AI142" s="99">
        <v>0</v>
      </c>
      <c r="AJ142" s="99">
        <v>0</v>
      </c>
      <c r="AK142" s="99">
        <v>1</v>
      </c>
      <c r="AL142" s="99">
        <v>1</v>
      </c>
      <c r="AM142" s="99">
        <v>0</v>
      </c>
      <c r="AN142" s="99">
        <v>1</v>
      </c>
      <c r="AO142" s="99">
        <v>1</v>
      </c>
      <c r="AP142" s="99">
        <v>1</v>
      </c>
      <c r="AQ142" s="99">
        <v>0</v>
      </c>
      <c r="AR142" s="99">
        <v>0</v>
      </c>
      <c r="AS142" s="99">
        <v>0</v>
      </c>
      <c r="AT142" s="99">
        <v>0</v>
      </c>
      <c r="AU142" s="99">
        <v>0</v>
      </c>
      <c r="AV142" s="99">
        <v>0</v>
      </c>
      <c r="AW142" s="99">
        <v>0</v>
      </c>
      <c r="AX142" s="99">
        <v>1</v>
      </c>
      <c r="AY142" s="99">
        <v>1</v>
      </c>
      <c r="AZ142" s="99">
        <v>0</v>
      </c>
      <c r="BA142" s="99">
        <v>0</v>
      </c>
      <c r="BB142" s="99">
        <v>0</v>
      </c>
      <c r="BC142" s="99">
        <v>0</v>
      </c>
      <c r="BD142" s="99">
        <v>0</v>
      </c>
      <c r="BE142" s="99">
        <v>1</v>
      </c>
      <c r="BF142" s="99">
        <v>0</v>
      </c>
      <c r="BG142" s="99">
        <v>0</v>
      </c>
      <c r="BH142" s="99">
        <v>0</v>
      </c>
      <c r="BI142" s="99">
        <v>0</v>
      </c>
      <c r="BJ142" s="99">
        <v>1</v>
      </c>
      <c r="BK142" s="99">
        <v>0</v>
      </c>
      <c r="BL142" s="99">
        <v>0</v>
      </c>
      <c r="BM142" s="99">
        <v>0</v>
      </c>
      <c r="BN142" s="99">
        <v>0</v>
      </c>
      <c r="BO142" s="99">
        <v>0</v>
      </c>
      <c r="BP142" s="99">
        <v>1</v>
      </c>
      <c r="BQ142" s="99">
        <v>0</v>
      </c>
      <c r="BR142" s="99">
        <v>0</v>
      </c>
      <c r="BS142" s="99">
        <v>0</v>
      </c>
      <c r="BT142" s="99">
        <v>0</v>
      </c>
      <c r="BU142" s="99">
        <v>0</v>
      </c>
      <c r="BV142" s="99">
        <v>0</v>
      </c>
      <c r="BW142" s="99">
        <v>0</v>
      </c>
      <c r="BX142" s="99">
        <v>0</v>
      </c>
      <c r="BY142" s="99">
        <v>0</v>
      </c>
      <c r="BZ142" s="99">
        <v>0</v>
      </c>
      <c r="CA142" s="99">
        <v>0</v>
      </c>
      <c r="CB142" s="99">
        <v>0</v>
      </c>
      <c r="CC142" s="99">
        <v>1</v>
      </c>
      <c r="CD142" s="99">
        <v>0</v>
      </c>
      <c r="CE142" s="99">
        <v>0</v>
      </c>
      <c r="CF142" s="99">
        <v>0</v>
      </c>
      <c r="CG142" s="99">
        <v>0</v>
      </c>
      <c r="CH142" s="99">
        <v>1</v>
      </c>
      <c r="CI142" s="99">
        <v>0</v>
      </c>
      <c r="CJ142" s="99">
        <v>0</v>
      </c>
      <c r="CK142" s="99">
        <v>0</v>
      </c>
      <c r="CL142" s="99">
        <v>0</v>
      </c>
      <c r="CM142" s="99">
        <v>0</v>
      </c>
      <c r="CN142" s="99">
        <v>0</v>
      </c>
      <c r="CO142" s="99">
        <v>0</v>
      </c>
      <c r="CP142" s="99">
        <v>1</v>
      </c>
      <c r="CQ142" s="99">
        <v>0</v>
      </c>
      <c r="CR142" s="99">
        <v>0</v>
      </c>
      <c r="CS142" s="98">
        <v>0</v>
      </c>
    </row>
    <row r="143" spans="2:97" x14ac:dyDescent="0.3">
      <c r="B143" s="83" t="s">
        <v>99</v>
      </c>
      <c r="C143" s="99">
        <v>0</v>
      </c>
      <c r="D143" s="99">
        <v>0</v>
      </c>
      <c r="E143" s="99">
        <v>1</v>
      </c>
      <c r="F143" s="99">
        <v>0</v>
      </c>
      <c r="G143" s="99">
        <v>0</v>
      </c>
      <c r="H143" s="99">
        <v>0</v>
      </c>
      <c r="I143" s="99">
        <v>0</v>
      </c>
      <c r="J143" s="99">
        <v>0</v>
      </c>
      <c r="K143" s="99">
        <v>1</v>
      </c>
      <c r="L143" s="99">
        <v>0</v>
      </c>
      <c r="M143" s="99">
        <v>0</v>
      </c>
      <c r="N143" s="99">
        <v>1</v>
      </c>
      <c r="O143" s="99">
        <v>0</v>
      </c>
      <c r="P143" s="99">
        <v>0</v>
      </c>
      <c r="Q143" s="99">
        <v>0</v>
      </c>
      <c r="R143" s="99">
        <v>0</v>
      </c>
      <c r="S143" s="99">
        <v>1</v>
      </c>
      <c r="T143" s="99">
        <v>0</v>
      </c>
      <c r="U143" s="99">
        <v>0</v>
      </c>
      <c r="V143" s="99">
        <v>1</v>
      </c>
      <c r="W143" s="99">
        <v>0</v>
      </c>
      <c r="X143" s="99">
        <v>0</v>
      </c>
      <c r="Y143" s="99">
        <v>1</v>
      </c>
      <c r="Z143" s="99">
        <v>1</v>
      </c>
      <c r="AA143" s="99">
        <v>0</v>
      </c>
      <c r="AB143" s="99">
        <v>0</v>
      </c>
      <c r="AC143" s="99">
        <v>1</v>
      </c>
      <c r="AD143" s="99">
        <v>0</v>
      </c>
      <c r="AE143" s="99">
        <v>0</v>
      </c>
      <c r="AF143" s="99">
        <v>0</v>
      </c>
      <c r="AG143" s="99">
        <v>0</v>
      </c>
      <c r="AH143" s="99">
        <v>0</v>
      </c>
      <c r="AI143" s="99">
        <v>0</v>
      </c>
      <c r="AJ143" s="99">
        <v>0</v>
      </c>
      <c r="AK143" s="99">
        <v>1</v>
      </c>
      <c r="AL143" s="99">
        <v>1</v>
      </c>
      <c r="AM143" s="99">
        <v>0</v>
      </c>
      <c r="AN143" s="99">
        <v>1</v>
      </c>
      <c r="AO143" s="99">
        <v>1</v>
      </c>
      <c r="AP143" s="99">
        <v>1</v>
      </c>
      <c r="AQ143" s="99">
        <v>0</v>
      </c>
      <c r="AR143" s="99">
        <v>0</v>
      </c>
      <c r="AS143" s="99">
        <v>0</v>
      </c>
      <c r="AT143" s="99">
        <v>0</v>
      </c>
      <c r="AU143" s="99">
        <v>0</v>
      </c>
      <c r="AV143" s="99">
        <v>0</v>
      </c>
      <c r="AW143" s="99">
        <v>0</v>
      </c>
      <c r="AX143" s="99">
        <v>1</v>
      </c>
      <c r="AY143" s="99">
        <v>1</v>
      </c>
      <c r="AZ143" s="99">
        <v>0</v>
      </c>
      <c r="BA143" s="99">
        <v>0</v>
      </c>
      <c r="BB143" s="99">
        <v>0</v>
      </c>
      <c r="BC143" s="99">
        <v>0</v>
      </c>
      <c r="BD143" s="99">
        <v>0</v>
      </c>
      <c r="BE143" s="99">
        <v>1</v>
      </c>
      <c r="BF143" s="99">
        <v>0</v>
      </c>
      <c r="BG143" s="99">
        <v>0</v>
      </c>
      <c r="BH143" s="99">
        <v>0</v>
      </c>
      <c r="BI143" s="99">
        <v>0</v>
      </c>
      <c r="BJ143" s="99">
        <v>1</v>
      </c>
      <c r="BK143" s="99">
        <v>0</v>
      </c>
      <c r="BL143" s="99">
        <v>0</v>
      </c>
      <c r="BM143" s="99">
        <v>0</v>
      </c>
      <c r="BN143" s="99">
        <v>0</v>
      </c>
      <c r="BO143" s="99">
        <v>0</v>
      </c>
      <c r="BP143" s="99">
        <v>1</v>
      </c>
      <c r="BQ143" s="99">
        <v>0</v>
      </c>
      <c r="BR143" s="99">
        <v>0</v>
      </c>
      <c r="BS143" s="99">
        <v>0</v>
      </c>
      <c r="BT143" s="99">
        <v>0</v>
      </c>
      <c r="BU143" s="99">
        <v>0</v>
      </c>
      <c r="BV143" s="99">
        <v>0</v>
      </c>
      <c r="BW143" s="99">
        <v>0</v>
      </c>
      <c r="BX143" s="99">
        <v>0</v>
      </c>
      <c r="BY143" s="99">
        <v>0</v>
      </c>
      <c r="BZ143" s="99">
        <v>0</v>
      </c>
      <c r="CA143" s="99">
        <v>0</v>
      </c>
      <c r="CB143" s="99">
        <v>0</v>
      </c>
      <c r="CC143" s="99">
        <v>1</v>
      </c>
      <c r="CD143" s="99">
        <v>0</v>
      </c>
      <c r="CE143" s="99">
        <v>0</v>
      </c>
      <c r="CF143" s="99">
        <v>0</v>
      </c>
      <c r="CG143" s="99">
        <v>0</v>
      </c>
      <c r="CH143" s="99">
        <v>1</v>
      </c>
      <c r="CI143" s="99">
        <v>0</v>
      </c>
      <c r="CJ143" s="99">
        <v>0</v>
      </c>
      <c r="CK143" s="99">
        <v>0</v>
      </c>
      <c r="CL143" s="99">
        <v>0</v>
      </c>
      <c r="CM143" s="99">
        <v>0</v>
      </c>
      <c r="CN143" s="99">
        <v>0</v>
      </c>
      <c r="CO143" s="99">
        <v>0</v>
      </c>
      <c r="CP143" s="99">
        <v>1</v>
      </c>
      <c r="CQ143" s="99">
        <v>0</v>
      </c>
      <c r="CR143" s="99">
        <v>0</v>
      </c>
      <c r="CS143" s="98">
        <v>0</v>
      </c>
    </row>
    <row r="144" spans="2:97" x14ac:dyDescent="0.3">
      <c r="B144" s="83" t="s">
        <v>100</v>
      </c>
      <c r="C144" s="99">
        <v>0</v>
      </c>
      <c r="D144" s="99">
        <v>1</v>
      </c>
      <c r="E144" s="99">
        <v>0</v>
      </c>
      <c r="F144" s="99">
        <v>0</v>
      </c>
      <c r="G144" s="99">
        <v>0</v>
      </c>
      <c r="H144" s="99">
        <v>0</v>
      </c>
      <c r="I144" s="99">
        <v>0</v>
      </c>
      <c r="J144" s="99">
        <v>0</v>
      </c>
      <c r="K144" s="99">
        <v>0</v>
      </c>
      <c r="L144" s="99">
        <v>0</v>
      </c>
      <c r="M144" s="99">
        <v>1</v>
      </c>
      <c r="N144" s="99">
        <v>0</v>
      </c>
      <c r="O144" s="99">
        <v>0</v>
      </c>
      <c r="P144" s="99">
        <v>0</v>
      </c>
      <c r="Q144" s="99">
        <v>0</v>
      </c>
      <c r="R144" s="99">
        <v>0</v>
      </c>
      <c r="S144" s="99">
        <v>0</v>
      </c>
      <c r="T144" s="99">
        <v>0</v>
      </c>
      <c r="U144" s="99">
        <v>1</v>
      </c>
      <c r="V144" s="99">
        <v>0</v>
      </c>
      <c r="W144" s="99">
        <v>0</v>
      </c>
      <c r="X144" s="99">
        <v>1</v>
      </c>
      <c r="Y144" s="99">
        <v>0</v>
      </c>
      <c r="Z144" s="99">
        <v>0</v>
      </c>
      <c r="AA144" s="99">
        <v>0</v>
      </c>
      <c r="AB144" s="99">
        <v>0</v>
      </c>
      <c r="AC144" s="99">
        <v>0</v>
      </c>
      <c r="AD144" s="99">
        <v>1</v>
      </c>
      <c r="AE144" s="99">
        <v>0</v>
      </c>
      <c r="AF144" s="99">
        <v>0</v>
      </c>
      <c r="AG144" s="99">
        <v>0</v>
      </c>
      <c r="AH144" s="99">
        <v>0</v>
      </c>
      <c r="AI144" s="99">
        <v>0</v>
      </c>
      <c r="AJ144" s="99">
        <v>0</v>
      </c>
      <c r="AK144" s="99">
        <v>0</v>
      </c>
      <c r="AL144" s="99">
        <v>0</v>
      </c>
      <c r="AM144" s="99">
        <v>0</v>
      </c>
      <c r="AN144" s="99">
        <v>0</v>
      </c>
      <c r="AO144" s="99">
        <v>0</v>
      </c>
      <c r="AP144" s="99">
        <v>0</v>
      </c>
      <c r="AQ144" s="99">
        <v>1</v>
      </c>
      <c r="AR144" s="99">
        <v>1</v>
      </c>
      <c r="AS144" s="99">
        <v>1</v>
      </c>
      <c r="AT144" s="99">
        <v>0</v>
      </c>
      <c r="AU144" s="99">
        <v>0</v>
      </c>
      <c r="AV144" s="99">
        <v>0</v>
      </c>
      <c r="AW144" s="99">
        <v>0</v>
      </c>
      <c r="AX144" s="99">
        <v>0</v>
      </c>
      <c r="AY144" s="99">
        <v>0</v>
      </c>
      <c r="AZ144" s="99">
        <v>1</v>
      </c>
      <c r="BA144" s="99">
        <v>1</v>
      </c>
      <c r="BB144" s="99">
        <v>1</v>
      </c>
      <c r="BC144" s="99">
        <v>0</v>
      </c>
      <c r="BD144" s="99">
        <v>1</v>
      </c>
      <c r="BE144" s="99">
        <v>0</v>
      </c>
      <c r="BF144" s="99">
        <v>0</v>
      </c>
      <c r="BG144" s="99">
        <v>1</v>
      </c>
      <c r="BH144" s="99">
        <v>1</v>
      </c>
      <c r="BI144" s="99">
        <v>0</v>
      </c>
      <c r="BJ144" s="99">
        <v>0</v>
      </c>
      <c r="BK144" s="99">
        <v>0</v>
      </c>
      <c r="BL144" s="99">
        <v>0</v>
      </c>
      <c r="BM144" s="99">
        <v>1</v>
      </c>
      <c r="BN144" s="99">
        <v>1</v>
      </c>
      <c r="BO144" s="99">
        <v>0</v>
      </c>
      <c r="BP144" s="99">
        <v>0</v>
      </c>
      <c r="BQ144" s="99">
        <v>0</v>
      </c>
      <c r="BR144" s="99">
        <v>1</v>
      </c>
      <c r="BS144" s="99">
        <v>0</v>
      </c>
      <c r="BT144" s="99">
        <v>0</v>
      </c>
      <c r="BU144" s="99">
        <v>0</v>
      </c>
      <c r="BV144" s="99">
        <v>0</v>
      </c>
      <c r="BW144" s="99">
        <v>0</v>
      </c>
      <c r="BX144" s="99">
        <v>1</v>
      </c>
      <c r="BY144" s="99">
        <v>1</v>
      </c>
      <c r="BZ144" s="99">
        <v>0</v>
      </c>
      <c r="CA144" s="99">
        <v>0</v>
      </c>
      <c r="CB144" s="99">
        <v>0</v>
      </c>
      <c r="CC144" s="99">
        <v>0</v>
      </c>
      <c r="CD144" s="99">
        <v>1</v>
      </c>
      <c r="CE144" s="99">
        <v>1</v>
      </c>
      <c r="CF144" s="99">
        <v>0</v>
      </c>
      <c r="CG144" s="99">
        <v>1</v>
      </c>
      <c r="CH144" s="99">
        <v>0</v>
      </c>
      <c r="CI144" s="99">
        <v>1</v>
      </c>
      <c r="CJ144" s="99">
        <v>0</v>
      </c>
      <c r="CK144" s="99">
        <v>0</v>
      </c>
      <c r="CL144" s="99">
        <v>0</v>
      </c>
      <c r="CM144" s="99">
        <v>0</v>
      </c>
      <c r="CN144" s="99">
        <v>0</v>
      </c>
      <c r="CO144" s="99">
        <v>1</v>
      </c>
      <c r="CP144" s="99">
        <v>0</v>
      </c>
      <c r="CQ144" s="99">
        <v>0</v>
      </c>
      <c r="CR144" s="99">
        <v>1</v>
      </c>
      <c r="CS144" s="98">
        <v>1</v>
      </c>
    </row>
    <row r="145" spans="2:97" x14ac:dyDescent="0.3">
      <c r="B145" s="83" t="s">
        <v>101</v>
      </c>
      <c r="C145" s="99">
        <v>0</v>
      </c>
      <c r="D145" s="99">
        <v>1</v>
      </c>
      <c r="E145" s="99">
        <v>0</v>
      </c>
      <c r="F145" s="99">
        <v>0</v>
      </c>
      <c r="G145" s="99">
        <v>0</v>
      </c>
      <c r="H145" s="99">
        <v>0</v>
      </c>
      <c r="I145" s="99">
        <v>0</v>
      </c>
      <c r="J145" s="99">
        <v>0</v>
      </c>
      <c r="K145" s="99">
        <v>0</v>
      </c>
      <c r="L145" s="99">
        <v>0</v>
      </c>
      <c r="M145" s="99">
        <v>1</v>
      </c>
      <c r="N145" s="99">
        <v>0</v>
      </c>
      <c r="O145" s="99">
        <v>0</v>
      </c>
      <c r="P145" s="99">
        <v>0</v>
      </c>
      <c r="Q145" s="99">
        <v>0</v>
      </c>
      <c r="R145" s="99">
        <v>0</v>
      </c>
      <c r="S145" s="99">
        <v>0</v>
      </c>
      <c r="T145" s="99">
        <v>0</v>
      </c>
      <c r="U145" s="99">
        <v>1</v>
      </c>
      <c r="V145" s="99">
        <v>0</v>
      </c>
      <c r="W145" s="99">
        <v>0</v>
      </c>
      <c r="X145" s="99">
        <v>1</v>
      </c>
      <c r="Y145" s="99">
        <v>0</v>
      </c>
      <c r="Z145" s="99">
        <v>0</v>
      </c>
      <c r="AA145" s="99">
        <v>0</v>
      </c>
      <c r="AB145" s="99">
        <v>0</v>
      </c>
      <c r="AC145" s="99">
        <v>0</v>
      </c>
      <c r="AD145" s="99">
        <v>1</v>
      </c>
      <c r="AE145" s="99">
        <v>0</v>
      </c>
      <c r="AF145" s="99">
        <v>0</v>
      </c>
      <c r="AG145" s="99">
        <v>0</v>
      </c>
      <c r="AH145" s="99">
        <v>0</v>
      </c>
      <c r="AI145" s="99">
        <v>0</v>
      </c>
      <c r="AJ145" s="99">
        <v>0</v>
      </c>
      <c r="AK145" s="99">
        <v>0</v>
      </c>
      <c r="AL145" s="99">
        <v>0</v>
      </c>
      <c r="AM145" s="99">
        <v>0</v>
      </c>
      <c r="AN145" s="99">
        <v>0</v>
      </c>
      <c r="AO145" s="99">
        <v>0</v>
      </c>
      <c r="AP145" s="99">
        <v>0</v>
      </c>
      <c r="AQ145" s="99">
        <v>1</v>
      </c>
      <c r="AR145" s="99">
        <v>1</v>
      </c>
      <c r="AS145" s="99">
        <v>1</v>
      </c>
      <c r="AT145" s="99">
        <v>0</v>
      </c>
      <c r="AU145" s="99">
        <v>0</v>
      </c>
      <c r="AV145" s="99">
        <v>0</v>
      </c>
      <c r="AW145" s="99">
        <v>0</v>
      </c>
      <c r="AX145" s="99">
        <v>0</v>
      </c>
      <c r="AY145" s="99">
        <v>0</v>
      </c>
      <c r="AZ145" s="99">
        <v>1</v>
      </c>
      <c r="BA145" s="99">
        <v>1</v>
      </c>
      <c r="BB145" s="99">
        <v>1</v>
      </c>
      <c r="BC145" s="99">
        <v>0</v>
      </c>
      <c r="BD145" s="99">
        <v>1</v>
      </c>
      <c r="BE145" s="99">
        <v>0</v>
      </c>
      <c r="BF145" s="99">
        <v>0</v>
      </c>
      <c r="BG145" s="99">
        <v>1</v>
      </c>
      <c r="BH145" s="99">
        <v>1</v>
      </c>
      <c r="BI145" s="99">
        <v>0</v>
      </c>
      <c r="BJ145" s="99">
        <v>0</v>
      </c>
      <c r="BK145" s="99">
        <v>0</v>
      </c>
      <c r="BL145" s="99">
        <v>0</v>
      </c>
      <c r="BM145" s="99">
        <v>1</v>
      </c>
      <c r="BN145" s="99">
        <v>1</v>
      </c>
      <c r="BO145" s="99">
        <v>0</v>
      </c>
      <c r="BP145" s="99">
        <v>0</v>
      </c>
      <c r="BQ145" s="99">
        <v>0</v>
      </c>
      <c r="BR145" s="99">
        <v>1</v>
      </c>
      <c r="BS145" s="99">
        <v>0</v>
      </c>
      <c r="BT145" s="99">
        <v>0</v>
      </c>
      <c r="BU145" s="99">
        <v>0</v>
      </c>
      <c r="BV145" s="99">
        <v>0</v>
      </c>
      <c r="BW145" s="99">
        <v>0</v>
      </c>
      <c r="BX145" s="99">
        <v>1</v>
      </c>
      <c r="BY145" s="99">
        <v>1</v>
      </c>
      <c r="BZ145" s="99">
        <v>0</v>
      </c>
      <c r="CA145" s="99">
        <v>0</v>
      </c>
      <c r="CB145" s="99">
        <v>0</v>
      </c>
      <c r="CC145" s="99">
        <v>0</v>
      </c>
      <c r="CD145" s="99">
        <v>1</v>
      </c>
      <c r="CE145" s="99">
        <v>1</v>
      </c>
      <c r="CF145" s="99">
        <v>0</v>
      </c>
      <c r="CG145" s="99">
        <v>1</v>
      </c>
      <c r="CH145" s="99">
        <v>0</v>
      </c>
      <c r="CI145" s="99">
        <v>1</v>
      </c>
      <c r="CJ145" s="99">
        <v>0</v>
      </c>
      <c r="CK145" s="99">
        <v>0</v>
      </c>
      <c r="CL145" s="99">
        <v>0</v>
      </c>
      <c r="CM145" s="99">
        <v>0</v>
      </c>
      <c r="CN145" s="99">
        <v>0</v>
      </c>
      <c r="CO145" s="99">
        <v>1</v>
      </c>
      <c r="CP145" s="99">
        <v>0</v>
      </c>
      <c r="CQ145" s="99">
        <v>0</v>
      </c>
      <c r="CR145" s="99">
        <v>1</v>
      </c>
      <c r="CS145" s="98">
        <v>1</v>
      </c>
    </row>
    <row r="146" spans="2:97" x14ac:dyDescent="0.3">
      <c r="B146" s="83" t="s">
        <v>102</v>
      </c>
      <c r="C146" s="99">
        <v>0</v>
      </c>
      <c r="D146" s="99">
        <v>1</v>
      </c>
      <c r="E146" s="99">
        <v>0</v>
      </c>
      <c r="F146" s="99">
        <v>0</v>
      </c>
      <c r="G146" s="99">
        <v>0</v>
      </c>
      <c r="H146" s="99">
        <v>0</v>
      </c>
      <c r="I146" s="99">
        <v>0</v>
      </c>
      <c r="J146" s="99">
        <v>0</v>
      </c>
      <c r="K146" s="99">
        <v>0</v>
      </c>
      <c r="L146" s="99">
        <v>0</v>
      </c>
      <c r="M146" s="99">
        <v>1</v>
      </c>
      <c r="N146" s="99">
        <v>0</v>
      </c>
      <c r="O146" s="99">
        <v>0</v>
      </c>
      <c r="P146" s="99">
        <v>0</v>
      </c>
      <c r="Q146" s="99">
        <v>0</v>
      </c>
      <c r="R146" s="99">
        <v>0</v>
      </c>
      <c r="S146" s="99">
        <v>0</v>
      </c>
      <c r="T146" s="99">
        <v>0</v>
      </c>
      <c r="U146" s="99">
        <v>1</v>
      </c>
      <c r="V146" s="99">
        <v>0</v>
      </c>
      <c r="W146" s="99">
        <v>0</v>
      </c>
      <c r="X146" s="99">
        <v>1</v>
      </c>
      <c r="Y146" s="99">
        <v>0</v>
      </c>
      <c r="Z146" s="99">
        <v>0</v>
      </c>
      <c r="AA146" s="99">
        <v>0</v>
      </c>
      <c r="AB146" s="99">
        <v>0</v>
      </c>
      <c r="AC146" s="99">
        <v>0</v>
      </c>
      <c r="AD146" s="99">
        <v>1</v>
      </c>
      <c r="AE146" s="99">
        <v>0</v>
      </c>
      <c r="AF146" s="99">
        <v>0</v>
      </c>
      <c r="AG146" s="99">
        <v>0</v>
      </c>
      <c r="AH146" s="99">
        <v>0</v>
      </c>
      <c r="AI146" s="99">
        <v>0</v>
      </c>
      <c r="AJ146" s="99">
        <v>0</v>
      </c>
      <c r="AK146" s="99">
        <v>0</v>
      </c>
      <c r="AL146" s="99">
        <v>0</v>
      </c>
      <c r="AM146" s="99">
        <v>0</v>
      </c>
      <c r="AN146" s="99">
        <v>0</v>
      </c>
      <c r="AO146" s="99">
        <v>0</v>
      </c>
      <c r="AP146" s="99">
        <v>0</v>
      </c>
      <c r="AQ146" s="99">
        <v>1</v>
      </c>
      <c r="AR146" s="99">
        <v>1</v>
      </c>
      <c r="AS146" s="99">
        <v>1</v>
      </c>
      <c r="AT146" s="99">
        <v>0</v>
      </c>
      <c r="AU146" s="99">
        <v>0</v>
      </c>
      <c r="AV146" s="99">
        <v>0</v>
      </c>
      <c r="AW146" s="99">
        <v>0</v>
      </c>
      <c r="AX146" s="99">
        <v>0</v>
      </c>
      <c r="AY146" s="99">
        <v>0</v>
      </c>
      <c r="AZ146" s="99">
        <v>1</v>
      </c>
      <c r="BA146" s="99">
        <v>1</v>
      </c>
      <c r="BB146" s="99">
        <v>1</v>
      </c>
      <c r="BC146" s="99">
        <v>0</v>
      </c>
      <c r="BD146" s="99">
        <v>1</v>
      </c>
      <c r="BE146" s="99">
        <v>0</v>
      </c>
      <c r="BF146" s="99">
        <v>0</v>
      </c>
      <c r="BG146" s="99">
        <v>1</v>
      </c>
      <c r="BH146" s="99">
        <v>1</v>
      </c>
      <c r="BI146" s="99">
        <v>0</v>
      </c>
      <c r="BJ146" s="99">
        <v>0</v>
      </c>
      <c r="BK146" s="99">
        <v>0</v>
      </c>
      <c r="BL146" s="99">
        <v>0</v>
      </c>
      <c r="BM146" s="99">
        <v>1</v>
      </c>
      <c r="BN146" s="99">
        <v>1</v>
      </c>
      <c r="BO146" s="99">
        <v>0</v>
      </c>
      <c r="BP146" s="99">
        <v>0</v>
      </c>
      <c r="BQ146" s="99">
        <v>0</v>
      </c>
      <c r="BR146" s="99">
        <v>1</v>
      </c>
      <c r="BS146" s="99">
        <v>0</v>
      </c>
      <c r="BT146" s="99">
        <v>0</v>
      </c>
      <c r="BU146" s="99">
        <v>0</v>
      </c>
      <c r="BV146" s="99">
        <v>0</v>
      </c>
      <c r="BW146" s="99">
        <v>0</v>
      </c>
      <c r="BX146" s="99">
        <v>1</v>
      </c>
      <c r="BY146" s="99">
        <v>1</v>
      </c>
      <c r="BZ146" s="99">
        <v>0</v>
      </c>
      <c r="CA146" s="99">
        <v>0</v>
      </c>
      <c r="CB146" s="99">
        <v>0</v>
      </c>
      <c r="CC146" s="99">
        <v>0</v>
      </c>
      <c r="CD146" s="99">
        <v>1</v>
      </c>
      <c r="CE146" s="99">
        <v>1</v>
      </c>
      <c r="CF146" s="99">
        <v>0</v>
      </c>
      <c r="CG146" s="99">
        <v>1</v>
      </c>
      <c r="CH146" s="99">
        <v>0</v>
      </c>
      <c r="CI146" s="99">
        <v>1</v>
      </c>
      <c r="CJ146" s="99">
        <v>0</v>
      </c>
      <c r="CK146" s="99">
        <v>0</v>
      </c>
      <c r="CL146" s="99">
        <v>0</v>
      </c>
      <c r="CM146" s="99">
        <v>0</v>
      </c>
      <c r="CN146" s="99">
        <v>0</v>
      </c>
      <c r="CO146" s="99">
        <v>1</v>
      </c>
      <c r="CP146" s="99">
        <v>0</v>
      </c>
      <c r="CQ146" s="99">
        <v>0</v>
      </c>
      <c r="CR146" s="99">
        <v>1</v>
      </c>
      <c r="CS146" s="98">
        <v>1</v>
      </c>
    </row>
    <row r="147" spans="2:97" x14ac:dyDescent="0.3">
      <c r="B147" s="83" t="s">
        <v>103</v>
      </c>
      <c r="C147" s="99">
        <v>0</v>
      </c>
      <c r="D147" s="99">
        <v>0</v>
      </c>
      <c r="E147" s="99">
        <v>0</v>
      </c>
      <c r="F147" s="99">
        <v>1</v>
      </c>
      <c r="G147" s="99">
        <v>0</v>
      </c>
      <c r="H147" s="99">
        <v>1</v>
      </c>
      <c r="I147" s="99">
        <v>0</v>
      </c>
      <c r="J147" s="99">
        <v>1</v>
      </c>
      <c r="K147" s="99">
        <v>0</v>
      </c>
      <c r="L147" s="99">
        <v>0</v>
      </c>
      <c r="M147" s="99">
        <v>0</v>
      </c>
      <c r="N147" s="99">
        <v>0</v>
      </c>
      <c r="O147" s="99">
        <v>0</v>
      </c>
      <c r="P147" s="99">
        <v>1</v>
      </c>
      <c r="Q147" s="99">
        <v>0</v>
      </c>
      <c r="R147" s="99">
        <v>1</v>
      </c>
      <c r="S147" s="99">
        <v>0</v>
      </c>
      <c r="T147" s="99">
        <v>1</v>
      </c>
      <c r="U147" s="99">
        <v>0</v>
      </c>
      <c r="V147" s="99">
        <v>0</v>
      </c>
      <c r="W147" s="99">
        <v>1</v>
      </c>
      <c r="X147" s="99">
        <v>0</v>
      </c>
      <c r="Y147" s="99">
        <v>0</v>
      </c>
      <c r="Z147" s="99">
        <v>0</v>
      </c>
      <c r="AA147" s="99">
        <v>1</v>
      </c>
      <c r="AB147" s="99">
        <v>1</v>
      </c>
      <c r="AC147" s="99">
        <v>0</v>
      </c>
      <c r="AD147" s="99">
        <v>0</v>
      </c>
      <c r="AE147" s="99">
        <v>0</v>
      </c>
      <c r="AF147" s="99">
        <v>0</v>
      </c>
      <c r="AG147" s="99">
        <v>1</v>
      </c>
      <c r="AH147" s="99">
        <v>0</v>
      </c>
      <c r="AI147" s="99">
        <v>1</v>
      </c>
      <c r="AJ147" s="99">
        <v>0</v>
      </c>
      <c r="AK147" s="99">
        <v>0</v>
      </c>
      <c r="AL147" s="99">
        <v>0</v>
      </c>
      <c r="AM147" s="99">
        <v>0</v>
      </c>
      <c r="AN147" s="99">
        <v>0</v>
      </c>
      <c r="AO147" s="99">
        <v>0</v>
      </c>
      <c r="AP147" s="99">
        <v>0</v>
      </c>
      <c r="AQ147" s="99">
        <v>0</v>
      </c>
      <c r="AR147" s="99">
        <v>0</v>
      </c>
      <c r="AS147" s="99">
        <v>0</v>
      </c>
      <c r="AT147" s="99">
        <v>1</v>
      </c>
      <c r="AU147" s="99">
        <v>0</v>
      </c>
      <c r="AV147" s="99">
        <v>0</v>
      </c>
      <c r="AW147" s="99">
        <v>0</v>
      </c>
      <c r="AX147" s="99">
        <v>0</v>
      </c>
      <c r="AY147" s="99">
        <v>0</v>
      </c>
      <c r="AZ147" s="99">
        <v>0</v>
      </c>
      <c r="BA147" s="99">
        <v>0</v>
      </c>
      <c r="BB147" s="99">
        <v>0</v>
      </c>
      <c r="BC147" s="99">
        <v>0</v>
      </c>
      <c r="BD147" s="99">
        <v>0</v>
      </c>
      <c r="BE147" s="99">
        <v>0</v>
      </c>
      <c r="BF147" s="99">
        <v>1</v>
      </c>
      <c r="BG147" s="99">
        <v>0</v>
      </c>
      <c r="BH147" s="99">
        <v>0</v>
      </c>
      <c r="BI147" s="99">
        <v>1</v>
      </c>
      <c r="BJ147" s="99">
        <v>0</v>
      </c>
      <c r="BK147" s="99">
        <v>1</v>
      </c>
      <c r="BL147" s="99">
        <v>0</v>
      </c>
      <c r="BM147" s="99">
        <v>0</v>
      </c>
      <c r="BN147" s="99">
        <v>0</v>
      </c>
      <c r="BO147" s="99">
        <v>0</v>
      </c>
      <c r="BP147" s="99">
        <v>0</v>
      </c>
      <c r="BQ147" s="99">
        <v>1</v>
      </c>
      <c r="BR147" s="99">
        <v>0</v>
      </c>
      <c r="BS147" s="99">
        <v>1</v>
      </c>
      <c r="BT147" s="99">
        <v>1</v>
      </c>
      <c r="BU147" s="99">
        <v>1</v>
      </c>
      <c r="BV147" s="99">
        <v>1</v>
      </c>
      <c r="BW147" s="99">
        <v>0</v>
      </c>
      <c r="BX147" s="99">
        <v>0</v>
      </c>
      <c r="BY147" s="99">
        <v>0</v>
      </c>
      <c r="BZ147" s="99">
        <v>0</v>
      </c>
      <c r="CA147" s="99">
        <v>1</v>
      </c>
      <c r="CB147" s="99">
        <v>0</v>
      </c>
      <c r="CC147" s="99">
        <v>0</v>
      </c>
      <c r="CD147" s="99">
        <v>0</v>
      </c>
      <c r="CE147" s="99">
        <v>0</v>
      </c>
      <c r="CF147" s="99">
        <v>0</v>
      </c>
      <c r="CG147" s="99">
        <v>0</v>
      </c>
      <c r="CH147" s="99">
        <v>0</v>
      </c>
      <c r="CI147" s="99">
        <v>0</v>
      </c>
      <c r="CJ147" s="99">
        <v>0</v>
      </c>
      <c r="CK147" s="99">
        <v>0</v>
      </c>
      <c r="CL147" s="99">
        <v>1</v>
      </c>
      <c r="CM147" s="99">
        <v>1</v>
      </c>
      <c r="CN147" s="99">
        <v>0</v>
      </c>
      <c r="CO147" s="99">
        <v>0</v>
      </c>
      <c r="CP147" s="99">
        <v>0</v>
      </c>
      <c r="CQ147" s="99">
        <v>1</v>
      </c>
      <c r="CR147" s="99">
        <v>0</v>
      </c>
      <c r="CS147" s="98">
        <v>0</v>
      </c>
    </row>
    <row r="148" spans="2:97" x14ac:dyDescent="0.3">
      <c r="B148" s="83" t="s">
        <v>104</v>
      </c>
      <c r="C148" s="99">
        <v>1</v>
      </c>
      <c r="D148" s="99">
        <v>0</v>
      </c>
      <c r="E148" s="99">
        <v>0</v>
      </c>
      <c r="F148" s="99">
        <v>0</v>
      </c>
      <c r="G148" s="99">
        <v>1</v>
      </c>
      <c r="H148" s="99">
        <v>0</v>
      </c>
      <c r="I148" s="99">
        <v>1</v>
      </c>
      <c r="J148" s="99">
        <v>0</v>
      </c>
      <c r="K148" s="99">
        <v>0</v>
      </c>
      <c r="L148" s="99">
        <v>1</v>
      </c>
      <c r="M148" s="99">
        <v>0</v>
      </c>
      <c r="N148" s="99">
        <v>0</v>
      </c>
      <c r="O148" s="99">
        <v>1</v>
      </c>
      <c r="P148" s="99">
        <v>0</v>
      </c>
      <c r="Q148" s="99">
        <v>1</v>
      </c>
      <c r="R148" s="99">
        <v>0</v>
      </c>
      <c r="S148" s="99">
        <v>0</v>
      </c>
      <c r="T148" s="99">
        <v>0</v>
      </c>
      <c r="U148" s="99">
        <v>0</v>
      </c>
      <c r="V148" s="99">
        <v>0</v>
      </c>
      <c r="W148" s="99">
        <v>0</v>
      </c>
      <c r="X148" s="99">
        <v>0</v>
      </c>
      <c r="Y148" s="99">
        <v>0</v>
      </c>
      <c r="Z148" s="99">
        <v>0</v>
      </c>
      <c r="AA148" s="99">
        <v>0</v>
      </c>
      <c r="AB148" s="99">
        <v>0</v>
      </c>
      <c r="AC148" s="99">
        <v>0</v>
      </c>
      <c r="AD148" s="99">
        <v>0</v>
      </c>
      <c r="AE148" s="99">
        <v>1</v>
      </c>
      <c r="AF148" s="99">
        <v>1</v>
      </c>
      <c r="AG148" s="99">
        <v>0</v>
      </c>
      <c r="AH148" s="99">
        <v>1</v>
      </c>
      <c r="AI148" s="99">
        <v>0</v>
      </c>
      <c r="AJ148" s="99">
        <v>1</v>
      </c>
      <c r="AK148" s="99">
        <v>0</v>
      </c>
      <c r="AL148" s="99">
        <v>0</v>
      </c>
      <c r="AM148" s="99">
        <v>1</v>
      </c>
      <c r="AN148" s="99">
        <v>0</v>
      </c>
      <c r="AO148" s="99">
        <v>0</v>
      </c>
      <c r="AP148" s="99">
        <v>0</v>
      </c>
      <c r="AQ148" s="99">
        <v>0</v>
      </c>
      <c r="AR148" s="99">
        <v>0</v>
      </c>
      <c r="AS148" s="99">
        <v>0</v>
      </c>
      <c r="AT148" s="99">
        <v>0</v>
      </c>
      <c r="AU148" s="99">
        <v>1</v>
      </c>
      <c r="AV148" s="99">
        <v>1</v>
      </c>
      <c r="AW148" s="99">
        <v>1</v>
      </c>
      <c r="AX148" s="99">
        <v>0</v>
      </c>
      <c r="AY148" s="99">
        <v>0</v>
      </c>
      <c r="AZ148" s="99">
        <v>0</v>
      </c>
      <c r="BA148" s="99">
        <v>0</v>
      </c>
      <c r="BB148" s="99">
        <v>0</v>
      </c>
      <c r="BC148" s="99">
        <v>1</v>
      </c>
      <c r="BD148" s="99">
        <v>0</v>
      </c>
      <c r="BE148" s="99">
        <v>0</v>
      </c>
      <c r="BF148" s="99">
        <v>0</v>
      </c>
      <c r="BG148" s="99">
        <v>0</v>
      </c>
      <c r="BH148" s="99">
        <v>0</v>
      </c>
      <c r="BI148" s="99">
        <v>0</v>
      </c>
      <c r="BJ148" s="99">
        <v>0</v>
      </c>
      <c r="BK148" s="99">
        <v>0</v>
      </c>
      <c r="BL148" s="99">
        <v>1</v>
      </c>
      <c r="BM148" s="99">
        <v>0</v>
      </c>
      <c r="BN148" s="99">
        <v>0</v>
      </c>
      <c r="BO148" s="99">
        <v>1</v>
      </c>
      <c r="BP148" s="99">
        <v>0</v>
      </c>
      <c r="BQ148" s="99">
        <v>0</v>
      </c>
      <c r="BR148" s="99">
        <v>0</v>
      </c>
      <c r="BS148" s="99">
        <v>0</v>
      </c>
      <c r="BT148" s="99">
        <v>0</v>
      </c>
      <c r="BU148" s="99">
        <v>0</v>
      </c>
      <c r="BV148" s="99">
        <v>0</v>
      </c>
      <c r="BW148" s="99">
        <v>1</v>
      </c>
      <c r="BX148" s="99">
        <v>0</v>
      </c>
      <c r="BY148" s="99">
        <v>0</v>
      </c>
      <c r="BZ148" s="99">
        <v>1</v>
      </c>
      <c r="CA148" s="99">
        <v>0</v>
      </c>
      <c r="CB148" s="99">
        <v>1</v>
      </c>
      <c r="CC148" s="99">
        <v>0</v>
      </c>
      <c r="CD148" s="99">
        <v>0</v>
      </c>
      <c r="CE148" s="99">
        <v>0</v>
      </c>
      <c r="CF148" s="99">
        <v>1</v>
      </c>
      <c r="CG148" s="99">
        <v>0</v>
      </c>
      <c r="CH148" s="99">
        <v>0</v>
      </c>
      <c r="CI148" s="99">
        <v>0</v>
      </c>
      <c r="CJ148" s="99">
        <v>1</v>
      </c>
      <c r="CK148" s="99">
        <v>1</v>
      </c>
      <c r="CL148" s="99">
        <v>0</v>
      </c>
      <c r="CM148" s="99">
        <v>0</v>
      </c>
      <c r="CN148" s="99">
        <v>1</v>
      </c>
      <c r="CO148" s="99">
        <v>0</v>
      </c>
      <c r="CP148" s="99">
        <v>0</v>
      </c>
      <c r="CQ148" s="99">
        <v>0</v>
      </c>
      <c r="CR148" s="99">
        <v>0</v>
      </c>
      <c r="CS148" s="98">
        <v>0</v>
      </c>
    </row>
    <row r="149" spans="2:97" x14ac:dyDescent="0.3">
      <c r="B149" s="83" t="s">
        <v>105</v>
      </c>
      <c r="C149" s="99">
        <v>1</v>
      </c>
      <c r="D149" s="99">
        <v>0</v>
      </c>
      <c r="E149" s="99">
        <v>0</v>
      </c>
      <c r="F149" s="99">
        <v>0</v>
      </c>
      <c r="G149" s="99">
        <v>1</v>
      </c>
      <c r="H149" s="99">
        <v>0</v>
      </c>
      <c r="I149" s="99">
        <v>1</v>
      </c>
      <c r="J149" s="99">
        <v>0</v>
      </c>
      <c r="K149" s="99">
        <v>0</v>
      </c>
      <c r="L149" s="99">
        <v>1</v>
      </c>
      <c r="M149" s="99">
        <v>0</v>
      </c>
      <c r="N149" s="99">
        <v>0</v>
      </c>
      <c r="O149" s="99">
        <v>1</v>
      </c>
      <c r="P149" s="99">
        <v>0</v>
      </c>
      <c r="Q149" s="99">
        <v>1</v>
      </c>
      <c r="R149" s="99">
        <v>0</v>
      </c>
      <c r="S149" s="99">
        <v>0</v>
      </c>
      <c r="T149" s="99">
        <v>0</v>
      </c>
      <c r="U149" s="99">
        <v>0</v>
      </c>
      <c r="V149" s="99">
        <v>0</v>
      </c>
      <c r="W149" s="99">
        <v>0</v>
      </c>
      <c r="X149" s="99">
        <v>0</v>
      </c>
      <c r="Y149" s="99">
        <v>0</v>
      </c>
      <c r="Z149" s="99">
        <v>0</v>
      </c>
      <c r="AA149" s="99">
        <v>0</v>
      </c>
      <c r="AB149" s="99">
        <v>0</v>
      </c>
      <c r="AC149" s="99">
        <v>0</v>
      </c>
      <c r="AD149" s="99">
        <v>0</v>
      </c>
      <c r="AE149" s="99">
        <v>1</v>
      </c>
      <c r="AF149" s="99">
        <v>1</v>
      </c>
      <c r="AG149" s="99">
        <v>0</v>
      </c>
      <c r="AH149" s="99">
        <v>1</v>
      </c>
      <c r="AI149" s="99">
        <v>0</v>
      </c>
      <c r="AJ149" s="99">
        <v>1</v>
      </c>
      <c r="AK149" s="99">
        <v>0</v>
      </c>
      <c r="AL149" s="99">
        <v>0</v>
      </c>
      <c r="AM149" s="99">
        <v>1</v>
      </c>
      <c r="AN149" s="99">
        <v>0</v>
      </c>
      <c r="AO149" s="99">
        <v>0</v>
      </c>
      <c r="AP149" s="99">
        <v>0</v>
      </c>
      <c r="AQ149" s="99">
        <v>0</v>
      </c>
      <c r="AR149" s="99">
        <v>0</v>
      </c>
      <c r="AS149" s="99">
        <v>0</v>
      </c>
      <c r="AT149" s="99">
        <v>0</v>
      </c>
      <c r="AU149" s="99">
        <v>1</v>
      </c>
      <c r="AV149" s="99">
        <v>1</v>
      </c>
      <c r="AW149" s="99">
        <v>1</v>
      </c>
      <c r="AX149" s="99">
        <v>0</v>
      </c>
      <c r="AY149" s="99">
        <v>0</v>
      </c>
      <c r="AZ149" s="99">
        <v>0</v>
      </c>
      <c r="BA149" s="99">
        <v>0</v>
      </c>
      <c r="BB149" s="99">
        <v>0</v>
      </c>
      <c r="BC149" s="99">
        <v>1</v>
      </c>
      <c r="BD149" s="99">
        <v>0</v>
      </c>
      <c r="BE149" s="99">
        <v>0</v>
      </c>
      <c r="BF149" s="99">
        <v>0</v>
      </c>
      <c r="BG149" s="99">
        <v>0</v>
      </c>
      <c r="BH149" s="99">
        <v>0</v>
      </c>
      <c r="BI149" s="99">
        <v>0</v>
      </c>
      <c r="BJ149" s="99">
        <v>0</v>
      </c>
      <c r="BK149" s="99">
        <v>0</v>
      </c>
      <c r="BL149" s="99">
        <v>1</v>
      </c>
      <c r="BM149" s="99">
        <v>0</v>
      </c>
      <c r="BN149" s="99">
        <v>0</v>
      </c>
      <c r="BO149" s="99">
        <v>1</v>
      </c>
      <c r="BP149" s="99">
        <v>0</v>
      </c>
      <c r="BQ149" s="99">
        <v>0</v>
      </c>
      <c r="BR149" s="99">
        <v>0</v>
      </c>
      <c r="BS149" s="99">
        <v>0</v>
      </c>
      <c r="BT149" s="99">
        <v>0</v>
      </c>
      <c r="BU149" s="99">
        <v>0</v>
      </c>
      <c r="BV149" s="99">
        <v>0</v>
      </c>
      <c r="BW149" s="99">
        <v>1</v>
      </c>
      <c r="BX149" s="99">
        <v>0</v>
      </c>
      <c r="BY149" s="99">
        <v>0</v>
      </c>
      <c r="BZ149" s="99">
        <v>1</v>
      </c>
      <c r="CA149" s="99">
        <v>0</v>
      </c>
      <c r="CB149" s="99">
        <v>1</v>
      </c>
      <c r="CC149" s="99">
        <v>0</v>
      </c>
      <c r="CD149" s="99">
        <v>0</v>
      </c>
      <c r="CE149" s="99">
        <v>0</v>
      </c>
      <c r="CF149" s="99">
        <v>1</v>
      </c>
      <c r="CG149" s="99">
        <v>0</v>
      </c>
      <c r="CH149" s="99">
        <v>0</v>
      </c>
      <c r="CI149" s="99">
        <v>0</v>
      </c>
      <c r="CJ149" s="99">
        <v>1</v>
      </c>
      <c r="CK149" s="99">
        <v>1</v>
      </c>
      <c r="CL149" s="99">
        <v>0</v>
      </c>
      <c r="CM149" s="99">
        <v>0</v>
      </c>
      <c r="CN149" s="99">
        <v>1</v>
      </c>
      <c r="CO149" s="99">
        <v>0</v>
      </c>
      <c r="CP149" s="99">
        <v>0</v>
      </c>
      <c r="CQ149" s="99">
        <v>0</v>
      </c>
      <c r="CR149" s="99">
        <v>0</v>
      </c>
      <c r="CS149" s="98">
        <v>0</v>
      </c>
    </row>
    <row r="150" spans="2:97" x14ac:dyDescent="0.3">
      <c r="B150" s="83" t="s">
        <v>106</v>
      </c>
      <c r="C150" s="99">
        <v>1</v>
      </c>
      <c r="D150" s="99">
        <v>0</v>
      </c>
      <c r="E150" s="99">
        <v>0</v>
      </c>
      <c r="F150" s="99">
        <v>0</v>
      </c>
      <c r="G150" s="99">
        <v>1</v>
      </c>
      <c r="H150" s="99">
        <v>0</v>
      </c>
      <c r="I150" s="99">
        <v>1</v>
      </c>
      <c r="J150" s="99">
        <v>0</v>
      </c>
      <c r="K150" s="99">
        <v>0</v>
      </c>
      <c r="L150" s="99">
        <v>1</v>
      </c>
      <c r="M150" s="99">
        <v>0</v>
      </c>
      <c r="N150" s="99">
        <v>0</v>
      </c>
      <c r="O150" s="99">
        <v>1</v>
      </c>
      <c r="P150" s="99">
        <v>0</v>
      </c>
      <c r="Q150" s="99">
        <v>1</v>
      </c>
      <c r="R150" s="99">
        <v>0</v>
      </c>
      <c r="S150" s="99">
        <v>0</v>
      </c>
      <c r="T150" s="99">
        <v>0</v>
      </c>
      <c r="U150" s="99">
        <v>0</v>
      </c>
      <c r="V150" s="99">
        <v>0</v>
      </c>
      <c r="W150" s="99">
        <v>0</v>
      </c>
      <c r="X150" s="99">
        <v>0</v>
      </c>
      <c r="Y150" s="99">
        <v>0</v>
      </c>
      <c r="Z150" s="99">
        <v>0</v>
      </c>
      <c r="AA150" s="99">
        <v>0</v>
      </c>
      <c r="AB150" s="99">
        <v>0</v>
      </c>
      <c r="AC150" s="99">
        <v>0</v>
      </c>
      <c r="AD150" s="99">
        <v>0</v>
      </c>
      <c r="AE150" s="99">
        <v>1</v>
      </c>
      <c r="AF150" s="99">
        <v>1</v>
      </c>
      <c r="AG150" s="99">
        <v>0</v>
      </c>
      <c r="AH150" s="99">
        <v>1</v>
      </c>
      <c r="AI150" s="99">
        <v>0</v>
      </c>
      <c r="AJ150" s="99">
        <v>1</v>
      </c>
      <c r="AK150" s="99">
        <v>0</v>
      </c>
      <c r="AL150" s="99">
        <v>0</v>
      </c>
      <c r="AM150" s="99">
        <v>1</v>
      </c>
      <c r="AN150" s="99">
        <v>0</v>
      </c>
      <c r="AO150" s="99">
        <v>0</v>
      </c>
      <c r="AP150" s="99">
        <v>0</v>
      </c>
      <c r="AQ150" s="99">
        <v>0</v>
      </c>
      <c r="AR150" s="99">
        <v>0</v>
      </c>
      <c r="AS150" s="99">
        <v>0</v>
      </c>
      <c r="AT150" s="99">
        <v>0</v>
      </c>
      <c r="AU150" s="99">
        <v>1</v>
      </c>
      <c r="AV150" s="99">
        <v>1</v>
      </c>
      <c r="AW150" s="99">
        <v>1</v>
      </c>
      <c r="AX150" s="99">
        <v>0</v>
      </c>
      <c r="AY150" s="99">
        <v>0</v>
      </c>
      <c r="AZ150" s="99">
        <v>0</v>
      </c>
      <c r="BA150" s="99">
        <v>0</v>
      </c>
      <c r="BB150" s="99">
        <v>0</v>
      </c>
      <c r="BC150" s="99">
        <v>1</v>
      </c>
      <c r="BD150" s="99">
        <v>0</v>
      </c>
      <c r="BE150" s="99">
        <v>0</v>
      </c>
      <c r="BF150" s="99">
        <v>0</v>
      </c>
      <c r="BG150" s="99">
        <v>0</v>
      </c>
      <c r="BH150" s="99">
        <v>0</v>
      </c>
      <c r="BI150" s="99">
        <v>0</v>
      </c>
      <c r="BJ150" s="99">
        <v>0</v>
      </c>
      <c r="BK150" s="99">
        <v>0</v>
      </c>
      <c r="BL150" s="99">
        <v>1</v>
      </c>
      <c r="BM150" s="99">
        <v>0</v>
      </c>
      <c r="BN150" s="99">
        <v>0</v>
      </c>
      <c r="BO150" s="99">
        <v>1</v>
      </c>
      <c r="BP150" s="99">
        <v>0</v>
      </c>
      <c r="BQ150" s="99">
        <v>0</v>
      </c>
      <c r="BR150" s="99">
        <v>0</v>
      </c>
      <c r="BS150" s="99">
        <v>0</v>
      </c>
      <c r="BT150" s="99">
        <v>0</v>
      </c>
      <c r="BU150" s="99">
        <v>0</v>
      </c>
      <c r="BV150" s="99">
        <v>0</v>
      </c>
      <c r="BW150" s="99">
        <v>1</v>
      </c>
      <c r="BX150" s="99">
        <v>0</v>
      </c>
      <c r="BY150" s="99">
        <v>0</v>
      </c>
      <c r="BZ150" s="99">
        <v>1</v>
      </c>
      <c r="CA150" s="99">
        <v>0</v>
      </c>
      <c r="CB150" s="99">
        <v>1</v>
      </c>
      <c r="CC150" s="99">
        <v>0</v>
      </c>
      <c r="CD150" s="99">
        <v>0</v>
      </c>
      <c r="CE150" s="99">
        <v>0</v>
      </c>
      <c r="CF150" s="99">
        <v>1</v>
      </c>
      <c r="CG150" s="99">
        <v>0</v>
      </c>
      <c r="CH150" s="99">
        <v>0</v>
      </c>
      <c r="CI150" s="99">
        <v>0</v>
      </c>
      <c r="CJ150" s="99">
        <v>1</v>
      </c>
      <c r="CK150" s="99">
        <v>1</v>
      </c>
      <c r="CL150" s="99">
        <v>0</v>
      </c>
      <c r="CM150" s="99">
        <v>0</v>
      </c>
      <c r="CN150" s="99">
        <v>1</v>
      </c>
      <c r="CO150" s="99">
        <v>0</v>
      </c>
      <c r="CP150" s="99">
        <v>0</v>
      </c>
      <c r="CQ150" s="99">
        <v>0</v>
      </c>
      <c r="CR150" s="99">
        <v>0</v>
      </c>
      <c r="CS150" s="98">
        <v>0</v>
      </c>
    </row>
    <row r="151" spans="2:97" x14ac:dyDescent="0.3">
      <c r="B151" s="83" t="s">
        <v>107</v>
      </c>
      <c r="C151" s="99">
        <v>0</v>
      </c>
      <c r="D151" s="99">
        <v>0</v>
      </c>
      <c r="E151" s="99">
        <v>1</v>
      </c>
      <c r="F151" s="99">
        <v>0</v>
      </c>
      <c r="G151" s="99">
        <v>0</v>
      </c>
      <c r="H151" s="99">
        <v>0</v>
      </c>
      <c r="I151" s="99">
        <v>0</v>
      </c>
      <c r="J151" s="99">
        <v>0</v>
      </c>
      <c r="K151" s="99">
        <v>1</v>
      </c>
      <c r="L151" s="99">
        <v>0</v>
      </c>
      <c r="M151" s="99">
        <v>0</v>
      </c>
      <c r="N151" s="99">
        <v>1</v>
      </c>
      <c r="O151" s="99">
        <v>0</v>
      </c>
      <c r="P151" s="99">
        <v>0</v>
      </c>
      <c r="Q151" s="99">
        <v>0</v>
      </c>
      <c r="R151" s="99">
        <v>0</v>
      </c>
      <c r="S151" s="99">
        <v>1</v>
      </c>
      <c r="T151" s="99">
        <v>0</v>
      </c>
      <c r="U151" s="99">
        <v>0</v>
      </c>
      <c r="V151" s="99">
        <v>1</v>
      </c>
      <c r="W151" s="99">
        <v>0</v>
      </c>
      <c r="X151" s="99">
        <v>0</v>
      </c>
      <c r="Y151" s="99">
        <v>1</v>
      </c>
      <c r="Z151" s="99">
        <v>1</v>
      </c>
      <c r="AA151" s="99">
        <v>0</v>
      </c>
      <c r="AB151" s="99">
        <v>0</v>
      </c>
      <c r="AC151" s="99">
        <v>1</v>
      </c>
      <c r="AD151" s="99">
        <v>0</v>
      </c>
      <c r="AE151" s="99">
        <v>0</v>
      </c>
      <c r="AF151" s="99">
        <v>0</v>
      </c>
      <c r="AG151" s="99">
        <v>0</v>
      </c>
      <c r="AH151" s="99">
        <v>0</v>
      </c>
      <c r="AI151" s="99">
        <v>0</v>
      </c>
      <c r="AJ151" s="99">
        <v>0</v>
      </c>
      <c r="AK151" s="99">
        <v>1</v>
      </c>
      <c r="AL151" s="99">
        <v>1</v>
      </c>
      <c r="AM151" s="99">
        <v>0</v>
      </c>
      <c r="AN151" s="99">
        <v>1</v>
      </c>
      <c r="AO151" s="99">
        <v>1</v>
      </c>
      <c r="AP151" s="99">
        <v>1</v>
      </c>
      <c r="AQ151" s="99">
        <v>0</v>
      </c>
      <c r="AR151" s="99">
        <v>0</v>
      </c>
      <c r="AS151" s="99">
        <v>0</v>
      </c>
      <c r="AT151" s="99">
        <v>0</v>
      </c>
      <c r="AU151" s="99">
        <v>0</v>
      </c>
      <c r="AV151" s="99">
        <v>0</v>
      </c>
      <c r="AW151" s="99">
        <v>0</v>
      </c>
      <c r="AX151" s="99">
        <v>1</v>
      </c>
      <c r="AY151" s="99">
        <v>1</v>
      </c>
      <c r="AZ151" s="99">
        <v>0</v>
      </c>
      <c r="BA151" s="99">
        <v>0</v>
      </c>
      <c r="BB151" s="99">
        <v>0</v>
      </c>
      <c r="BC151" s="99">
        <v>0</v>
      </c>
      <c r="BD151" s="99">
        <v>0</v>
      </c>
      <c r="BE151" s="99">
        <v>1</v>
      </c>
      <c r="BF151" s="99">
        <v>0</v>
      </c>
      <c r="BG151" s="99">
        <v>0</v>
      </c>
      <c r="BH151" s="99">
        <v>0</v>
      </c>
      <c r="BI151" s="99">
        <v>0</v>
      </c>
      <c r="BJ151" s="99">
        <v>1</v>
      </c>
      <c r="BK151" s="99">
        <v>0</v>
      </c>
      <c r="BL151" s="99">
        <v>0</v>
      </c>
      <c r="BM151" s="99">
        <v>0</v>
      </c>
      <c r="BN151" s="99">
        <v>0</v>
      </c>
      <c r="BO151" s="99">
        <v>0</v>
      </c>
      <c r="BP151" s="99">
        <v>1</v>
      </c>
      <c r="BQ151" s="99">
        <v>0</v>
      </c>
      <c r="BR151" s="99">
        <v>0</v>
      </c>
      <c r="BS151" s="99">
        <v>0</v>
      </c>
      <c r="BT151" s="99">
        <v>0</v>
      </c>
      <c r="BU151" s="99">
        <v>0</v>
      </c>
      <c r="BV151" s="99">
        <v>0</v>
      </c>
      <c r="BW151" s="99">
        <v>0</v>
      </c>
      <c r="BX151" s="99">
        <v>0</v>
      </c>
      <c r="BY151" s="99">
        <v>0</v>
      </c>
      <c r="BZ151" s="99">
        <v>0</v>
      </c>
      <c r="CA151" s="99">
        <v>0</v>
      </c>
      <c r="CB151" s="99">
        <v>0</v>
      </c>
      <c r="CC151" s="99">
        <v>1</v>
      </c>
      <c r="CD151" s="99">
        <v>0</v>
      </c>
      <c r="CE151" s="99">
        <v>0</v>
      </c>
      <c r="CF151" s="99">
        <v>0</v>
      </c>
      <c r="CG151" s="99">
        <v>0</v>
      </c>
      <c r="CH151" s="99">
        <v>1</v>
      </c>
      <c r="CI151" s="99">
        <v>0</v>
      </c>
      <c r="CJ151" s="99">
        <v>0</v>
      </c>
      <c r="CK151" s="99">
        <v>0</v>
      </c>
      <c r="CL151" s="99">
        <v>0</v>
      </c>
      <c r="CM151" s="99">
        <v>0</v>
      </c>
      <c r="CN151" s="99">
        <v>0</v>
      </c>
      <c r="CO151" s="99">
        <v>0</v>
      </c>
      <c r="CP151" s="99">
        <v>1</v>
      </c>
      <c r="CQ151" s="99">
        <v>0</v>
      </c>
      <c r="CR151" s="99">
        <v>0</v>
      </c>
      <c r="CS151" s="98">
        <v>0</v>
      </c>
    </row>
    <row r="152" spans="2:97" x14ac:dyDescent="0.3">
      <c r="B152" s="83" t="s">
        <v>108</v>
      </c>
      <c r="C152" s="99">
        <v>0</v>
      </c>
      <c r="D152" s="99">
        <v>0</v>
      </c>
      <c r="E152" s="99">
        <v>1</v>
      </c>
      <c r="F152" s="99">
        <v>0</v>
      </c>
      <c r="G152" s="99">
        <v>0</v>
      </c>
      <c r="H152" s="99">
        <v>0</v>
      </c>
      <c r="I152" s="99">
        <v>0</v>
      </c>
      <c r="J152" s="99">
        <v>0</v>
      </c>
      <c r="K152" s="99">
        <v>1</v>
      </c>
      <c r="L152" s="99">
        <v>0</v>
      </c>
      <c r="M152" s="99">
        <v>0</v>
      </c>
      <c r="N152" s="99">
        <v>1</v>
      </c>
      <c r="O152" s="99">
        <v>0</v>
      </c>
      <c r="P152" s="99">
        <v>0</v>
      </c>
      <c r="Q152" s="99">
        <v>0</v>
      </c>
      <c r="R152" s="99">
        <v>0</v>
      </c>
      <c r="S152" s="99">
        <v>1</v>
      </c>
      <c r="T152" s="99">
        <v>0</v>
      </c>
      <c r="U152" s="99">
        <v>0</v>
      </c>
      <c r="V152" s="99">
        <v>1</v>
      </c>
      <c r="W152" s="99">
        <v>0</v>
      </c>
      <c r="X152" s="99">
        <v>0</v>
      </c>
      <c r="Y152" s="99">
        <v>1</v>
      </c>
      <c r="Z152" s="99">
        <v>1</v>
      </c>
      <c r="AA152" s="99">
        <v>0</v>
      </c>
      <c r="AB152" s="99">
        <v>0</v>
      </c>
      <c r="AC152" s="99">
        <v>1</v>
      </c>
      <c r="AD152" s="99">
        <v>0</v>
      </c>
      <c r="AE152" s="99">
        <v>0</v>
      </c>
      <c r="AF152" s="99">
        <v>0</v>
      </c>
      <c r="AG152" s="99">
        <v>0</v>
      </c>
      <c r="AH152" s="99">
        <v>0</v>
      </c>
      <c r="AI152" s="99">
        <v>0</v>
      </c>
      <c r="AJ152" s="99">
        <v>0</v>
      </c>
      <c r="AK152" s="99">
        <v>1</v>
      </c>
      <c r="AL152" s="99">
        <v>1</v>
      </c>
      <c r="AM152" s="99">
        <v>0</v>
      </c>
      <c r="AN152" s="99">
        <v>1</v>
      </c>
      <c r="AO152" s="99">
        <v>1</v>
      </c>
      <c r="AP152" s="99">
        <v>1</v>
      </c>
      <c r="AQ152" s="99">
        <v>0</v>
      </c>
      <c r="AR152" s="99">
        <v>0</v>
      </c>
      <c r="AS152" s="99">
        <v>0</v>
      </c>
      <c r="AT152" s="99">
        <v>0</v>
      </c>
      <c r="AU152" s="99">
        <v>0</v>
      </c>
      <c r="AV152" s="99">
        <v>0</v>
      </c>
      <c r="AW152" s="99">
        <v>0</v>
      </c>
      <c r="AX152" s="99">
        <v>1</v>
      </c>
      <c r="AY152" s="99">
        <v>1</v>
      </c>
      <c r="AZ152" s="99">
        <v>0</v>
      </c>
      <c r="BA152" s="99">
        <v>0</v>
      </c>
      <c r="BB152" s="99">
        <v>0</v>
      </c>
      <c r="BC152" s="99">
        <v>0</v>
      </c>
      <c r="BD152" s="99">
        <v>0</v>
      </c>
      <c r="BE152" s="99">
        <v>1</v>
      </c>
      <c r="BF152" s="99">
        <v>0</v>
      </c>
      <c r="BG152" s="99">
        <v>0</v>
      </c>
      <c r="BH152" s="99">
        <v>0</v>
      </c>
      <c r="BI152" s="99">
        <v>0</v>
      </c>
      <c r="BJ152" s="99">
        <v>1</v>
      </c>
      <c r="BK152" s="99">
        <v>0</v>
      </c>
      <c r="BL152" s="99">
        <v>0</v>
      </c>
      <c r="BM152" s="99">
        <v>0</v>
      </c>
      <c r="BN152" s="99">
        <v>0</v>
      </c>
      <c r="BO152" s="99">
        <v>0</v>
      </c>
      <c r="BP152" s="99">
        <v>1</v>
      </c>
      <c r="BQ152" s="99">
        <v>0</v>
      </c>
      <c r="BR152" s="99">
        <v>0</v>
      </c>
      <c r="BS152" s="99">
        <v>0</v>
      </c>
      <c r="BT152" s="99">
        <v>0</v>
      </c>
      <c r="BU152" s="99">
        <v>0</v>
      </c>
      <c r="BV152" s="99">
        <v>0</v>
      </c>
      <c r="BW152" s="99">
        <v>0</v>
      </c>
      <c r="BX152" s="99">
        <v>0</v>
      </c>
      <c r="BY152" s="99">
        <v>0</v>
      </c>
      <c r="BZ152" s="99">
        <v>0</v>
      </c>
      <c r="CA152" s="99">
        <v>0</v>
      </c>
      <c r="CB152" s="99">
        <v>0</v>
      </c>
      <c r="CC152" s="99">
        <v>1</v>
      </c>
      <c r="CD152" s="99">
        <v>0</v>
      </c>
      <c r="CE152" s="99">
        <v>0</v>
      </c>
      <c r="CF152" s="99">
        <v>0</v>
      </c>
      <c r="CG152" s="99">
        <v>0</v>
      </c>
      <c r="CH152" s="99">
        <v>1</v>
      </c>
      <c r="CI152" s="99">
        <v>0</v>
      </c>
      <c r="CJ152" s="99">
        <v>0</v>
      </c>
      <c r="CK152" s="99">
        <v>0</v>
      </c>
      <c r="CL152" s="99">
        <v>0</v>
      </c>
      <c r="CM152" s="99">
        <v>0</v>
      </c>
      <c r="CN152" s="99">
        <v>0</v>
      </c>
      <c r="CO152" s="99">
        <v>0</v>
      </c>
      <c r="CP152" s="99">
        <v>1</v>
      </c>
      <c r="CQ152" s="99">
        <v>0</v>
      </c>
      <c r="CR152" s="99">
        <v>0</v>
      </c>
      <c r="CS152" s="98">
        <v>0</v>
      </c>
    </row>
    <row r="153" spans="2:97" x14ac:dyDescent="0.3">
      <c r="B153" s="83" t="s">
        <v>109</v>
      </c>
      <c r="C153" s="99">
        <v>0</v>
      </c>
      <c r="D153" s="99">
        <v>1</v>
      </c>
      <c r="E153" s="99">
        <v>0</v>
      </c>
      <c r="F153" s="99">
        <v>0</v>
      </c>
      <c r="G153" s="99">
        <v>0</v>
      </c>
      <c r="H153" s="99">
        <v>0</v>
      </c>
      <c r="I153" s="99">
        <v>0</v>
      </c>
      <c r="J153" s="99">
        <v>0</v>
      </c>
      <c r="K153" s="99">
        <v>0</v>
      </c>
      <c r="L153" s="99">
        <v>0</v>
      </c>
      <c r="M153" s="99">
        <v>1</v>
      </c>
      <c r="N153" s="99">
        <v>0</v>
      </c>
      <c r="O153" s="99">
        <v>0</v>
      </c>
      <c r="P153" s="99">
        <v>0</v>
      </c>
      <c r="Q153" s="99">
        <v>0</v>
      </c>
      <c r="R153" s="99">
        <v>0</v>
      </c>
      <c r="S153" s="99">
        <v>0</v>
      </c>
      <c r="T153" s="99">
        <v>0</v>
      </c>
      <c r="U153" s="99">
        <v>1</v>
      </c>
      <c r="V153" s="99">
        <v>0</v>
      </c>
      <c r="W153" s="99">
        <v>0</v>
      </c>
      <c r="X153" s="99">
        <v>1</v>
      </c>
      <c r="Y153" s="99">
        <v>0</v>
      </c>
      <c r="Z153" s="99">
        <v>0</v>
      </c>
      <c r="AA153" s="99">
        <v>0</v>
      </c>
      <c r="AB153" s="99">
        <v>0</v>
      </c>
      <c r="AC153" s="99">
        <v>0</v>
      </c>
      <c r="AD153" s="99">
        <v>1</v>
      </c>
      <c r="AE153" s="99">
        <v>0</v>
      </c>
      <c r="AF153" s="99">
        <v>0</v>
      </c>
      <c r="AG153" s="99">
        <v>0</v>
      </c>
      <c r="AH153" s="99">
        <v>0</v>
      </c>
      <c r="AI153" s="99">
        <v>0</v>
      </c>
      <c r="AJ153" s="99">
        <v>0</v>
      </c>
      <c r="AK153" s="99">
        <v>0</v>
      </c>
      <c r="AL153" s="99">
        <v>0</v>
      </c>
      <c r="AM153" s="99">
        <v>0</v>
      </c>
      <c r="AN153" s="99">
        <v>0</v>
      </c>
      <c r="AO153" s="99">
        <v>0</v>
      </c>
      <c r="AP153" s="99">
        <v>0</v>
      </c>
      <c r="AQ153" s="99">
        <v>1</v>
      </c>
      <c r="AR153" s="99">
        <v>1</v>
      </c>
      <c r="AS153" s="99">
        <v>1</v>
      </c>
      <c r="AT153" s="99">
        <v>0</v>
      </c>
      <c r="AU153" s="99">
        <v>0</v>
      </c>
      <c r="AV153" s="99">
        <v>0</v>
      </c>
      <c r="AW153" s="99">
        <v>0</v>
      </c>
      <c r="AX153" s="99">
        <v>0</v>
      </c>
      <c r="AY153" s="99">
        <v>0</v>
      </c>
      <c r="AZ153" s="99">
        <v>1</v>
      </c>
      <c r="BA153" s="99">
        <v>1</v>
      </c>
      <c r="BB153" s="99">
        <v>1</v>
      </c>
      <c r="BC153" s="99">
        <v>0</v>
      </c>
      <c r="BD153" s="99">
        <v>1</v>
      </c>
      <c r="BE153" s="99">
        <v>0</v>
      </c>
      <c r="BF153" s="99">
        <v>0</v>
      </c>
      <c r="BG153" s="99">
        <v>1</v>
      </c>
      <c r="BH153" s="99">
        <v>1</v>
      </c>
      <c r="BI153" s="99">
        <v>0</v>
      </c>
      <c r="BJ153" s="99">
        <v>0</v>
      </c>
      <c r="BK153" s="99">
        <v>0</v>
      </c>
      <c r="BL153" s="99">
        <v>0</v>
      </c>
      <c r="BM153" s="99">
        <v>1</v>
      </c>
      <c r="BN153" s="99">
        <v>1</v>
      </c>
      <c r="BO153" s="99">
        <v>0</v>
      </c>
      <c r="BP153" s="99">
        <v>0</v>
      </c>
      <c r="BQ153" s="99">
        <v>0</v>
      </c>
      <c r="BR153" s="99">
        <v>1</v>
      </c>
      <c r="BS153" s="99">
        <v>0</v>
      </c>
      <c r="BT153" s="99">
        <v>0</v>
      </c>
      <c r="BU153" s="99">
        <v>0</v>
      </c>
      <c r="BV153" s="99">
        <v>0</v>
      </c>
      <c r="BW153" s="99">
        <v>0</v>
      </c>
      <c r="BX153" s="99">
        <v>1</v>
      </c>
      <c r="BY153" s="99">
        <v>1</v>
      </c>
      <c r="BZ153" s="99">
        <v>0</v>
      </c>
      <c r="CA153" s="99">
        <v>0</v>
      </c>
      <c r="CB153" s="99">
        <v>0</v>
      </c>
      <c r="CC153" s="99">
        <v>0</v>
      </c>
      <c r="CD153" s="99">
        <v>1</v>
      </c>
      <c r="CE153" s="99">
        <v>1</v>
      </c>
      <c r="CF153" s="99">
        <v>0</v>
      </c>
      <c r="CG153" s="99">
        <v>1</v>
      </c>
      <c r="CH153" s="99">
        <v>0</v>
      </c>
      <c r="CI153" s="99">
        <v>1</v>
      </c>
      <c r="CJ153" s="99">
        <v>0</v>
      </c>
      <c r="CK153" s="99">
        <v>0</v>
      </c>
      <c r="CL153" s="99">
        <v>0</v>
      </c>
      <c r="CM153" s="99">
        <v>0</v>
      </c>
      <c r="CN153" s="99">
        <v>0</v>
      </c>
      <c r="CO153" s="99">
        <v>1</v>
      </c>
      <c r="CP153" s="99">
        <v>0</v>
      </c>
      <c r="CQ153" s="99">
        <v>0</v>
      </c>
      <c r="CR153" s="99">
        <v>1</v>
      </c>
      <c r="CS153" s="98">
        <v>1</v>
      </c>
    </row>
    <row r="154" spans="2:97" x14ac:dyDescent="0.3">
      <c r="B154" s="83" t="s">
        <v>110</v>
      </c>
      <c r="C154" s="99">
        <v>0</v>
      </c>
      <c r="D154" s="99">
        <v>1</v>
      </c>
      <c r="E154" s="99">
        <v>0</v>
      </c>
      <c r="F154" s="99">
        <v>0</v>
      </c>
      <c r="G154" s="99">
        <v>0</v>
      </c>
      <c r="H154" s="99">
        <v>0</v>
      </c>
      <c r="I154" s="99">
        <v>0</v>
      </c>
      <c r="J154" s="99">
        <v>0</v>
      </c>
      <c r="K154" s="99">
        <v>0</v>
      </c>
      <c r="L154" s="99">
        <v>0</v>
      </c>
      <c r="M154" s="99">
        <v>1</v>
      </c>
      <c r="N154" s="99">
        <v>0</v>
      </c>
      <c r="O154" s="99">
        <v>0</v>
      </c>
      <c r="P154" s="99">
        <v>0</v>
      </c>
      <c r="Q154" s="99">
        <v>0</v>
      </c>
      <c r="R154" s="99">
        <v>0</v>
      </c>
      <c r="S154" s="99">
        <v>0</v>
      </c>
      <c r="T154" s="99">
        <v>0</v>
      </c>
      <c r="U154" s="99">
        <v>1</v>
      </c>
      <c r="V154" s="99">
        <v>0</v>
      </c>
      <c r="W154" s="99">
        <v>0</v>
      </c>
      <c r="X154" s="99">
        <v>1</v>
      </c>
      <c r="Y154" s="99">
        <v>0</v>
      </c>
      <c r="Z154" s="99">
        <v>0</v>
      </c>
      <c r="AA154" s="99">
        <v>0</v>
      </c>
      <c r="AB154" s="99">
        <v>0</v>
      </c>
      <c r="AC154" s="99">
        <v>0</v>
      </c>
      <c r="AD154" s="99">
        <v>1</v>
      </c>
      <c r="AE154" s="99">
        <v>0</v>
      </c>
      <c r="AF154" s="99">
        <v>0</v>
      </c>
      <c r="AG154" s="99">
        <v>0</v>
      </c>
      <c r="AH154" s="99">
        <v>0</v>
      </c>
      <c r="AI154" s="99">
        <v>0</v>
      </c>
      <c r="AJ154" s="99">
        <v>0</v>
      </c>
      <c r="AK154" s="99">
        <v>0</v>
      </c>
      <c r="AL154" s="99">
        <v>0</v>
      </c>
      <c r="AM154" s="99">
        <v>0</v>
      </c>
      <c r="AN154" s="99">
        <v>0</v>
      </c>
      <c r="AO154" s="99">
        <v>0</v>
      </c>
      <c r="AP154" s="99">
        <v>0</v>
      </c>
      <c r="AQ154" s="99">
        <v>1</v>
      </c>
      <c r="AR154" s="99">
        <v>1</v>
      </c>
      <c r="AS154" s="99">
        <v>1</v>
      </c>
      <c r="AT154" s="99">
        <v>0</v>
      </c>
      <c r="AU154" s="99">
        <v>0</v>
      </c>
      <c r="AV154" s="99">
        <v>0</v>
      </c>
      <c r="AW154" s="99">
        <v>0</v>
      </c>
      <c r="AX154" s="99">
        <v>0</v>
      </c>
      <c r="AY154" s="99">
        <v>0</v>
      </c>
      <c r="AZ154" s="99">
        <v>1</v>
      </c>
      <c r="BA154" s="99">
        <v>1</v>
      </c>
      <c r="BB154" s="99">
        <v>1</v>
      </c>
      <c r="BC154" s="99">
        <v>0</v>
      </c>
      <c r="BD154" s="99">
        <v>1</v>
      </c>
      <c r="BE154" s="99">
        <v>0</v>
      </c>
      <c r="BF154" s="99">
        <v>0</v>
      </c>
      <c r="BG154" s="99">
        <v>1</v>
      </c>
      <c r="BH154" s="99">
        <v>1</v>
      </c>
      <c r="BI154" s="99">
        <v>0</v>
      </c>
      <c r="BJ154" s="99">
        <v>0</v>
      </c>
      <c r="BK154" s="99">
        <v>0</v>
      </c>
      <c r="BL154" s="99">
        <v>0</v>
      </c>
      <c r="BM154" s="99">
        <v>1</v>
      </c>
      <c r="BN154" s="99">
        <v>1</v>
      </c>
      <c r="BO154" s="99">
        <v>0</v>
      </c>
      <c r="BP154" s="99">
        <v>0</v>
      </c>
      <c r="BQ154" s="99">
        <v>0</v>
      </c>
      <c r="BR154" s="99">
        <v>1</v>
      </c>
      <c r="BS154" s="99">
        <v>0</v>
      </c>
      <c r="BT154" s="99">
        <v>0</v>
      </c>
      <c r="BU154" s="99">
        <v>0</v>
      </c>
      <c r="BV154" s="99">
        <v>0</v>
      </c>
      <c r="BW154" s="99">
        <v>0</v>
      </c>
      <c r="BX154" s="99">
        <v>1</v>
      </c>
      <c r="BY154" s="99">
        <v>1</v>
      </c>
      <c r="BZ154" s="99">
        <v>0</v>
      </c>
      <c r="CA154" s="99">
        <v>0</v>
      </c>
      <c r="CB154" s="99">
        <v>0</v>
      </c>
      <c r="CC154" s="99">
        <v>0</v>
      </c>
      <c r="CD154" s="99">
        <v>1</v>
      </c>
      <c r="CE154" s="99">
        <v>1</v>
      </c>
      <c r="CF154" s="99">
        <v>0</v>
      </c>
      <c r="CG154" s="99">
        <v>1</v>
      </c>
      <c r="CH154" s="99">
        <v>0</v>
      </c>
      <c r="CI154" s="99">
        <v>1</v>
      </c>
      <c r="CJ154" s="99">
        <v>0</v>
      </c>
      <c r="CK154" s="99">
        <v>0</v>
      </c>
      <c r="CL154" s="99">
        <v>0</v>
      </c>
      <c r="CM154" s="99">
        <v>0</v>
      </c>
      <c r="CN154" s="99">
        <v>0</v>
      </c>
      <c r="CO154" s="99">
        <v>1</v>
      </c>
      <c r="CP154" s="99">
        <v>0</v>
      </c>
      <c r="CQ154" s="99">
        <v>0</v>
      </c>
      <c r="CR154" s="99">
        <v>1</v>
      </c>
      <c r="CS154" s="98">
        <v>1</v>
      </c>
    </row>
    <row r="155" spans="2:97" x14ac:dyDescent="0.3">
      <c r="B155" s="83" t="s">
        <v>111</v>
      </c>
      <c r="C155" s="99">
        <v>0</v>
      </c>
      <c r="D155" s="99">
        <v>1</v>
      </c>
      <c r="E155" s="99">
        <v>0</v>
      </c>
      <c r="F155" s="99">
        <v>0</v>
      </c>
      <c r="G155" s="99">
        <v>0</v>
      </c>
      <c r="H155" s="99">
        <v>0</v>
      </c>
      <c r="I155" s="99">
        <v>0</v>
      </c>
      <c r="J155" s="99">
        <v>0</v>
      </c>
      <c r="K155" s="99">
        <v>0</v>
      </c>
      <c r="L155" s="99">
        <v>0</v>
      </c>
      <c r="M155" s="99">
        <v>1</v>
      </c>
      <c r="N155" s="99">
        <v>0</v>
      </c>
      <c r="O155" s="99">
        <v>0</v>
      </c>
      <c r="P155" s="99">
        <v>0</v>
      </c>
      <c r="Q155" s="99">
        <v>0</v>
      </c>
      <c r="R155" s="99">
        <v>0</v>
      </c>
      <c r="S155" s="99">
        <v>0</v>
      </c>
      <c r="T155" s="99">
        <v>0</v>
      </c>
      <c r="U155" s="99">
        <v>1</v>
      </c>
      <c r="V155" s="99">
        <v>0</v>
      </c>
      <c r="W155" s="99">
        <v>0</v>
      </c>
      <c r="X155" s="99">
        <v>1</v>
      </c>
      <c r="Y155" s="99">
        <v>0</v>
      </c>
      <c r="Z155" s="99">
        <v>0</v>
      </c>
      <c r="AA155" s="99">
        <v>0</v>
      </c>
      <c r="AB155" s="99">
        <v>0</v>
      </c>
      <c r="AC155" s="99">
        <v>0</v>
      </c>
      <c r="AD155" s="99">
        <v>1</v>
      </c>
      <c r="AE155" s="99">
        <v>0</v>
      </c>
      <c r="AF155" s="99">
        <v>0</v>
      </c>
      <c r="AG155" s="99">
        <v>0</v>
      </c>
      <c r="AH155" s="99">
        <v>0</v>
      </c>
      <c r="AI155" s="99">
        <v>0</v>
      </c>
      <c r="AJ155" s="99">
        <v>0</v>
      </c>
      <c r="AK155" s="99">
        <v>0</v>
      </c>
      <c r="AL155" s="99">
        <v>0</v>
      </c>
      <c r="AM155" s="99">
        <v>0</v>
      </c>
      <c r="AN155" s="99">
        <v>0</v>
      </c>
      <c r="AO155" s="99">
        <v>0</v>
      </c>
      <c r="AP155" s="99">
        <v>0</v>
      </c>
      <c r="AQ155" s="99">
        <v>1</v>
      </c>
      <c r="AR155" s="99">
        <v>1</v>
      </c>
      <c r="AS155" s="99">
        <v>1</v>
      </c>
      <c r="AT155" s="99">
        <v>0</v>
      </c>
      <c r="AU155" s="99">
        <v>0</v>
      </c>
      <c r="AV155" s="99">
        <v>0</v>
      </c>
      <c r="AW155" s="99">
        <v>0</v>
      </c>
      <c r="AX155" s="99">
        <v>0</v>
      </c>
      <c r="AY155" s="99">
        <v>0</v>
      </c>
      <c r="AZ155" s="99">
        <v>1</v>
      </c>
      <c r="BA155" s="99">
        <v>1</v>
      </c>
      <c r="BB155" s="99">
        <v>1</v>
      </c>
      <c r="BC155" s="99">
        <v>0</v>
      </c>
      <c r="BD155" s="99">
        <v>1</v>
      </c>
      <c r="BE155" s="99">
        <v>0</v>
      </c>
      <c r="BF155" s="99">
        <v>0</v>
      </c>
      <c r="BG155" s="99">
        <v>1</v>
      </c>
      <c r="BH155" s="99">
        <v>1</v>
      </c>
      <c r="BI155" s="99">
        <v>0</v>
      </c>
      <c r="BJ155" s="99">
        <v>0</v>
      </c>
      <c r="BK155" s="99">
        <v>0</v>
      </c>
      <c r="BL155" s="99">
        <v>0</v>
      </c>
      <c r="BM155" s="99">
        <v>1</v>
      </c>
      <c r="BN155" s="99">
        <v>1</v>
      </c>
      <c r="BO155" s="99">
        <v>0</v>
      </c>
      <c r="BP155" s="99">
        <v>0</v>
      </c>
      <c r="BQ155" s="99">
        <v>0</v>
      </c>
      <c r="BR155" s="99">
        <v>1</v>
      </c>
      <c r="BS155" s="99">
        <v>0</v>
      </c>
      <c r="BT155" s="99">
        <v>0</v>
      </c>
      <c r="BU155" s="99">
        <v>0</v>
      </c>
      <c r="BV155" s="99">
        <v>0</v>
      </c>
      <c r="BW155" s="99">
        <v>0</v>
      </c>
      <c r="BX155" s="99">
        <v>1</v>
      </c>
      <c r="BY155" s="99">
        <v>1</v>
      </c>
      <c r="BZ155" s="99">
        <v>0</v>
      </c>
      <c r="CA155" s="99">
        <v>0</v>
      </c>
      <c r="CB155" s="99">
        <v>0</v>
      </c>
      <c r="CC155" s="99">
        <v>0</v>
      </c>
      <c r="CD155" s="99">
        <v>1</v>
      </c>
      <c r="CE155" s="99">
        <v>1</v>
      </c>
      <c r="CF155" s="99">
        <v>0</v>
      </c>
      <c r="CG155" s="99">
        <v>1</v>
      </c>
      <c r="CH155" s="99">
        <v>0</v>
      </c>
      <c r="CI155" s="99">
        <v>1</v>
      </c>
      <c r="CJ155" s="99">
        <v>0</v>
      </c>
      <c r="CK155" s="99">
        <v>0</v>
      </c>
      <c r="CL155" s="99">
        <v>0</v>
      </c>
      <c r="CM155" s="99">
        <v>0</v>
      </c>
      <c r="CN155" s="99">
        <v>0</v>
      </c>
      <c r="CO155" s="99">
        <v>1</v>
      </c>
      <c r="CP155" s="99">
        <v>0</v>
      </c>
      <c r="CQ155" s="99">
        <v>0</v>
      </c>
      <c r="CR155" s="99">
        <v>1</v>
      </c>
      <c r="CS155" s="98">
        <v>1</v>
      </c>
    </row>
    <row r="156" spans="2:97" x14ac:dyDescent="0.3">
      <c r="B156" s="83" t="s">
        <v>112</v>
      </c>
      <c r="C156" s="99">
        <v>1</v>
      </c>
      <c r="D156" s="99">
        <v>0</v>
      </c>
      <c r="E156" s="99">
        <v>0</v>
      </c>
      <c r="F156" s="99">
        <v>0</v>
      </c>
      <c r="G156" s="99">
        <v>1</v>
      </c>
      <c r="H156" s="99">
        <v>0</v>
      </c>
      <c r="I156" s="99">
        <v>1</v>
      </c>
      <c r="J156" s="99">
        <v>0</v>
      </c>
      <c r="K156" s="99">
        <v>0</v>
      </c>
      <c r="L156" s="99">
        <v>1</v>
      </c>
      <c r="M156" s="99">
        <v>0</v>
      </c>
      <c r="N156" s="99">
        <v>0</v>
      </c>
      <c r="O156" s="99">
        <v>1</v>
      </c>
      <c r="P156" s="99">
        <v>0</v>
      </c>
      <c r="Q156" s="99">
        <v>1</v>
      </c>
      <c r="R156" s="99">
        <v>0</v>
      </c>
      <c r="S156" s="99">
        <v>0</v>
      </c>
      <c r="T156" s="99">
        <v>0</v>
      </c>
      <c r="U156" s="99">
        <v>0</v>
      </c>
      <c r="V156" s="99">
        <v>0</v>
      </c>
      <c r="W156" s="99">
        <v>0</v>
      </c>
      <c r="X156" s="99">
        <v>0</v>
      </c>
      <c r="Y156" s="99">
        <v>0</v>
      </c>
      <c r="Z156" s="99">
        <v>0</v>
      </c>
      <c r="AA156" s="99">
        <v>0</v>
      </c>
      <c r="AB156" s="99">
        <v>0</v>
      </c>
      <c r="AC156" s="99">
        <v>0</v>
      </c>
      <c r="AD156" s="99">
        <v>0</v>
      </c>
      <c r="AE156" s="99">
        <v>1</v>
      </c>
      <c r="AF156" s="99">
        <v>1</v>
      </c>
      <c r="AG156" s="99">
        <v>0</v>
      </c>
      <c r="AH156" s="99">
        <v>1</v>
      </c>
      <c r="AI156" s="99">
        <v>0</v>
      </c>
      <c r="AJ156" s="99">
        <v>1</v>
      </c>
      <c r="AK156" s="99">
        <v>0</v>
      </c>
      <c r="AL156" s="99">
        <v>0</v>
      </c>
      <c r="AM156" s="99">
        <v>1</v>
      </c>
      <c r="AN156" s="99">
        <v>0</v>
      </c>
      <c r="AO156" s="99">
        <v>0</v>
      </c>
      <c r="AP156" s="99">
        <v>0</v>
      </c>
      <c r="AQ156" s="99">
        <v>0</v>
      </c>
      <c r="AR156" s="99">
        <v>0</v>
      </c>
      <c r="AS156" s="99">
        <v>0</v>
      </c>
      <c r="AT156" s="99">
        <v>0</v>
      </c>
      <c r="AU156" s="99">
        <v>1</v>
      </c>
      <c r="AV156" s="99">
        <v>1</v>
      </c>
      <c r="AW156" s="99">
        <v>1</v>
      </c>
      <c r="AX156" s="99">
        <v>0</v>
      </c>
      <c r="AY156" s="99">
        <v>0</v>
      </c>
      <c r="AZ156" s="99">
        <v>0</v>
      </c>
      <c r="BA156" s="99">
        <v>0</v>
      </c>
      <c r="BB156" s="99">
        <v>0</v>
      </c>
      <c r="BC156" s="99">
        <v>1</v>
      </c>
      <c r="BD156" s="99">
        <v>0</v>
      </c>
      <c r="BE156" s="99">
        <v>0</v>
      </c>
      <c r="BF156" s="99">
        <v>0</v>
      </c>
      <c r="BG156" s="99">
        <v>0</v>
      </c>
      <c r="BH156" s="99">
        <v>0</v>
      </c>
      <c r="BI156" s="99">
        <v>0</v>
      </c>
      <c r="BJ156" s="99">
        <v>0</v>
      </c>
      <c r="BK156" s="99">
        <v>0</v>
      </c>
      <c r="BL156" s="99">
        <v>1</v>
      </c>
      <c r="BM156" s="99">
        <v>0</v>
      </c>
      <c r="BN156" s="99">
        <v>0</v>
      </c>
      <c r="BO156" s="99">
        <v>1</v>
      </c>
      <c r="BP156" s="99">
        <v>0</v>
      </c>
      <c r="BQ156" s="99">
        <v>0</v>
      </c>
      <c r="BR156" s="99">
        <v>0</v>
      </c>
      <c r="BS156" s="99">
        <v>0</v>
      </c>
      <c r="BT156" s="99">
        <v>0</v>
      </c>
      <c r="BU156" s="99">
        <v>0</v>
      </c>
      <c r="BV156" s="99">
        <v>0</v>
      </c>
      <c r="BW156" s="99">
        <v>1</v>
      </c>
      <c r="BX156" s="99">
        <v>0</v>
      </c>
      <c r="BY156" s="99">
        <v>0</v>
      </c>
      <c r="BZ156" s="99">
        <v>1</v>
      </c>
      <c r="CA156" s="99">
        <v>0</v>
      </c>
      <c r="CB156" s="99">
        <v>1</v>
      </c>
      <c r="CC156" s="99">
        <v>0</v>
      </c>
      <c r="CD156" s="99">
        <v>0</v>
      </c>
      <c r="CE156" s="99">
        <v>0</v>
      </c>
      <c r="CF156" s="99">
        <v>1</v>
      </c>
      <c r="CG156" s="99">
        <v>0</v>
      </c>
      <c r="CH156" s="99">
        <v>0</v>
      </c>
      <c r="CI156" s="99">
        <v>0</v>
      </c>
      <c r="CJ156" s="99">
        <v>1</v>
      </c>
      <c r="CK156" s="99">
        <v>1</v>
      </c>
      <c r="CL156" s="99">
        <v>0</v>
      </c>
      <c r="CM156" s="99">
        <v>0</v>
      </c>
      <c r="CN156" s="99">
        <v>1</v>
      </c>
      <c r="CO156" s="99">
        <v>0</v>
      </c>
      <c r="CP156" s="99">
        <v>0</v>
      </c>
      <c r="CQ156" s="99">
        <v>0</v>
      </c>
      <c r="CR156" s="99">
        <v>0</v>
      </c>
      <c r="CS156" s="98">
        <v>0</v>
      </c>
    </row>
    <row r="157" spans="2:97" x14ac:dyDescent="0.3">
      <c r="B157" s="83" t="s">
        <v>115</v>
      </c>
      <c r="C157" s="99">
        <v>0</v>
      </c>
      <c r="D157" s="99">
        <v>1</v>
      </c>
      <c r="E157" s="99">
        <v>0</v>
      </c>
      <c r="F157" s="99">
        <v>0</v>
      </c>
      <c r="G157" s="99">
        <v>0</v>
      </c>
      <c r="H157" s="99">
        <v>0</v>
      </c>
      <c r="I157" s="99">
        <v>0</v>
      </c>
      <c r="J157" s="99">
        <v>0</v>
      </c>
      <c r="K157" s="99">
        <v>0</v>
      </c>
      <c r="L157" s="99">
        <v>0</v>
      </c>
      <c r="M157" s="99">
        <v>1</v>
      </c>
      <c r="N157" s="99">
        <v>0</v>
      </c>
      <c r="O157" s="99">
        <v>0</v>
      </c>
      <c r="P157" s="99">
        <v>0</v>
      </c>
      <c r="Q157" s="99">
        <v>0</v>
      </c>
      <c r="R157" s="99">
        <v>0</v>
      </c>
      <c r="S157" s="99">
        <v>0</v>
      </c>
      <c r="T157" s="99">
        <v>0</v>
      </c>
      <c r="U157" s="99">
        <v>1</v>
      </c>
      <c r="V157" s="99">
        <v>0</v>
      </c>
      <c r="W157" s="99">
        <v>0</v>
      </c>
      <c r="X157" s="99">
        <v>1</v>
      </c>
      <c r="Y157" s="99">
        <v>0</v>
      </c>
      <c r="Z157" s="99">
        <v>0</v>
      </c>
      <c r="AA157" s="99">
        <v>0</v>
      </c>
      <c r="AB157" s="99">
        <v>0</v>
      </c>
      <c r="AC157" s="99">
        <v>0</v>
      </c>
      <c r="AD157" s="99">
        <v>1</v>
      </c>
      <c r="AE157" s="99">
        <v>0</v>
      </c>
      <c r="AF157" s="99">
        <v>0</v>
      </c>
      <c r="AG157" s="99">
        <v>0</v>
      </c>
      <c r="AH157" s="99">
        <v>0</v>
      </c>
      <c r="AI157" s="99">
        <v>0</v>
      </c>
      <c r="AJ157" s="99">
        <v>0</v>
      </c>
      <c r="AK157" s="99">
        <v>0</v>
      </c>
      <c r="AL157" s="99">
        <v>0</v>
      </c>
      <c r="AM157" s="99">
        <v>0</v>
      </c>
      <c r="AN157" s="99">
        <v>0</v>
      </c>
      <c r="AO157" s="99">
        <v>0</v>
      </c>
      <c r="AP157" s="99">
        <v>0</v>
      </c>
      <c r="AQ157" s="99">
        <v>1</v>
      </c>
      <c r="AR157" s="99">
        <v>1</v>
      </c>
      <c r="AS157" s="99">
        <v>1</v>
      </c>
      <c r="AT157" s="99">
        <v>0</v>
      </c>
      <c r="AU157" s="99">
        <v>0</v>
      </c>
      <c r="AV157" s="99">
        <v>0</v>
      </c>
      <c r="AW157" s="99">
        <v>0</v>
      </c>
      <c r="AX157" s="99">
        <v>0</v>
      </c>
      <c r="AY157" s="99">
        <v>0</v>
      </c>
      <c r="AZ157" s="99">
        <v>1</v>
      </c>
      <c r="BA157" s="99">
        <v>1</v>
      </c>
      <c r="BB157" s="99">
        <v>1</v>
      </c>
      <c r="BC157" s="99">
        <v>0</v>
      </c>
      <c r="BD157" s="99">
        <v>1</v>
      </c>
      <c r="BE157" s="99">
        <v>0</v>
      </c>
      <c r="BF157" s="99">
        <v>0</v>
      </c>
      <c r="BG157" s="99">
        <v>1</v>
      </c>
      <c r="BH157" s="99">
        <v>1</v>
      </c>
      <c r="BI157" s="99">
        <v>0</v>
      </c>
      <c r="BJ157" s="99">
        <v>0</v>
      </c>
      <c r="BK157" s="99">
        <v>0</v>
      </c>
      <c r="BL157" s="99">
        <v>0</v>
      </c>
      <c r="BM157" s="99">
        <v>1</v>
      </c>
      <c r="BN157" s="99">
        <v>1</v>
      </c>
      <c r="BO157" s="99">
        <v>0</v>
      </c>
      <c r="BP157" s="99">
        <v>0</v>
      </c>
      <c r="BQ157" s="99">
        <v>0</v>
      </c>
      <c r="BR157" s="99">
        <v>1</v>
      </c>
      <c r="BS157" s="99">
        <v>0</v>
      </c>
      <c r="BT157" s="99">
        <v>0</v>
      </c>
      <c r="BU157" s="99">
        <v>0</v>
      </c>
      <c r="BV157" s="99">
        <v>0</v>
      </c>
      <c r="BW157" s="99">
        <v>0</v>
      </c>
      <c r="BX157" s="99">
        <v>1</v>
      </c>
      <c r="BY157" s="99">
        <v>1</v>
      </c>
      <c r="BZ157" s="99">
        <v>0</v>
      </c>
      <c r="CA157" s="99">
        <v>0</v>
      </c>
      <c r="CB157" s="99">
        <v>0</v>
      </c>
      <c r="CC157" s="99">
        <v>0</v>
      </c>
      <c r="CD157" s="99">
        <v>1</v>
      </c>
      <c r="CE157" s="99">
        <v>1</v>
      </c>
      <c r="CF157" s="99">
        <v>0</v>
      </c>
      <c r="CG157" s="99">
        <v>1</v>
      </c>
      <c r="CH157" s="99">
        <v>0</v>
      </c>
      <c r="CI157" s="99">
        <v>1</v>
      </c>
      <c r="CJ157" s="99">
        <v>0</v>
      </c>
      <c r="CK157" s="99">
        <v>0</v>
      </c>
      <c r="CL157" s="99">
        <v>0</v>
      </c>
      <c r="CM157" s="99">
        <v>0</v>
      </c>
      <c r="CN157" s="99">
        <v>0</v>
      </c>
      <c r="CO157" s="99">
        <v>1</v>
      </c>
      <c r="CP157" s="99">
        <v>0</v>
      </c>
      <c r="CQ157" s="99">
        <v>0</v>
      </c>
      <c r="CR157" s="99">
        <v>1</v>
      </c>
      <c r="CS157" s="98">
        <v>1</v>
      </c>
    </row>
    <row r="158" spans="2:97" x14ac:dyDescent="0.3">
      <c r="B158" s="83" t="s">
        <v>116</v>
      </c>
      <c r="C158" s="99">
        <v>0</v>
      </c>
      <c r="D158" s="99">
        <v>0</v>
      </c>
      <c r="E158" s="99">
        <v>1</v>
      </c>
      <c r="F158" s="99">
        <v>0</v>
      </c>
      <c r="G158" s="99">
        <v>0</v>
      </c>
      <c r="H158" s="99">
        <v>0</v>
      </c>
      <c r="I158" s="99">
        <v>0</v>
      </c>
      <c r="J158" s="99">
        <v>0</v>
      </c>
      <c r="K158" s="99">
        <v>1</v>
      </c>
      <c r="L158" s="99">
        <v>0</v>
      </c>
      <c r="M158" s="99">
        <v>0</v>
      </c>
      <c r="N158" s="99">
        <v>1</v>
      </c>
      <c r="O158" s="99">
        <v>0</v>
      </c>
      <c r="P158" s="99">
        <v>0</v>
      </c>
      <c r="Q158" s="99">
        <v>0</v>
      </c>
      <c r="R158" s="99">
        <v>0</v>
      </c>
      <c r="S158" s="99">
        <v>1</v>
      </c>
      <c r="T158" s="99">
        <v>0</v>
      </c>
      <c r="U158" s="99">
        <v>0</v>
      </c>
      <c r="V158" s="99">
        <v>1</v>
      </c>
      <c r="W158" s="99">
        <v>0</v>
      </c>
      <c r="X158" s="99">
        <v>0</v>
      </c>
      <c r="Y158" s="99">
        <v>1</v>
      </c>
      <c r="Z158" s="99">
        <v>1</v>
      </c>
      <c r="AA158" s="99">
        <v>0</v>
      </c>
      <c r="AB158" s="99">
        <v>0</v>
      </c>
      <c r="AC158" s="99">
        <v>1</v>
      </c>
      <c r="AD158" s="99">
        <v>0</v>
      </c>
      <c r="AE158" s="99">
        <v>0</v>
      </c>
      <c r="AF158" s="99">
        <v>0</v>
      </c>
      <c r="AG158" s="99">
        <v>0</v>
      </c>
      <c r="AH158" s="99">
        <v>0</v>
      </c>
      <c r="AI158" s="99">
        <v>0</v>
      </c>
      <c r="AJ158" s="99">
        <v>0</v>
      </c>
      <c r="AK158" s="99">
        <v>1</v>
      </c>
      <c r="AL158" s="99">
        <v>1</v>
      </c>
      <c r="AM158" s="99">
        <v>0</v>
      </c>
      <c r="AN158" s="99">
        <v>1</v>
      </c>
      <c r="AO158" s="99">
        <v>1</v>
      </c>
      <c r="AP158" s="99">
        <v>1</v>
      </c>
      <c r="AQ158" s="99">
        <v>0</v>
      </c>
      <c r="AR158" s="99">
        <v>0</v>
      </c>
      <c r="AS158" s="99">
        <v>0</v>
      </c>
      <c r="AT158" s="99">
        <v>0</v>
      </c>
      <c r="AU158" s="99">
        <v>0</v>
      </c>
      <c r="AV158" s="99">
        <v>0</v>
      </c>
      <c r="AW158" s="99">
        <v>0</v>
      </c>
      <c r="AX158" s="99">
        <v>1</v>
      </c>
      <c r="AY158" s="99">
        <v>1</v>
      </c>
      <c r="AZ158" s="99">
        <v>0</v>
      </c>
      <c r="BA158" s="99">
        <v>0</v>
      </c>
      <c r="BB158" s="99">
        <v>0</v>
      </c>
      <c r="BC158" s="99">
        <v>0</v>
      </c>
      <c r="BD158" s="99">
        <v>0</v>
      </c>
      <c r="BE158" s="99">
        <v>1</v>
      </c>
      <c r="BF158" s="99">
        <v>0</v>
      </c>
      <c r="BG158" s="99">
        <v>0</v>
      </c>
      <c r="BH158" s="99">
        <v>0</v>
      </c>
      <c r="BI158" s="99">
        <v>0</v>
      </c>
      <c r="BJ158" s="99">
        <v>1</v>
      </c>
      <c r="BK158" s="99">
        <v>0</v>
      </c>
      <c r="BL158" s="99">
        <v>0</v>
      </c>
      <c r="BM158" s="99">
        <v>0</v>
      </c>
      <c r="BN158" s="99">
        <v>0</v>
      </c>
      <c r="BO158" s="99">
        <v>0</v>
      </c>
      <c r="BP158" s="99">
        <v>1</v>
      </c>
      <c r="BQ158" s="99">
        <v>0</v>
      </c>
      <c r="BR158" s="99">
        <v>0</v>
      </c>
      <c r="BS158" s="99">
        <v>0</v>
      </c>
      <c r="BT158" s="99">
        <v>0</v>
      </c>
      <c r="BU158" s="99">
        <v>0</v>
      </c>
      <c r="BV158" s="99">
        <v>0</v>
      </c>
      <c r="BW158" s="99">
        <v>0</v>
      </c>
      <c r="BX158" s="99">
        <v>0</v>
      </c>
      <c r="BY158" s="99">
        <v>0</v>
      </c>
      <c r="BZ158" s="99">
        <v>0</v>
      </c>
      <c r="CA158" s="99">
        <v>0</v>
      </c>
      <c r="CB158" s="99">
        <v>0</v>
      </c>
      <c r="CC158" s="99">
        <v>1</v>
      </c>
      <c r="CD158" s="99">
        <v>0</v>
      </c>
      <c r="CE158" s="99">
        <v>0</v>
      </c>
      <c r="CF158" s="99">
        <v>0</v>
      </c>
      <c r="CG158" s="99">
        <v>0</v>
      </c>
      <c r="CH158" s="99">
        <v>1</v>
      </c>
      <c r="CI158" s="99">
        <v>0</v>
      </c>
      <c r="CJ158" s="99">
        <v>0</v>
      </c>
      <c r="CK158" s="99">
        <v>0</v>
      </c>
      <c r="CL158" s="99">
        <v>0</v>
      </c>
      <c r="CM158" s="99">
        <v>0</v>
      </c>
      <c r="CN158" s="99">
        <v>0</v>
      </c>
      <c r="CO158" s="99">
        <v>0</v>
      </c>
      <c r="CP158" s="99">
        <v>1</v>
      </c>
      <c r="CQ158" s="99">
        <v>0</v>
      </c>
      <c r="CR158" s="99">
        <v>0</v>
      </c>
      <c r="CS158" s="98">
        <v>0</v>
      </c>
    </row>
    <row r="159" spans="2:97" x14ac:dyDescent="0.3">
      <c r="B159" s="83" t="s">
        <v>117</v>
      </c>
      <c r="C159" s="99">
        <v>0</v>
      </c>
      <c r="D159" s="99">
        <v>0</v>
      </c>
      <c r="E159" s="99">
        <v>0</v>
      </c>
      <c r="F159" s="99">
        <v>1</v>
      </c>
      <c r="G159" s="99">
        <v>0</v>
      </c>
      <c r="H159" s="99">
        <v>1</v>
      </c>
      <c r="I159" s="99">
        <v>0</v>
      </c>
      <c r="J159" s="99">
        <v>1</v>
      </c>
      <c r="K159" s="99">
        <v>0</v>
      </c>
      <c r="L159" s="99">
        <v>0</v>
      </c>
      <c r="M159" s="99">
        <v>0</v>
      </c>
      <c r="N159" s="99">
        <v>0</v>
      </c>
      <c r="O159" s="99">
        <v>0</v>
      </c>
      <c r="P159" s="99">
        <v>1</v>
      </c>
      <c r="Q159" s="99">
        <v>0</v>
      </c>
      <c r="R159" s="99">
        <v>1</v>
      </c>
      <c r="S159" s="99">
        <v>0</v>
      </c>
      <c r="T159" s="99">
        <v>1</v>
      </c>
      <c r="U159" s="99">
        <v>0</v>
      </c>
      <c r="V159" s="99">
        <v>0</v>
      </c>
      <c r="W159" s="99">
        <v>1</v>
      </c>
      <c r="X159" s="99">
        <v>0</v>
      </c>
      <c r="Y159" s="99">
        <v>0</v>
      </c>
      <c r="Z159" s="99">
        <v>0</v>
      </c>
      <c r="AA159" s="99">
        <v>1</v>
      </c>
      <c r="AB159" s="99">
        <v>1</v>
      </c>
      <c r="AC159" s="99">
        <v>0</v>
      </c>
      <c r="AD159" s="99">
        <v>0</v>
      </c>
      <c r="AE159" s="99">
        <v>0</v>
      </c>
      <c r="AF159" s="99">
        <v>0</v>
      </c>
      <c r="AG159" s="99">
        <v>1</v>
      </c>
      <c r="AH159" s="99">
        <v>0</v>
      </c>
      <c r="AI159" s="99">
        <v>1</v>
      </c>
      <c r="AJ159" s="99">
        <v>0</v>
      </c>
      <c r="AK159" s="99">
        <v>0</v>
      </c>
      <c r="AL159" s="99">
        <v>0</v>
      </c>
      <c r="AM159" s="99">
        <v>0</v>
      </c>
      <c r="AN159" s="99">
        <v>0</v>
      </c>
      <c r="AO159" s="99">
        <v>0</v>
      </c>
      <c r="AP159" s="99">
        <v>0</v>
      </c>
      <c r="AQ159" s="99">
        <v>0</v>
      </c>
      <c r="AR159" s="99">
        <v>0</v>
      </c>
      <c r="AS159" s="99">
        <v>0</v>
      </c>
      <c r="AT159" s="99">
        <v>1</v>
      </c>
      <c r="AU159" s="99">
        <v>0</v>
      </c>
      <c r="AV159" s="99">
        <v>0</v>
      </c>
      <c r="AW159" s="99">
        <v>0</v>
      </c>
      <c r="AX159" s="99">
        <v>0</v>
      </c>
      <c r="AY159" s="99">
        <v>0</v>
      </c>
      <c r="AZ159" s="99">
        <v>0</v>
      </c>
      <c r="BA159" s="99">
        <v>0</v>
      </c>
      <c r="BB159" s="99">
        <v>0</v>
      </c>
      <c r="BC159" s="99">
        <v>0</v>
      </c>
      <c r="BD159" s="99">
        <v>0</v>
      </c>
      <c r="BE159" s="99">
        <v>0</v>
      </c>
      <c r="BF159" s="99">
        <v>1</v>
      </c>
      <c r="BG159" s="99">
        <v>0</v>
      </c>
      <c r="BH159" s="99">
        <v>0</v>
      </c>
      <c r="BI159" s="99">
        <v>1</v>
      </c>
      <c r="BJ159" s="99">
        <v>0</v>
      </c>
      <c r="BK159" s="99">
        <v>1</v>
      </c>
      <c r="BL159" s="99">
        <v>0</v>
      </c>
      <c r="BM159" s="99">
        <v>0</v>
      </c>
      <c r="BN159" s="99">
        <v>0</v>
      </c>
      <c r="BO159" s="99">
        <v>0</v>
      </c>
      <c r="BP159" s="99">
        <v>0</v>
      </c>
      <c r="BQ159" s="99">
        <v>1</v>
      </c>
      <c r="BR159" s="99">
        <v>0</v>
      </c>
      <c r="BS159" s="99">
        <v>1</v>
      </c>
      <c r="BT159" s="99">
        <v>1</v>
      </c>
      <c r="BU159" s="99">
        <v>1</v>
      </c>
      <c r="BV159" s="99">
        <v>1</v>
      </c>
      <c r="BW159" s="99">
        <v>0</v>
      </c>
      <c r="BX159" s="99">
        <v>0</v>
      </c>
      <c r="BY159" s="99">
        <v>0</v>
      </c>
      <c r="BZ159" s="99">
        <v>0</v>
      </c>
      <c r="CA159" s="99">
        <v>1</v>
      </c>
      <c r="CB159" s="99">
        <v>0</v>
      </c>
      <c r="CC159" s="99">
        <v>0</v>
      </c>
      <c r="CD159" s="99">
        <v>0</v>
      </c>
      <c r="CE159" s="99">
        <v>0</v>
      </c>
      <c r="CF159" s="99">
        <v>0</v>
      </c>
      <c r="CG159" s="99">
        <v>0</v>
      </c>
      <c r="CH159" s="99">
        <v>0</v>
      </c>
      <c r="CI159" s="99">
        <v>0</v>
      </c>
      <c r="CJ159" s="99">
        <v>0</v>
      </c>
      <c r="CK159" s="99">
        <v>0</v>
      </c>
      <c r="CL159" s="99">
        <v>1</v>
      </c>
      <c r="CM159" s="99">
        <v>1</v>
      </c>
      <c r="CN159" s="99">
        <v>0</v>
      </c>
      <c r="CO159" s="99">
        <v>0</v>
      </c>
      <c r="CP159" s="99">
        <v>0</v>
      </c>
      <c r="CQ159" s="99">
        <v>1</v>
      </c>
      <c r="CR159" s="99">
        <v>0</v>
      </c>
      <c r="CS159" s="98">
        <v>0</v>
      </c>
    </row>
    <row r="160" spans="2:97" x14ac:dyDescent="0.3">
      <c r="B160" s="83" t="s">
        <v>118</v>
      </c>
      <c r="C160" s="99">
        <v>0</v>
      </c>
      <c r="D160" s="99">
        <v>1</v>
      </c>
      <c r="E160" s="99">
        <v>0</v>
      </c>
      <c r="F160" s="99">
        <v>0</v>
      </c>
      <c r="G160" s="99">
        <v>0</v>
      </c>
      <c r="H160" s="99">
        <v>0</v>
      </c>
      <c r="I160" s="99">
        <v>0</v>
      </c>
      <c r="J160" s="99">
        <v>0</v>
      </c>
      <c r="K160" s="99">
        <v>0</v>
      </c>
      <c r="L160" s="99">
        <v>0</v>
      </c>
      <c r="M160" s="99">
        <v>1</v>
      </c>
      <c r="N160" s="99">
        <v>0</v>
      </c>
      <c r="O160" s="99">
        <v>0</v>
      </c>
      <c r="P160" s="99">
        <v>0</v>
      </c>
      <c r="Q160" s="99">
        <v>0</v>
      </c>
      <c r="R160" s="99">
        <v>0</v>
      </c>
      <c r="S160" s="99">
        <v>0</v>
      </c>
      <c r="T160" s="99">
        <v>0</v>
      </c>
      <c r="U160" s="99">
        <v>1</v>
      </c>
      <c r="V160" s="99">
        <v>0</v>
      </c>
      <c r="W160" s="99">
        <v>0</v>
      </c>
      <c r="X160" s="99">
        <v>1</v>
      </c>
      <c r="Y160" s="99">
        <v>0</v>
      </c>
      <c r="Z160" s="99">
        <v>0</v>
      </c>
      <c r="AA160" s="99">
        <v>0</v>
      </c>
      <c r="AB160" s="99">
        <v>0</v>
      </c>
      <c r="AC160" s="99">
        <v>0</v>
      </c>
      <c r="AD160" s="99">
        <v>1</v>
      </c>
      <c r="AE160" s="99">
        <v>0</v>
      </c>
      <c r="AF160" s="99">
        <v>0</v>
      </c>
      <c r="AG160" s="99">
        <v>0</v>
      </c>
      <c r="AH160" s="99">
        <v>0</v>
      </c>
      <c r="AI160" s="99">
        <v>0</v>
      </c>
      <c r="AJ160" s="99">
        <v>0</v>
      </c>
      <c r="AK160" s="99">
        <v>0</v>
      </c>
      <c r="AL160" s="99">
        <v>0</v>
      </c>
      <c r="AM160" s="99">
        <v>0</v>
      </c>
      <c r="AN160" s="99">
        <v>0</v>
      </c>
      <c r="AO160" s="99">
        <v>0</v>
      </c>
      <c r="AP160" s="99">
        <v>0</v>
      </c>
      <c r="AQ160" s="99">
        <v>1</v>
      </c>
      <c r="AR160" s="99">
        <v>1</v>
      </c>
      <c r="AS160" s="99">
        <v>1</v>
      </c>
      <c r="AT160" s="99">
        <v>0</v>
      </c>
      <c r="AU160" s="99">
        <v>0</v>
      </c>
      <c r="AV160" s="99">
        <v>0</v>
      </c>
      <c r="AW160" s="99">
        <v>0</v>
      </c>
      <c r="AX160" s="99">
        <v>0</v>
      </c>
      <c r="AY160" s="99">
        <v>0</v>
      </c>
      <c r="AZ160" s="99">
        <v>1</v>
      </c>
      <c r="BA160" s="99">
        <v>1</v>
      </c>
      <c r="BB160" s="99">
        <v>1</v>
      </c>
      <c r="BC160" s="99">
        <v>0</v>
      </c>
      <c r="BD160" s="99">
        <v>1</v>
      </c>
      <c r="BE160" s="99">
        <v>0</v>
      </c>
      <c r="BF160" s="99">
        <v>0</v>
      </c>
      <c r="BG160" s="99">
        <v>1</v>
      </c>
      <c r="BH160" s="99">
        <v>1</v>
      </c>
      <c r="BI160" s="99">
        <v>0</v>
      </c>
      <c r="BJ160" s="99">
        <v>0</v>
      </c>
      <c r="BK160" s="99">
        <v>0</v>
      </c>
      <c r="BL160" s="99">
        <v>0</v>
      </c>
      <c r="BM160" s="99">
        <v>1</v>
      </c>
      <c r="BN160" s="99">
        <v>1</v>
      </c>
      <c r="BO160" s="99">
        <v>0</v>
      </c>
      <c r="BP160" s="99">
        <v>0</v>
      </c>
      <c r="BQ160" s="99">
        <v>0</v>
      </c>
      <c r="BR160" s="99">
        <v>1</v>
      </c>
      <c r="BS160" s="99">
        <v>0</v>
      </c>
      <c r="BT160" s="99">
        <v>0</v>
      </c>
      <c r="BU160" s="99">
        <v>0</v>
      </c>
      <c r="BV160" s="99">
        <v>0</v>
      </c>
      <c r="BW160" s="99">
        <v>0</v>
      </c>
      <c r="BX160" s="99">
        <v>1</v>
      </c>
      <c r="BY160" s="99">
        <v>1</v>
      </c>
      <c r="BZ160" s="99">
        <v>0</v>
      </c>
      <c r="CA160" s="99">
        <v>0</v>
      </c>
      <c r="CB160" s="99">
        <v>0</v>
      </c>
      <c r="CC160" s="99">
        <v>0</v>
      </c>
      <c r="CD160" s="99">
        <v>1</v>
      </c>
      <c r="CE160" s="99">
        <v>1</v>
      </c>
      <c r="CF160" s="99">
        <v>0</v>
      </c>
      <c r="CG160" s="99">
        <v>1</v>
      </c>
      <c r="CH160" s="99">
        <v>0</v>
      </c>
      <c r="CI160" s="99">
        <v>1</v>
      </c>
      <c r="CJ160" s="99">
        <v>0</v>
      </c>
      <c r="CK160" s="99">
        <v>0</v>
      </c>
      <c r="CL160" s="99">
        <v>0</v>
      </c>
      <c r="CM160" s="99">
        <v>0</v>
      </c>
      <c r="CN160" s="99">
        <v>0</v>
      </c>
      <c r="CO160" s="99">
        <v>1</v>
      </c>
      <c r="CP160" s="99">
        <v>0</v>
      </c>
      <c r="CQ160" s="99">
        <v>0</v>
      </c>
      <c r="CR160" s="99">
        <v>1</v>
      </c>
      <c r="CS160" s="98">
        <v>1</v>
      </c>
    </row>
    <row r="161" spans="2:97" x14ac:dyDescent="0.3">
      <c r="B161" s="83" t="s">
        <v>119</v>
      </c>
      <c r="C161" s="99">
        <v>0</v>
      </c>
      <c r="D161" s="99">
        <v>1</v>
      </c>
      <c r="E161" s="99">
        <v>0</v>
      </c>
      <c r="F161" s="99">
        <v>0</v>
      </c>
      <c r="G161" s="99">
        <v>0</v>
      </c>
      <c r="H161" s="99">
        <v>0</v>
      </c>
      <c r="I161" s="99">
        <v>0</v>
      </c>
      <c r="J161" s="99">
        <v>0</v>
      </c>
      <c r="K161" s="99">
        <v>0</v>
      </c>
      <c r="L161" s="99">
        <v>0</v>
      </c>
      <c r="M161" s="99">
        <v>1</v>
      </c>
      <c r="N161" s="99">
        <v>0</v>
      </c>
      <c r="O161" s="99">
        <v>0</v>
      </c>
      <c r="P161" s="99">
        <v>0</v>
      </c>
      <c r="Q161" s="99">
        <v>0</v>
      </c>
      <c r="R161" s="99">
        <v>0</v>
      </c>
      <c r="S161" s="99">
        <v>0</v>
      </c>
      <c r="T161" s="99">
        <v>0</v>
      </c>
      <c r="U161" s="99">
        <v>1</v>
      </c>
      <c r="V161" s="99">
        <v>0</v>
      </c>
      <c r="W161" s="99">
        <v>0</v>
      </c>
      <c r="X161" s="99">
        <v>1</v>
      </c>
      <c r="Y161" s="99">
        <v>0</v>
      </c>
      <c r="Z161" s="99">
        <v>0</v>
      </c>
      <c r="AA161" s="99">
        <v>0</v>
      </c>
      <c r="AB161" s="99">
        <v>0</v>
      </c>
      <c r="AC161" s="99">
        <v>0</v>
      </c>
      <c r="AD161" s="99">
        <v>1</v>
      </c>
      <c r="AE161" s="99">
        <v>0</v>
      </c>
      <c r="AF161" s="99">
        <v>0</v>
      </c>
      <c r="AG161" s="99">
        <v>0</v>
      </c>
      <c r="AH161" s="99">
        <v>0</v>
      </c>
      <c r="AI161" s="99">
        <v>0</v>
      </c>
      <c r="AJ161" s="99">
        <v>0</v>
      </c>
      <c r="AK161" s="99">
        <v>0</v>
      </c>
      <c r="AL161" s="99">
        <v>0</v>
      </c>
      <c r="AM161" s="99">
        <v>0</v>
      </c>
      <c r="AN161" s="99">
        <v>0</v>
      </c>
      <c r="AO161" s="99">
        <v>0</v>
      </c>
      <c r="AP161" s="99">
        <v>0</v>
      </c>
      <c r="AQ161" s="99">
        <v>1</v>
      </c>
      <c r="AR161" s="99">
        <v>1</v>
      </c>
      <c r="AS161" s="99">
        <v>1</v>
      </c>
      <c r="AT161" s="99">
        <v>0</v>
      </c>
      <c r="AU161" s="99">
        <v>0</v>
      </c>
      <c r="AV161" s="99">
        <v>0</v>
      </c>
      <c r="AW161" s="99">
        <v>0</v>
      </c>
      <c r="AX161" s="99">
        <v>0</v>
      </c>
      <c r="AY161" s="99">
        <v>0</v>
      </c>
      <c r="AZ161" s="99">
        <v>1</v>
      </c>
      <c r="BA161" s="99">
        <v>1</v>
      </c>
      <c r="BB161" s="99">
        <v>1</v>
      </c>
      <c r="BC161" s="99">
        <v>0</v>
      </c>
      <c r="BD161" s="99">
        <v>1</v>
      </c>
      <c r="BE161" s="99">
        <v>0</v>
      </c>
      <c r="BF161" s="99">
        <v>0</v>
      </c>
      <c r="BG161" s="99">
        <v>1</v>
      </c>
      <c r="BH161" s="99">
        <v>1</v>
      </c>
      <c r="BI161" s="99">
        <v>0</v>
      </c>
      <c r="BJ161" s="99">
        <v>0</v>
      </c>
      <c r="BK161" s="99">
        <v>0</v>
      </c>
      <c r="BL161" s="99">
        <v>0</v>
      </c>
      <c r="BM161" s="99">
        <v>1</v>
      </c>
      <c r="BN161" s="99">
        <v>1</v>
      </c>
      <c r="BO161" s="99">
        <v>0</v>
      </c>
      <c r="BP161" s="99">
        <v>0</v>
      </c>
      <c r="BQ161" s="99">
        <v>0</v>
      </c>
      <c r="BR161" s="99">
        <v>1</v>
      </c>
      <c r="BS161" s="99">
        <v>0</v>
      </c>
      <c r="BT161" s="99">
        <v>0</v>
      </c>
      <c r="BU161" s="99">
        <v>0</v>
      </c>
      <c r="BV161" s="99">
        <v>0</v>
      </c>
      <c r="BW161" s="99">
        <v>0</v>
      </c>
      <c r="BX161" s="99">
        <v>1</v>
      </c>
      <c r="BY161" s="99">
        <v>1</v>
      </c>
      <c r="BZ161" s="99">
        <v>0</v>
      </c>
      <c r="CA161" s="99">
        <v>0</v>
      </c>
      <c r="CB161" s="99">
        <v>0</v>
      </c>
      <c r="CC161" s="99">
        <v>0</v>
      </c>
      <c r="CD161" s="99">
        <v>1</v>
      </c>
      <c r="CE161" s="99">
        <v>1</v>
      </c>
      <c r="CF161" s="99">
        <v>0</v>
      </c>
      <c r="CG161" s="99">
        <v>1</v>
      </c>
      <c r="CH161" s="99">
        <v>0</v>
      </c>
      <c r="CI161" s="99">
        <v>1</v>
      </c>
      <c r="CJ161" s="99">
        <v>0</v>
      </c>
      <c r="CK161" s="99">
        <v>0</v>
      </c>
      <c r="CL161" s="99">
        <v>0</v>
      </c>
      <c r="CM161" s="99">
        <v>0</v>
      </c>
      <c r="CN161" s="99">
        <v>0</v>
      </c>
      <c r="CO161" s="99">
        <v>1</v>
      </c>
      <c r="CP161" s="99">
        <v>0</v>
      </c>
      <c r="CQ161" s="99">
        <v>0</v>
      </c>
      <c r="CR161" s="99">
        <v>1</v>
      </c>
      <c r="CS161" s="98">
        <v>1</v>
      </c>
    </row>
    <row r="162" spans="2:97" x14ac:dyDescent="0.3">
      <c r="B162" s="83" t="s">
        <v>113</v>
      </c>
      <c r="C162" s="99">
        <v>0</v>
      </c>
      <c r="D162" s="99">
        <v>0</v>
      </c>
      <c r="E162" s="99">
        <v>0</v>
      </c>
      <c r="F162" s="99">
        <v>1</v>
      </c>
      <c r="G162" s="99">
        <v>0</v>
      </c>
      <c r="H162" s="99">
        <v>1</v>
      </c>
      <c r="I162" s="99">
        <v>0</v>
      </c>
      <c r="J162" s="99">
        <v>1</v>
      </c>
      <c r="K162" s="99">
        <v>0</v>
      </c>
      <c r="L162" s="99">
        <v>0</v>
      </c>
      <c r="M162" s="99">
        <v>0</v>
      </c>
      <c r="N162" s="99">
        <v>0</v>
      </c>
      <c r="O162" s="99">
        <v>0</v>
      </c>
      <c r="P162" s="99">
        <v>1</v>
      </c>
      <c r="Q162" s="99">
        <v>0</v>
      </c>
      <c r="R162" s="99">
        <v>1</v>
      </c>
      <c r="S162" s="99">
        <v>0</v>
      </c>
      <c r="T162" s="99">
        <v>1</v>
      </c>
      <c r="U162" s="99">
        <v>0</v>
      </c>
      <c r="V162" s="99">
        <v>0</v>
      </c>
      <c r="W162" s="99">
        <v>1</v>
      </c>
      <c r="X162" s="99">
        <v>0</v>
      </c>
      <c r="Y162" s="99">
        <v>0</v>
      </c>
      <c r="Z162" s="99">
        <v>0</v>
      </c>
      <c r="AA162" s="99">
        <v>1</v>
      </c>
      <c r="AB162" s="99">
        <v>1</v>
      </c>
      <c r="AC162" s="99">
        <v>0</v>
      </c>
      <c r="AD162" s="99">
        <v>0</v>
      </c>
      <c r="AE162" s="99">
        <v>0</v>
      </c>
      <c r="AF162" s="99">
        <v>0</v>
      </c>
      <c r="AG162" s="99">
        <v>1</v>
      </c>
      <c r="AH162" s="99">
        <v>0</v>
      </c>
      <c r="AI162" s="99">
        <v>1</v>
      </c>
      <c r="AJ162" s="99">
        <v>0</v>
      </c>
      <c r="AK162" s="99">
        <v>0</v>
      </c>
      <c r="AL162" s="99">
        <v>0</v>
      </c>
      <c r="AM162" s="99">
        <v>0</v>
      </c>
      <c r="AN162" s="99">
        <v>0</v>
      </c>
      <c r="AO162" s="99">
        <v>0</v>
      </c>
      <c r="AP162" s="99">
        <v>0</v>
      </c>
      <c r="AQ162" s="99">
        <v>0</v>
      </c>
      <c r="AR162" s="99">
        <v>0</v>
      </c>
      <c r="AS162" s="99">
        <v>0</v>
      </c>
      <c r="AT162" s="99">
        <v>1</v>
      </c>
      <c r="AU162" s="99">
        <v>0</v>
      </c>
      <c r="AV162" s="99">
        <v>0</v>
      </c>
      <c r="AW162" s="99">
        <v>0</v>
      </c>
      <c r="AX162" s="99">
        <v>0</v>
      </c>
      <c r="AY162" s="99">
        <v>0</v>
      </c>
      <c r="AZ162" s="99">
        <v>0</v>
      </c>
      <c r="BA162" s="99">
        <v>0</v>
      </c>
      <c r="BB162" s="99">
        <v>0</v>
      </c>
      <c r="BC162" s="99">
        <v>0</v>
      </c>
      <c r="BD162" s="99">
        <v>0</v>
      </c>
      <c r="BE162" s="99">
        <v>0</v>
      </c>
      <c r="BF162" s="99">
        <v>1</v>
      </c>
      <c r="BG162" s="99">
        <v>0</v>
      </c>
      <c r="BH162" s="99">
        <v>0</v>
      </c>
      <c r="BI162" s="99">
        <v>1</v>
      </c>
      <c r="BJ162" s="99">
        <v>0</v>
      </c>
      <c r="BK162" s="99">
        <v>1</v>
      </c>
      <c r="BL162" s="99">
        <v>0</v>
      </c>
      <c r="BM162" s="99">
        <v>0</v>
      </c>
      <c r="BN162" s="99">
        <v>0</v>
      </c>
      <c r="BO162" s="99">
        <v>0</v>
      </c>
      <c r="BP162" s="99">
        <v>0</v>
      </c>
      <c r="BQ162" s="99">
        <v>1</v>
      </c>
      <c r="BR162" s="99">
        <v>0</v>
      </c>
      <c r="BS162" s="99">
        <v>1</v>
      </c>
      <c r="BT162" s="99">
        <v>1</v>
      </c>
      <c r="BU162" s="99">
        <v>1</v>
      </c>
      <c r="BV162" s="99">
        <v>1</v>
      </c>
      <c r="BW162" s="99">
        <v>0</v>
      </c>
      <c r="BX162" s="99">
        <v>0</v>
      </c>
      <c r="BY162" s="99">
        <v>0</v>
      </c>
      <c r="BZ162" s="99">
        <v>0</v>
      </c>
      <c r="CA162" s="99">
        <v>1</v>
      </c>
      <c r="CB162" s="99">
        <v>0</v>
      </c>
      <c r="CC162" s="99">
        <v>0</v>
      </c>
      <c r="CD162" s="99">
        <v>0</v>
      </c>
      <c r="CE162" s="99">
        <v>0</v>
      </c>
      <c r="CF162" s="99">
        <v>0</v>
      </c>
      <c r="CG162" s="99">
        <v>0</v>
      </c>
      <c r="CH162" s="99">
        <v>0</v>
      </c>
      <c r="CI162" s="99">
        <v>0</v>
      </c>
      <c r="CJ162" s="99">
        <v>0</v>
      </c>
      <c r="CK162" s="99">
        <v>0</v>
      </c>
      <c r="CL162" s="99">
        <v>1</v>
      </c>
      <c r="CM162" s="99">
        <v>1</v>
      </c>
      <c r="CN162" s="99">
        <v>0</v>
      </c>
      <c r="CO162" s="99">
        <v>0</v>
      </c>
      <c r="CP162" s="99">
        <v>0</v>
      </c>
      <c r="CQ162" s="99">
        <v>1</v>
      </c>
      <c r="CR162" s="99">
        <v>0</v>
      </c>
      <c r="CS162" s="98">
        <v>0</v>
      </c>
    </row>
    <row r="163" spans="2:97" x14ac:dyDescent="0.3">
      <c r="B163" s="83" t="s">
        <v>114</v>
      </c>
      <c r="C163" s="99">
        <v>0</v>
      </c>
      <c r="D163" s="99">
        <v>0</v>
      </c>
      <c r="E163" s="99">
        <v>1</v>
      </c>
      <c r="F163" s="99">
        <v>0</v>
      </c>
      <c r="G163" s="99">
        <v>0</v>
      </c>
      <c r="H163" s="99">
        <v>0</v>
      </c>
      <c r="I163" s="99">
        <v>0</v>
      </c>
      <c r="J163" s="99">
        <v>0</v>
      </c>
      <c r="K163" s="99">
        <v>1</v>
      </c>
      <c r="L163" s="99">
        <v>0</v>
      </c>
      <c r="M163" s="99">
        <v>0</v>
      </c>
      <c r="N163" s="99">
        <v>1</v>
      </c>
      <c r="O163" s="99">
        <v>0</v>
      </c>
      <c r="P163" s="99">
        <v>0</v>
      </c>
      <c r="Q163" s="99">
        <v>0</v>
      </c>
      <c r="R163" s="99">
        <v>0</v>
      </c>
      <c r="S163" s="99">
        <v>1</v>
      </c>
      <c r="T163" s="99">
        <v>0</v>
      </c>
      <c r="U163" s="99">
        <v>0</v>
      </c>
      <c r="V163" s="99">
        <v>1</v>
      </c>
      <c r="W163" s="99">
        <v>0</v>
      </c>
      <c r="X163" s="99">
        <v>0</v>
      </c>
      <c r="Y163" s="99">
        <v>1</v>
      </c>
      <c r="Z163" s="99">
        <v>1</v>
      </c>
      <c r="AA163" s="99">
        <v>0</v>
      </c>
      <c r="AB163" s="99">
        <v>0</v>
      </c>
      <c r="AC163" s="99">
        <v>1</v>
      </c>
      <c r="AD163" s="99">
        <v>0</v>
      </c>
      <c r="AE163" s="99">
        <v>0</v>
      </c>
      <c r="AF163" s="99">
        <v>0</v>
      </c>
      <c r="AG163" s="99">
        <v>0</v>
      </c>
      <c r="AH163" s="99">
        <v>0</v>
      </c>
      <c r="AI163" s="99">
        <v>0</v>
      </c>
      <c r="AJ163" s="99">
        <v>0</v>
      </c>
      <c r="AK163" s="99">
        <v>1</v>
      </c>
      <c r="AL163" s="99">
        <v>1</v>
      </c>
      <c r="AM163" s="99">
        <v>0</v>
      </c>
      <c r="AN163" s="99">
        <v>1</v>
      </c>
      <c r="AO163" s="99">
        <v>1</v>
      </c>
      <c r="AP163" s="99">
        <v>1</v>
      </c>
      <c r="AQ163" s="99">
        <v>0</v>
      </c>
      <c r="AR163" s="99">
        <v>0</v>
      </c>
      <c r="AS163" s="99">
        <v>0</v>
      </c>
      <c r="AT163" s="99">
        <v>0</v>
      </c>
      <c r="AU163" s="99">
        <v>0</v>
      </c>
      <c r="AV163" s="99">
        <v>0</v>
      </c>
      <c r="AW163" s="99">
        <v>0</v>
      </c>
      <c r="AX163" s="99">
        <v>1</v>
      </c>
      <c r="AY163" s="99">
        <v>1</v>
      </c>
      <c r="AZ163" s="99">
        <v>0</v>
      </c>
      <c r="BA163" s="99">
        <v>0</v>
      </c>
      <c r="BB163" s="99">
        <v>0</v>
      </c>
      <c r="BC163" s="99">
        <v>0</v>
      </c>
      <c r="BD163" s="99">
        <v>0</v>
      </c>
      <c r="BE163" s="99">
        <v>1</v>
      </c>
      <c r="BF163" s="99">
        <v>0</v>
      </c>
      <c r="BG163" s="99">
        <v>0</v>
      </c>
      <c r="BH163" s="99">
        <v>0</v>
      </c>
      <c r="BI163" s="99">
        <v>0</v>
      </c>
      <c r="BJ163" s="99">
        <v>1</v>
      </c>
      <c r="BK163" s="99">
        <v>0</v>
      </c>
      <c r="BL163" s="99">
        <v>0</v>
      </c>
      <c r="BM163" s="99">
        <v>0</v>
      </c>
      <c r="BN163" s="99">
        <v>0</v>
      </c>
      <c r="BO163" s="99">
        <v>0</v>
      </c>
      <c r="BP163" s="99">
        <v>1</v>
      </c>
      <c r="BQ163" s="99">
        <v>0</v>
      </c>
      <c r="BR163" s="99">
        <v>0</v>
      </c>
      <c r="BS163" s="99">
        <v>0</v>
      </c>
      <c r="BT163" s="99">
        <v>0</v>
      </c>
      <c r="BU163" s="99">
        <v>0</v>
      </c>
      <c r="BV163" s="99">
        <v>0</v>
      </c>
      <c r="BW163" s="99">
        <v>0</v>
      </c>
      <c r="BX163" s="99">
        <v>0</v>
      </c>
      <c r="BY163" s="99">
        <v>0</v>
      </c>
      <c r="BZ163" s="99">
        <v>0</v>
      </c>
      <c r="CA163" s="99">
        <v>0</v>
      </c>
      <c r="CB163" s="99">
        <v>0</v>
      </c>
      <c r="CC163" s="99">
        <v>1</v>
      </c>
      <c r="CD163" s="99">
        <v>0</v>
      </c>
      <c r="CE163" s="99">
        <v>0</v>
      </c>
      <c r="CF163" s="99">
        <v>0</v>
      </c>
      <c r="CG163" s="99">
        <v>0</v>
      </c>
      <c r="CH163" s="99">
        <v>1</v>
      </c>
      <c r="CI163" s="99">
        <v>0</v>
      </c>
      <c r="CJ163" s="99">
        <v>0</v>
      </c>
      <c r="CK163" s="99">
        <v>0</v>
      </c>
      <c r="CL163" s="99">
        <v>0</v>
      </c>
      <c r="CM163" s="99">
        <v>0</v>
      </c>
      <c r="CN163" s="99">
        <v>0</v>
      </c>
      <c r="CO163" s="99">
        <v>0</v>
      </c>
      <c r="CP163" s="99">
        <v>1</v>
      </c>
      <c r="CQ163" s="99">
        <v>0</v>
      </c>
      <c r="CR163" s="99">
        <v>0</v>
      </c>
      <c r="CS163" s="98">
        <v>0</v>
      </c>
    </row>
    <row r="164" spans="2:97" x14ac:dyDescent="0.3">
      <c r="B164" s="83" t="s">
        <v>120</v>
      </c>
      <c r="C164" s="99">
        <v>0</v>
      </c>
      <c r="D164" s="99">
        <v>0</v>
      </c>
      <c r="E164" s="99">
        <v>0</v>
      </c>
      <c r="F164" s="99">
        <v>1</v>
      </c>
      <c r="G164" s="99">
        <v>0</v>
      </c>
      <c r="H164" s="99">
        <v>1</v>
      </c>
      <c r="I164" s="99">
        <v>0</v>
      </c>
      <c r="J164" s="99">
        <v>1</v>
      </c>
      <c r="K164" s="99">
        <v>0</v>
      </c>
      <c r="L164" s="99">
        <v>0</v>
      </c>
      <c r="M164" s="99">
        <v>0</v>
      </c>
      <c r="N164" s="99">
        <v>0</v>
      </c>
      <c r="O164" s="99">
        <v>0</v>
      </c>
      <c r="P164" s="99">
        <v>1</v>
      </c>
      <c r="Q164" s="99">
        <v>0</v>
      </c>
      <c r="R164" s="99">
        <v>1</v>
      </c>
      <c r="S164" s="99">
        <v>0</v>
      </c>
      <c r="T164" s="99">
        <v>1</v>
      </c>
      <c r="U164" s="99">
        <v>0</v>
      </c>
      <c r="V164" s="99">
        <v>0</v>
      </c>
      <c r="W164" s="99">
        <v>1</v>
      </c>
      <c r="X164" s="99">
        <v>0</v>
      </c>
      <c r="Y164" s="99">
        <v>0</v>
      </c>
      <c r="Z164" s="99">
        <v>0</v>
      </c>
      <c r="AA164" s="99">
        <v>1</v>
      </c>
      <c r="AB164" s="99">
        <v>1</v>
      </c>
      <c r="AC164" s="99">
        <v>0</v>
      </c>
      <c r="AD164" s="99">
        <v>0</v>
      </c>
      <c r="AE164" s="99">
        <v>0</v>
      </c>
      <c r="AF164" s="99">
        <v>0</v>
      </c>
      <c r="AG164" s="99">
        <v>1</v>
      </c>
      <c r="AH164" s="99">
        <v>0</v>
      </c>
      <c r="AI164" s="99">
        <v>1</v>
      </c>
      <c r="AJ164" s="99">
        <v>0</v>
      </c>
      <c r="AK164" s="99">
        <v>0</v>
      </c>
      <c r="AL164" s="99">
        <v>0</v>
      </c>
      <c r="AM164" s="99">
        <v>0</v>
      </c>
      <c r="AN164" s="99">
        <v>0</v>
      </c>
      <c r="AO164" s="99">
        <v>0</v>
      </c>
      <c r="AP164" s="99">
        <v>0</v>
      </c>
      <c r="AQ164" s="99">
        <v>0</v>
      </c>
      <c r="AR164" s="99">
        <v>0</v>
      </c>
      <c r="AS164" s="99">
        <v>0</v>
      </c>
      <c r="AT164" s="99">
        <v>1</v>
      </c>
      <c r="AU164" s="99">
        <v>0</v>
      </c>
      <c r="AV164" s="99">
        <v>0</v>
      </c>
      <c r="AW164" s="99">
        <v>0</v>
      </c>
      <c r="AX164" s="99">
        <v>0</v>
      </c>
      <c r="AY164" s="99">
        <v>0</v>
      </c>
      <c r="AZ164" s="99">
        <v>0</v>
      </c>
      <c r="BA164" s="99">
        <v>0</v>
      </c>
      <c r="BB164" s="99">
        <v>0</v>
      </c>
      <c r="BC164" s="99">
        <v>0</v>
      </c>
      <c r="BD164" s="99">
        <v>0</v>
      </c>
      <c r="BE164" s="99">
        <v>0</v>
      </c>
      <c r="BF164" s="99">
        <v>1</v>
      </c>
      <c r="BG164" s="99">
        <v>0</v>
      </c>
      <c r="BH164" s="99">
        <v>0</v>
      </c>
      <c r="BI164" s="99">
        <v>1</v>
      </c>
      <c r="BJ164" s="99">
        <v>0</v>
      </c>
      <c r="BK164" s="99">
        <v>1</v>
      </c>
      <c r="BL164" s="99">
        <v>0</v>
      </c>
      <c r="BM164" s="99">
        <v>0</v>
      </c>
      <c r="BN164" s="99">
        <v>0</v>
      </c>
      <c r="BO164" s="99">
        <v>0</v>
      </c>
      <c r="BP164" s="99">
        <v>0</v>
      </c>
      <c r="BQ164" s="99">
        <v>1</v>
      </c>
      <c r="BR164" s="99">
        <v>0</v>
      </c>
      <c r="BS164" s="99">
        <v>1</v>
      </c>
      <c r="BT164" s="99">
        <v>1</v>
      </c>
      <c r="BU164" s="99">
        <v>1</v>
      </c>
      <c r="BV164" s="99">
        <v>1</v>
      </c>
      <c r="BW164" s="99">
        <v>0</v>
      </c>
      <c r="BX164" s="99">
        <v>0</v>
      </c>
      <c r="BY164" s="99">
        <v>0</v>
      </c>
      <c r="BZ164" s="99">
        <v>0</v>
      </c>
      <c r="CA164" s="99">
        <v>1</v>
      </c>
      <c r="CB164" s="99">
        <v>0</v>
      </c>
      <c r="CC164" s="99">
        <v>0</v>
      </c>
      <c r="CD164" s="99">
        <v>0</v>
      </c>
      <c r="CE164" s="99">
        <v>0</v>
      </c>
      <c r="CF164" s="99">
        <v>0</v>
      </c>
      <c r="CG164" s="99">
        <v>0</v>
      </c>
      <c r="CH164" s="99">
        <v>0</v>
      </c>
      <c r="CI164" s="99">
        <v>0</v>
      </c>
      <c r="CJ164" s="99">
        <v>0</v>
      </c>
      <c r="CK164" s="99">
        <v>0</v>
      </c>
      <c r="CL164" s="99">
        <v>1</v>
      </c>
      <c r="CM164" s="99">
        <v>1</v>
      </c>
      <c r="CN164" s="99">
        <v>0</v>
      </c>
      <c r="CO164" s="99">
        <v>0</v>
      </c>
      <c r="CP164" s="99">
        <v>0</v>
      </c>
      <c r="CQ164" s="99">
        <v>1</v>
      </c>
      <c r="CR164" s="99">
        <v>0</v>
      </c>
      <c r="CS164" s="98">
        <v>0</v>
      </c>
    </row>
    <row r="165" spans="2:97" x14ac:dyDescent="0.3">
      <c r="B165" s="83" t="s">
        <v>121</v>
      </c>
      <c r="C165" s="99">
        <v>1</v>
      </c>
      <c r="D165" s="99">
        <v>0</v>
      </c>
      <c r="E165" s="99">
        <v>0</v>
      </c>
      <c r="F165" s="99">
        <v>0</v>
      </c>
      <c r="G165" s="99">
        <v>1</v>
      </c>
      <c r="H165" s="99">
        <v>0</v>
      </c>
      <c r="I165" s="99">
        <v>1</v>
      </c>
      <c r="J165" s="99">
        <v>0</v>
      </c>
      <c r="K165" s="99">
        <v>0</v>
      </c>
      <c r="L165" s="99">
        <v>1</v>
      </c>
      <c r="M165" s="99">
        <v>0</v>
      </c>
      <c r="N165" s="99">
        <v>0</v>
      </c>
      <c r="O165" s="99">
        <v>1</v>
      </c>
      <c r="P165" s="99">
        <v>0</v>
      </c>
      <c r="Q165" s="99">
        <v>1</v>
      </c>
      <c r="R165" s="99">
        <v>0</v>
      </c>
      <c r="S165" s="99">
        <v>0</v>
      </c>
      <c r="T165" s="99">
        <v>0</v>
      </c>
      <c r="U165" s="99">
        <v>0</v>
      </c>
      <c r="V165" s="99">
        <v>0</v>
      </c>
      <c r="W165" s="99">
        <v>0</v>
      </c>
      <c r="X165" s="99">
        <v>0</v>
      </c>
      <c r="Y165" s="99">
        <v>0</v>
      </c>
      <c r="Z165" s="99">
        <v>0</v>
      </c>
      <c r="AA165" s="99">
        <v>0</v>
      </c>
      <c r="AB165" s="99">
        <v>0</v>
      </c>
      <c r="AC165" s="99">
        <v>0</v>
      </c>
      <c r="AD165" s="99">
        <v>0</v>
      </c>
      <c r="AE165" s="99">
        <v>1</v>
      </c>
      <c r="AF165" s="99">
        <v>1</v>
      </c>
      <c r="AG165" s="99">
        <v>0</v>
      </c>
      <c r="AH165" s="99">
        <v>1</v>
      </c>
      <c r="AI165" s="99">
        <v>0</v>
      </c>
      <c r="AJ165" s="99">
        <v>1</v>
      </c>
      <c r="AK165" s="99">
        <v>0</v>
      </c>
      <c r="AL165" s="99">
        <v>0</v>
      </c>
      <c r="AM165" s="99">
        <v>1</v>
      </c>
      <c r="AN165" s="99">
        <v>0</v>
      </c>
      <c r="AO165" s="99">
        <v>0</v>
      </c>
      <c r="AP165" s="99">
        <v>0</v>
      </c>
      <c r="AQ165" s="99">
        <v>0</v>
      </c>
      <c r="AR165" s="99">
        <v>0</v>
      </c>
      <c r="AS165" s="99">
        <v>0</v>
      </c>
      <c r="AT165" s="99">
        <v>0</v>
      </c>
      <c r="AU165" s="99">
        <v>1</v>
      </c>
      <c r="AV165" s="99">
        <v>1</v>
      </c>
      <c r="AW165" s="99">
        <v>1</v>
      </c>
      <c r="AX165" s="99">
        <v>0</v>
      </c>
      <c r="AY165" s="99">
        <v>0</v>
      </c>
      <c r="AZ165" s="99">
        <v>0</v>
      </c>
      <c r="BA165" s="99">
        <v>0</v>
      </c>
      <c r="BB165" s="99">
        <v>0</v>
      </c>
      <c r="BC165" s="99">
        <v>1</v>
      </c>
      <c r="BD165" s="99">
        <v>0</v>
      </c>
      <c r="BE165" s="99">
        <v>0</v>
      </c>
      <c r="BF165" s="99">
        <v>0</v>
      </c>
      <c r="BG165" s="99">
        <v>0</v>
      </c>
      <c r="BH165" s="99">
        <v>0</v>
      </c>
      <c r="BI165" s="99">
        <v>0</v>
      </c>
      <c r="BJ165" s="99">
        <v>0</v>
      </c>
      <c r="BK165" s="99">
        <v>0</v>
      </c>
      <c r="BL165" s="99">
        <v>1</v>
      </c>
      <c r="BM165" s="99">
        <v>0</v>
      </c>
      <c r="BN165" s="99">
        <v>0</v>
      </c>
      <c r="BO165" s="99">
        <v>1</v>
      </c>
      <c r="BP165" s="99">
        <v>0</v>
      </c>
      <c r="BQ165" s="99">
        <v>0</v>
      </c>
      <c r="BR165" s="99">
        <v>0</v>
      </c>
      <c r="BS165" s="99">
        <v>0</v>
      </c>
      <c r="BT165" s="99">
        <v>0</v>
      </c>
      <c r="BU165" s="99">
        <v>0</v>
      </c>
      <c r="BV165" s="99">
        <v>0</v>
      </c>
      <c r="BW165" s="99">
        <v>1</v>
      </c>
      <c r="BX165" s="99">
        <v>0</v>
      </c>
      <c r="BY165" s="99">
        <v>0</v>
      </c>
      <c r="BZ165" s="99">
        <v>1</v>
      </c>
      <c r="CA165" s="99">
        <v>0</v>
      </c>
      <c r="CB165" s="99">
        <v>1</v>
      </c>
      <c r="CC165" s="99">
        <v>0</v>
      </c>
      <c r="CD165" s="99">
        <v>0</v>
      </c>
      <c r="CE165" s="99">
        <v>0</v>
      </c>
      <c r="CF165" s="99">
        <v>1</v>
      </c>
      <c r="CG165" s="99">
        <v>0</v>
      </c>
      <c r="CH165" s="99">
        <v>0</v>
      </c>
      <c r="CI165" s="99">
        <v>0</v>
      </c>
      <c r="CJ165" s="99">
        <v>1</v>
      </c>
      <c r="CK165" s="99">
        <v>1</v>
      </c>
      <c r="CL165" s="99">
        <v>0</v>
      </c>
      <c r="CM165" s="99">
        <v>0</v>
      </c>
      <c r="CN165" s="99">
        <v>1</v>
      </c>
      <c r="CO165" s="99">
        <v>0</v>
      </c>
      <c r="CP165" s="99">
        <v>0</v>
      </c>
      <c r="CQ165" s="99">
        <v>0</v>
      </c>
      <c r="CR165" s="99">
        <v>0</v>
      </c>
      <c r="CS165" s="98">
        <v>0</v>
      </c>
    </row>
    <row r="166" spans="2:97" x14ac:dyDescent="0.3">
      <c r="B166" s="83" t="s">
        <v>122</v>
      </c>
      <c r="C166" s="99">
        <v>0</v>
      </c>
      <c r="D166" s="99">
        <v>1</v>
      </c>
      <c r="E166" s="99">
        <v>0</v>
      </c>
      <c r="F166" s="99">
        <v>0</v>
      </c>
      <c r="G166" s="99">
        <v>0</v>
      </c>
      <c r="H166" s="99">
        <v>0</v>
      </c>
      <c r="I166" s="99">
        <v>0</v>
      </c>
      <c r="J166" s="99">
        <v>0</v>
      </c>
      <c r="K166" s="99">
        <v>0</v>
      </c>
      <c r="L166" s="99">
        <v>0</v>
      </c>
      <c r="M166" s="99">
        <v>1</v>
      </c>
      <c r="N166" s="99">
        <v>0</v>
      </c>
      <c r="O166" s="99">
        <v>0</v>
      </c>
      <c r="P166" s="99">
        <v>0</v>
      </c>
      <c r="Q166" s="99">
        <v>0</v>
      </c>
      <c r="R166" s="99">
        <v>0</v>
      </c>
      <c r="S166" s="99">
        <v>0</v>
      </c>
      <c r="T166" s="99">
        <v>0</v>
      </c>
      <c r="U166" s="99">
        <v>1</v>
      </c>
      <c r="V166" s="99">
        <v>0</v>
      </c>
      <c r="W166" s="99">
        <v>0</v>
      </c>
      <c r="X166" s="99">
        <v>1</v>
      </c>
      <c r="Y166" s="99">
        <v>0</v>
      </c>
      <c r="Z166" s="99">
        <v>0</v>
      </c>
      <c r="AA166" s="99">
        <v>0</v>
      </c>
      <c r="AB166" s="99">
        <v>0</v>
      </c>
      <c r="AC166" s="99">
        <v>0</v>
      </c>
      <c r="AD166" s="99">
        <v>1</v>
      </c>
      <c r="AE166" s="99">
        <v>0</v>
      </c>
      <c r="AF166" s="99">
        <v>0</v>
      </c>
      <c r="AG166" s="99">
        <v>0</v>
      </c>
      <c r="AH166" s="99">
        <v>0</v>
      </c>
      <c r="AI166" s="99">
        <v>0</v>
      </c>
      <c r="AJ166" s="99">
        <v>0</v>
      </c>
      <c r="AK166" s="99">
        <v>0</v>
      </c>
      <c r="AL166" s="99">
        <v>0</v>
      </c>
      <c r="AM166" s="99">
        <v>0</v>
      </c>
      <c r="AN166" s="99">
        <v>0</v>
      </c>
      <c r="AO166" s="99">
        <v>0</v>
      </c>
      <c r="AP166" s="99">
        <v>0</v>
      </c>
      <c r="AQ166" s="99">
        <v>1</v>
      </c>
      <c r="AR166" s="99">
        <v>1</v>
      </c>
      <c r="AS166" s="99">
        <v>1</v>
      </c>
      <c r="AT166" s="99">
        <v>0</v>
      </c>
      <c r="AU166" s="99">
        <v>0</v>
      </c>
      <c r="AV166" s="99">
        <v>0</v>
      </c>
      <c r="AW166" s="99">
        <v>0</v>
      </c>
      <c r="AX166" s="99">
        <v>0</v>
      </c>
      <c r="AY166" s="99">
        <v>0</v>
      </c>
      <c r="AZ166" s="99">
        <v>1</v>
      </c>
      <c r="BA166" s="99">
        <v>1</v>
      </c>
      <c r="BB166" s="99">
        <v>1</v>
      </c>
      <c r="BC166" s="99">
        <v>0</v>
      </c>
      <c r="BD166" s="99">
        <v>1</v>
      </c>
      <c r="BE166" s="99">
        <v>0</v>
      </c>
      <c r="BF166" s="99">
        <v>0</v>
      </c>
      <c r="BG166" s="99">
        <v>1</v>
      </c>
      <c r="BH166" s="99">
        <v>1</v>
      </c>
      <c r="BI166" s="99">
        <v>0</v>
      </c>
      <c r="BJ166" s="99">
        <v>0</v>
      </c>
      <c r="BK166" s="99">
        <v>0</v>
      </c>
      <c r="BL166" s="99">
        <v>0</v>
      </c>
      <c r="BM166" s="99">
        <v>1</v>
      </c>
      <c r="BN166" s="99">
        <v>1</v>
      </c>
      <c r="BO166" s="99">
        <v>0</v>
      </c>
      <c r="BP166" s="99">
        <v>0</v>
      </c>
      <c r="BQ166" s="99">
        <v>0</v>
      </c>
      <c r="BR166" s="99">
        <v>1</v>
      </c>
      <c r="BS166" s="99">
        <v>0</v>
      </c>
      <c r="BT166" s="99">
        <v>0</v>
      </c>
      <c r="BU166" s="99">
        <v>0</v>
      </c>
      <c r="BV166" s="99">
        <v>0</v>
      </c>
      <c r="BW166" s="99">
        <v>0</v>
      </c>
      <c r="BX166" s="99">
        <v>1</v>
      </c>
      <c r="BY166" s="99">
        <v>1</v>
      </c>
      <c r="BZ166" s="99">
        <v>0</v>
      </c>
      <c r="CA166" s="99">
        <v>0</v>
      </c>
      <c r="CB166" s="99">
        <v>0</v>
      </c>
      <c r="CC166" s="99">
        <v>0</v>
      </c>
      <c r="CD166" s="99">
        <v>1</v>
      </c>
      <c r="CE166" s="99">
        <v>1</v>
      </c>
      <c r="CF166" s="99">
        <v>0</v>
      </c>
      <c r="CG166" s="99">
        <v>1</v>
      </c>
      <c r="CH166" s="99">
        <v>0</v>
      </c>
      <c r="CI166" s="99">
        <v>1</v>
      </c>
      <c r="CJ166" s="99">
        <v>0</v>
      </c>
      <c r="CK166" s="99">
        <v>0</v>
      </c>
      <c r="CL166" s="99">
        <v>0</v>
      </c>
      <c r="CM166" s="99">
        <v>0</v>
      </c>
      <c r="CN166" s="99">
        <v>0</v>
      </c>
      <c r="CO166" s="99">
        <v>1</v>
      </c>
      <c r="CP166" s="99">
        <v>0</v>
      </c>
      <c r="CQ166" s="99">
        <v>0</v>
      </c>
      <c r="CR166" s="99">
        <v>1</v>
      </c>
      <c r="CS166" s="98">
        <v>1</v>
      </c>
    </row>
    <row r="167" spans="2:97" x14ac:dyDescent="0.3">
      <c r="B167" s="83" t="s">
        <v>123</v>
      </c>
      <c r="C167" s="99">
        <v>0</v>
      </c>
      <c r="D167" s="99">
        <v>1</v>
      </c>
      <c r="E167" s="99">
        <v>0</v>
      </c>
      <c r="F167" s="99">
        <v>0</v>
      </c>
      <c r="G167" s="99">
        <v>0</v>
      </c>
      <c r="H167" s="99">
        <v>0</v>
      </c>
      <c r="I167" s="99">
        <v>0</v>
      </c>
      <c r="J167" s="99">
        <v>0</v>
      </c>
      <c r="K167" s="99">
        <v>0</v>
      </c>
      <c r="L167" s="99">
        <v>0</v>
      </c>
      <c r="M167" s="99">
        <v>1</v>
      </c>
      <c r="N167" s="99">
        <v>0</v>
      </c>
      <c r="O167" s="99">
        <v>0</v>
      </c>
      <c r="P167" s="99">
        <v>0</v>
      </c>
      <c r="Q167" s="99">
        <v>0</v>
      </c>
      <c r="R167" s="99">
        <v>0</v>
      </c>
      <c r="S167" s="99">
        <v>0</v>
      </c>
      <c r="T167" s="99">
        <v>0</v>
      </c>
      <c r="U167" s="99">
        <v>1</v>
      </c>
      <c r="V167" s="99">
        <v>0</v>
      </c>
      <c r="W167" s="99">
        <v>0</v>
      </c>
      <c r="X167" s="99">
        <v>1</v>
      </c>
      <c r="Y167" s="99">
        <v>0</v>
      </c>
      <c r="Z167" s="99">
        <v>0</v>
      </c>
      <c r="AA167" s="99">
        <v>0</v>
      </c>
      <c r="AB167" s="99">
        <v>0</v>
      </c>
      <c r="AC167" s="99">
        <v>0</v>
      </c>
      <c r="AD167" s="99">
        <v>1</v>
      </c>
      <c r="AE167" s="99">
        <v>0</v>
      </c>
      <c r="AF167" s="99">
        <v>0</v>
      </c>
      <c r="AG167" s="99">
        <v>0</v>
      </c>
      <c r="AH167" s="99">
        <v>0</v>
      </c>
      <c r="AI167" s="99">
        <v>0</v>
      </c>
      <c r="AJ167" s="99">
        <v>0</v>
      </c>
      <c r="AK167" s="99">
        <v>0</v>
      </c>
      <c r="AL167" s="99">
        <v>0</v>
      </c>
      <c r="AM167" s="99">
        <v>0</v>
      </c>
      <c r="AN167" s="99">
        <v>0</v>
      </c>
      <c r="AO167" s="99">
        <v>0</v>
      </c>
      <c r="AP167" s="99">
        <v>0</v>
      </c>
      <c r="AQ167" s="99">
        <v>1</v>
      </c>
      <c r="AR167" s="99">
        <v>1</v>
      </c>
      <c r="AS167" s="99">
        <v>1</v>
      </c>
      <c r="AT167" s="99">
        <v>0</v>
      </c>
      <c r="AU167" s="99">
        <v>0</v>
      </c>
      <c r="AV167" s="99">
        <v>0</v>
      </c>
      <c r="AW167" s="99">
        <v>0</v>
      </c>
      <c r="AX167" s="99">
        <v>0</v>
      </c>
      <c r="AY167" s="99">
        <v>0</v>
      </c>
      <c r="AZ167" s="99">
        <v>1</v>
      </c>
      <c r="BA167" s="99">
        <v>1</v>
      </c>
      <c r="BB167" s="99">
        <v>1</v>
      </c>
      <c r="BC167" s="99">
        <v>0</v>
      </c>
      <c r="BD167" s="99">
        <v>1</v>
      </c>
      <c r="BE167" s="99">
        <v>0</v>
      </c>
      <c r="BF167" s="99">
        <v>0</v>
      </c>
      <c r="BG167" s="99">
        <v>1</v>
      </c>
      <c r="BH167" s="99">
        <v>1</v>
      </c>
      <c r="BI167" s="99">
        <v>0</v>
      </c>
      <c r="BJ167" s="99">
        <v>0</v>
      </c>
      <c r="BK167" s="99">
        <v>0</v>
      </c>
      <c r="BL167" s="99">
        <v>0</v>
      </c>
      <c r="BM167" s="99">
        <v>1</v>
      </c>
      <c r="BN167" s="99">
        <v>1</v>
      </c>
      <c r="BO167" s="99">
        <v>0</v>
      </c>
      <c r="BP167" s="99">
        <v>0</v>
      </c>
      <c r="BQ167" s="99">
        <v>0</v>
      </c>
      <c r="BR167" s="99">
        <v>1</v>
      </c>
      <c r="BS167" s="99">
        <v>0</v>
      </c>
      <c r="BT167" s="99">
        <v>0</v>
      </c>
      <c r="BU167" s="99">
        <v>0</v>
      </c>
      <c r="BV167" s="99">
        <v>0</v>
      </c>
      <c r="BW167" s="99">
        <v>0</v>
      </c>
      <c r="BX167" s="99">
        <v>1</v>
      </c>
      <c r="BY167" s="99">
        <v>1</v>
      </c>
      <c r="BZ167" s="99">
        <v>0</v>
      </c>
      <c r="CA167" s="99">
        <v>0</v>
      </c>
      <c r="CB167" s="99">
        <v>0</v>
      </c>
      <c r="CC167" s="99">
        <v>0</v>
      </c>
      <c r="CD167" s="99">
        <v>1</v>
      </c>
      <c r="CE167" s="99">
        <v>1</v>
      </c>
      <c r="CF167" s="99">
        <v>0</v>
      </c>
      <c r="CG167" s="99">
        <v>1</v>
      </c>
      <c r="CH167" s="99">
        <v>0</v>
      </c>
      <c r="CI167" s="99">
        <v>1</v>
      </c>
      <c r="CJ167" s="99">
        <v>0</v>
      </c>
      <c r="CK167" s="99">
        <v>0</v>
      </c>
      <c r="CL167" s="99">
        <v>0</v>
      </c>
      <c r="CM167" s="99">
        <v>0</v>
      </c>
      <c r="CN167" s="99">
        <v>0</v>
      </c>
      <c r="CO167" s="99">
        <v>1</v>
      </c>
      <c r="CP167" s="99">
        <v>0</v>
      </c>
      <c r="CQ167" s="99">
        <v>0</v>
      </c>
      <c r="CR167" s="99">
        <v>1</v>
      </c>
      <c r="CS167" s="98">
        <v>1</v>
      </c>
    </row>
    <row r="168" spans="2:97" x14ac:dyDescent="0.3">
      <c r="B168" s="83" t="s">
        <v>124</v>
      </c>
      <c r="C168" s="99">
        <v>1</v>
      </c>
      <c r="D168" s="99">
        <v>0</v>
      </c>
      <c r="E168" s="99">
        <v>0</v>
      </c>
      <c r="F168" s="99">
        <v>0</v>
      </c>
      <c r="G168" s="99">
        <v>1</v>
      </c>
      <c r="H168" s="99">
        <v>0</v>
      </c>
      <c r="I168" s="99">
        <v>1</v>
      </c>
      <c r="J168" s="99">
        <v>0</v>
      </c>
      <c r="K168" s="99">
        <v>0</v>
      </c>
      <c r="L168" s="99">
        <v>1</v>
      </c>
      <c r="M168" s="99">
        <v>0</v>
      </c>
      <c r="N168" s="99">
        <v>0</v>
      </c>
      <c r="O168" s="99">
        <v>1</v>
      </c>
      <c r="P168" s="99">
        <v>0</v>
      </c>
      <c r="Q168" s="99">
        <v>1</v>
      </c>
      <c r="R168" s="99">
        <v>0</v>
      </c>
      <c r="S168" s="99">
        <v>0</v>
      </c>
      <c r="T168" s="99">
        <v>0</v>
      </c>
      <c r="U168" s="99">
        <v>0</v>
      </c>
      <c r="V168" s="99">
        <v>0</v>
      </c>
      <c r="W168" s="99">
        <v>0</v>
      </c>
      <c r="X168" s="99">
        <v>0</v>
      </c>
      <c r="Y168" s="99">
        <v>0</v>
      </c>
      <c r="Z168" s="99">
        <v>0</v>
      </c>
      <c r="AA168" s="99">
        <v>0</v>
      </c>
      <c r="AB168" s="99">
        <v>0</v>
      </c>
      <c r="AC168" s="99">
        <v>0</v>
      </c>
      <c r="AD168" s="99">
        <v>0</v>
      </c>
      <c r="AE168" s="99">
        <v>1</v>
      </c>
      <c r="AF168" s="99">
        <v>1</v>
      </c>
      <c r="AG168" s="99">
        <v>0</v>
      </c>
      <c r="AH168" s="99">
        <v>1</v>
      </c>
      <c r="AI168" s="99">
        <v>0</v>
      </c>
      <c r="AJ168" s="99">
        <v>1</v>
      </c>
      <c r="AK168" s="99">
        <v>0</v>
      </c>
      <c r="AL168" s="99">
        <v>0</v>
      </c>
      <c r="AM168" s="99">
        <v>1</v>
      </c>
      <c r="AN168" s="99">
        <v>0</v>
      </c>
      <c r="AO168" s="99">
        <v>0</v>
      </c>
      <c r="AP168" s="99">
        <v>0</v>
      </c>
      <c r="AQ168" s="99">
        <v>0</v>
      </c>
      <c r="AR168" s="99">
        <v>0</v>
      </c>
      <c r="AS168" s="99">
        <v>0</v>
      </c>
      <c r="AT168" s="99">
        <v>0</v>
      </c>
      <c r="AU168" s="99">
        <v>1</v>
      </c>
      <c r="AV168" s="99">
        <v>1</v>
      </c>
      <c r="AW168" s="99">
        <v>1</v>
      </c>
      <c r="AX168" s="99">
        <v>0</v>
      </c>
      <c r="AY168" s="99">
        <v>0</v>
      </c>
      <c r="AZ168" s="99">
        <v>0</v>
      </c>
      <c r="BA168" s="99">
        <v>0</v>
      </c>
      <c r="BB168" s="99">
        <v>0</v>
      </c>
      <c r="BC168" s="99">
        <v>1</v>
      </c>
      <c r="BD168" s="99">
        <v>0</v>
      </c>
      <c r="BE168" s="99">
        <v>0</v>
      </c>
      <c r="BF168" s="99">
        <v>0</v>
      </c>
      <c r="BG168" s="99">
        <v>0</v>
      </c>
      <c r="BH168" s="99">
        <v>0</v>
      </c>
      <c r="BI168" s="99">
        <v>0</v>
      </c>
      <c r="BJ168" s="99">
        <v>0</v>
      </c>
      <c r="BK168" s="99">
        <v>0</v>
      </c>
      <c r="BL168" s="99">
        <v>1</v>
      </c>
      <c r="BM168" s="99">
        <v>0</v>
      </c>
      <c r="BN168" s="99">
        <v>0</v>
      </c>
      <c r="BO168" s="99">
        <v>1</v>
      </c>
      <c r="BP168" s="99">
        <v>0</v>
      </c>
      <c r="BQ168" s="99">
        <v>0</v>
      </c>
      <c r="BR168" s="99">
        <v>0</v>
      </c>
      <c r="BS168" s="99">
        <v>0</v>
      </c>
      <c r="BT168" s="99">
        <v>0</v>
      </c>
      <c r="BU168" s="99">
        <v>0</v>
      </c>
      <c r="BV168" s="99">
        <v>0</v>
      </c>
      <c r="BW168" s="99">
        <v>1</v>
      </c>
      <c r="BX168" s="99">
        <v>0</v>
      </c>
      <c r="BY168" s="99">
        <v>0</v>
      </c>
      <c r="BZ168" s="99">
        <v>1</v>
      </c>
      <c r="CA168" s="99">
        <v>0</v>
      </c>
      <c r="CB168" s="99">
        <v>1</v>
      </c>
      <c r="CC168" s="99">
        <v>0</v>
      </c>
      <c r="CD168" s="99">
        <v>0</v>
      </c>
      <c r="CE168" s="99">
        <v>0</v>
      </c>
      <c r="CF168" s="99">
        <v>1</v>
      </c>
      <c r="CG168" s="99">
        <v>0</v>
      </c>
      <c r="CH168" s="99">
        <v>0</v>
      </c>
      <c r="CI168" s="99">
        <v>0</v>
      </c>
      <c r="CJ168" s="99">
        <v>1</v>
      </c>
      <c r="CK168" s="99">
        <v>1</v>
      </c>
      <c r="CL168" s="99">
        <v>0</v>
      </c>
      <c r="CM168" s="99">
        <v>0</v>
      </c>
      <c r="CN168" s="99">
        <v>1</v>
      </c>
      <c r="CO168" s="99">
        <v>0</v>
      </c>
      <c r="CP168" s="99">
        <v>0</v>
      </c>
      <c r="CQ168" s="99">
        <v>0</v>
      </c>
      <c r="CR168" s="99">
        <v>0</v>
      </c>
      <c r="CS168" s="98">
        <v>0</v>
      </c>
    </row>
    <row r="169" spans="2:97" x14ac:dyDescent="0.3">
      <c r="B169" s="83" t="s">
        <v>125</v>
      </c>
      <c r="C169" s="99">
        <v>0</v>
      </c>
      <c r="D169" s="99">
        <v>0</v>
      </c>
      <c r="E169" s="99">
        <v>1</v>
      </c>
      <c r="F169" s="99">
        <v>0</v>
      </c>
      <c r="G169" s="99">
        <v>0</v>
      </c>
      <c r="H169" s="99">
        <v>0</v>
      </c>
      <c r="I169" s="99">
        <v>0</v>
      </c>
      <c r="J169" s="99">
        <v>0</v>
      </c>
      <c r="K169" s="99">
        <v>1</v>
      </c>
      <c r="L169" s="99">
        <v>0</v>
      </c>
      <c r="M169" s="99">
        <v>0</v>
      </c>
      <c r="N169" s="99">
        <v>1</v>
      </c>
      <c r="O169" s="99">
        <v>0</v>
      </c>
      <c r="P169" s="99">
        <v>0</v>
      </c>
      <c r="Q169" s="99">
        <v>0</v>
      </c>
      <c r="R169" s="99">
        <v>0</v>
      </c>
      <c r="S169" s="99">
        <v>1</v>
      </c>
      <c r="T169" s="99">
        <v>0</v>
      </c>
      <c r="U169" s="99">
        <v>0</v>
      </c>
      <c r="V169" s="99">
        <v>1</v>
      </c>
      <c r="W169" s="99">
        <v>0</v>
      </c>
      <c r="X169" s="99">
        <v>0</v>
      </c>
      <c r="Y169" s="99">
        <v>1</v>
      </c>
      <c r="Z169" s="99">
        <v>1</v>
      </c>
      <c r="AA169" s="99">
        <v>0</v>
      </c>
      <c r="AB169" s="99">
        <v>0</v>
      </c>
      <c r="AC169" s="99">
        <v>1</v>
      </c>
      <c r="AD169" s="99">
        <v>0</v>
      </c>
      <c r="AE169" s="99">
        <v>0</v>
      </c>
      <c r="AF169" s="99">
        <v>0</v>
      </c>
      <c r="AG169" s="99">
        <v>0</v>
      </c>
      <c r="AH169" s="99">
        <v>0</v>
      </c>
      <c r="AI169" s="99">
        <v>0</v>
      </c>
      <c r="AJ169" s="99">
        <v>0</v>
      </c>
      <c r="AK169" s="99">
        <v>1</v>
      </c>
      <c r="AL169" s="99">
        <v>1</v>
      </c>
      <c r="AM169" s="99">
        <v>0</v>
      </c>
      <c r="AN169" s="99">
        <v>1</v>
      </c>
      <c r="AO169" s="99">
        <v>1</v>
      </c>
      <c r="AP169" s="99">
        <v>1</v>
      </c>
      <c r="AQ169" s="99">
        <v>0</v>
      </c>
      <c r="AR169" s="99">
        <v>0</v>
      </c>
      <c r="AS169" s="99">
        <v>0</v>
      </c>
      <c r="AT169" s="99">
        <v>0</v>
      </c>
      <c r="AU169" s="99">
        <v>0</v>
      </c>
      <c r="AV169" s="99">
        <v>0</v>
      </c>
      <c r="AW169" s="99">
        <v>0</v>
      </c>
      <c r="AX169" s="99">
        <v>1</v>
      </c>
      <c r="AY169" s="99">
        <v>1</v>
      </c>
      <c r="AZ169" s="99">
        <v>0</v>
      </c>
      <c r="BA169" s="99">
        <v>0</v>
      </c>
      <c r="BB169" s="99">
        <v>0</v>
      </c>
      <c r="BC169" s="99">
        <v>0</v>
      </c>
      <c r="BD169" s="99">
        <v>0</v>
      </c>
      <c r="BE169" s="99">
        <v>1</v>
      </c>
      <c r="BF169" s="99">
        <v>0</v>
      </c>
      <c r="BG169" s="99">
        <v>0</v>
      </c>
      <c r="BH169" s="99">
        <v>0</v>
      </c>
      <c r="BI169" s="99">
        <v>0</v>
      </c>
      <c r="BJ169" s="99">
        <v>1</v>
      </c>
      <c r="BK169" s="99">
        <v>0</v>
      </c>
      <c r="BL169" s="99">
        <v>0</v>
      </c>
      <c r="BM169" s="99">
        <v>0</v>
      </c>
      <c r="BN169" s="99">
        <v>0</v>
      </c>
      <c r="BO169" s="99">
        <v>0</v>
      </c>
      <c r="BP169" s="99">
        <v>1</v>
      </c>
      <c r="BQ169" s="99">
        <v>0</v>
      </c>
      <c r="BR169" s="99">
        <v>0</v>
      </c>
      <c r="BS169" s="99">
        <v>0</v>
      </c>
      <c r="BT169" s="99">
        <v>0</v>
      </c>
      <c r="BU169" s="99">
        <v>0</v>
      </c>
      <c r="BV169" s="99">
        <v>0</v>
      </c>
      <c r="BW169" s="99">
        <v>0</v>
      </c>
      <c r="BX169" s="99">
        <v>0</v>
      </c>
      <c r="BY169" s="99">
        <v>0</v>
      </c>
      <c r="BZ169" s="99">
        <v>0</v>
      </c>
      <c r="CA169" s="99">
        <v>0</v>
      </c>
      <c r="CB169" s="99">
        <v>0</v>
      </c>
      <c r="CC169" s="99">
        <v>1</v>
      </c>
      <c r="CD169" s="99">
        <v>0</v>
      </c>
      <c r="CE169" s="99">
        <v>0</v>
      </c>
      <c r="CF169" s="99">
        <v>0</v>
      </c>
      <c r="CG169" s="99">
        <v>0</v>
      </c>
      <c r="CH169" s="99">
        <v>1</v>
      </c>
      <c r="CI169" s="99">
        <v>0</v>
      </c>
      <c r="CJ169" s="99">
        <v>0</v>
      </c>
      <c r="CK169" s="99">
        <v>0</v>
      </c>
      <c r="CL169" s="99">
        <v>0</v>
      </c>
      <c r="CM169" s="99">
        <v>0</v>
      </c>
      <c r="CN169" s="99">
        <v>0</v>
      </c>
      <c r="CO169" s="99">
        <v>0</v>
      </c>
      <c r="CP169" s="99">
        <v>1</v>
      </c>
      <c r="CQ169" s="99">
        <v>0</v>
      </c>
      <c r="CR169" s="99">
        <v>0</v>
      </c>
      <c r="CS169" s="98">
        <v>0</v>
      </c>
    </row>
    <row r="170" spans="2:97" x14ac:dyDescent="0.3">
      <c r="B170" s="83" t="s">
        <v>126</v>
      </c>
      <c r="C170" s="99">
        <v>0</v>
      </c>
      <c r="D170" s="99">
        <v>0</v>
      </c>
      <c r="E170" s="99">
        <v>0</v>
      </c>
      <c r="F170" s="99">
        <v>1</v>
      </c>
      <c r="G170" s="99">
        <v>0</v>
      </c>
      <c r="H170" s="99">
        <v>1</v>
      </c>
      <c r="I170" s="99">
        <v>0</v>
      </c>
      <c r="J170" s="99">
        <v>1</v>
      </c>
      <c r="K170" s="99">
        <v>0</v>
      </c>
      <c r="L170" s="99">
        <v>0</v>
      </c>
      <c r="M170" s="99">
        <v>0</v>
      </c>
      <c r="N170" s="99">
        <v>0</v>
      </c>
      <c r="O170" s="99">
        <v>0</v>
      </c>
      <c r="P170" s="99">
        <v>1</v>
      </c>
      <c r="Q170" s="99">
        <v>0</v>
      </c>
      <c r="R170" s="99">
        <v>1</v>
      </c>
      <c r="S170" s="99">
        <v>0</v>
      </c>
      <c r="T170" s="99">
        <v>1</v>
      </c>
      <c r="U170" s="99">
        <v>0</v>
      </c>
      <c r="V170" s="99">
        <v>0</v>
      </c>
      <c r="W170" s="99">
        <v>1</v>
      </c>
      <c r="X170" s="99">
        <v>0</v>
      </c>
      <c r="Y170" s="99">
        <v>0</v>
      </c>
      <c r="Z170" s="99">
        <v>0</v>
      </c>
      <c r="AA170" s="99">
        <v>1</v>
      </c>
      <c r="AB170" s="99">
        <v>1</v>
      </c>
      <c r="AC170" s="99">
        <v>0</v>
      </c>
      <c r="AD170" s="99">
        <v>0</v>
      </c>
      <c r="AE170" s="99">
        <v>0</v>
      </c>
      <c r="AF170" s="99">
        <v>0</v>
      </c>
      <c r="AG170" s="99">
        <v>1</v>
      </c>
      <c r="AH170" s="99">
        <v>0</v>
      </c>
      <c r="AI170" s="99">
        <v>1</v>
      </c>
      <c r="AJ170" s="99">
        <v>0</v>
      </c>
      <c r="AK170" s="99">
        <v>0</v>
      </c>
      <c r="AL170" s="99">
        <v>0</v>
      </c>
      <c r="AM170" s="99">
        <v>0</v>
      </c>
      <c r="AN170" s="99">
        <v>0</v>
      </c>
      <c r="AO170" s="99">
        <v>0</v>
      </c>
      <c r="AP170" s="99">
        <v>0</v>
      </c>
      <c r="AQ170" s="99">
        <v>0</v>
      </c>
      <c r="AR170" s="99">
        <v>0</v>
      </c>
      <c r="AS170" s="99">
        <v>0</v>
      </c>
      <c r="AT170" s="99">
        <v>1</v>
      </c>
      <c r="AU170" s="99">
        <v>0</v>
      </c>
      <c r="AV170" s="99">
        <v>0</v>
      </c>
      <c r="AW170" s="99">
        <v>0</v>
      </c>
      <c r="AX170" s="99">
        <v>0</v>
      </c>
      <c r="AY170" s="99">
        <v>0</v>
      </c>
      <c r="AZ170" s="99">
        <v>0</v>
      </c>
      <c r="BA170" s="99">
        <v>0</v>
      </c>
      <c r="BB170" s="99">
        <v>0</v>
      </c>
      <c r="BC170" s="99">
        <v>0</v>
      </c>
      <c r="BD170" s="99">
        <v>0</v>
      </c>
      <c r="BE170" s="99">
        <v>0</v>
      </c>
      <c r="BF170" s="99">
        <v>1</v>
      </c>
      <c r="BG170" s="99">
        <v>0</v>
      </c>
      <c r="BH170" s="99">
        <v>0</v>
      </c>
      <c r="BI170" s="99">
        <v>1</v>
      </c>
      <c r="BJ170" s="99">
        <v>0</v>
      </c>
      <c r="BK170" s="99">
        <v>1</v>
      </c>
      <c r="BL170" s="99">
        <v>0</v>
      </c>
      <c r="BM170" s="99">
        <v>0</v>
      </c>
      <c r="BN170" s="99">
        <v>0</v>
      </c>
      <c r="BO170" s="99">
        <v>0</v>
      </c>
      <c r="BP170" s="99">
        <v>0</v>
      </c>
      <c r="BQ170" s="99">
        <v>1</v>
      </c>
      <c r="BR170" s="99">
        <v>0</v>
      </c>
      <c r="BS170" s="99">
        <v>1</v>
      </c>
      <c r="BT170" s="99">
        <v>1</v>
      </c>
      <c r="BU170" s="99">
        <v>1</v>
      </c>
      <c r="BV170" s="99">
        <v>1</v>
      </c>
      <c r="BW170" s="99">
        <v>0</v>
      </c>
      <c r="BX170" s="99">
        <v>0</v>
      </c>
      <c r="BY170" s="99">
        <v>0</v>
      </c>
      <c r="BZ170" s="99">
        <v>0</v>
      </c>
      <c r="CA170" s="99">
        <v>1</v>
      </c>
      <c r="CB170" s="99">
        <v>0</v>
      </c>
      <c r="CC170" s="99">
        <v>0</v>
      </c>
      <c r="CD170" s="99">
        <v>0</v>
      </c>
      <c r="CE170" s="99">
        <v>0</v>
      </c>
      <c r="CF170" s="99">
        <v>0</v>
      </c>
      <c r="CG170" s="99">
        <v>0</v>
      </c>
      <c r="CH170" s="99">
        <v>0</v>
      </c>
      <c r="CI170" s="99">
        <v>0</v>
      </c>
      <c r="CJ170" s="99">
        <v>0</v>
      </c>
      <c r="CK170" s="99">
        <v>0</v>
      </c>
      <c r="CL170" s="99">
        <v>1</v>
      </c>
      <c r="CM170" s="99">
        <v>1</v>
      </c>
      <c r="CN170" s="99">
        <v>0</v>
      </c>
      <c r="CO170" s="99">
        <v>0</v>
      </c>
      <c r="CP170" s="99">
        <v>0</v>
      </c>
      <c r="CQ170" s="99">
        <v>1</v>
      </c>
      <c r="CR170" s="99">
        <v>0</v>
      </c>
      <c r="CS170" s="98">
        <v>0</v>
      </c>
    </row>
    <row r="171" spans="2:97" x14ac:dyDescent="0.3">
      <c r="B171" s="83" t="s">
        <v>127</v>
      </c>
      <c r="C171" s="99">
        <v>0</v>
      </c>
      <c r="D171" s="99">
        <v>1</v>
      </c>
      <c r="E171" s="99">
        <v>0</v>
      </c>
      <c r="F171" s="99">
        <v>0</v>
      </c>
      <c r="G171" s="99">
        <v>0</v>
      </c>
      <c r="H171" s="99">
        <v>0</v>
      </c>
      <c r="I171" s="99">
        <v>0</v>
      </c>
      <c r="J171" s="99">
        <v>0</v>
      </c>
      <c r="K171" s="99">
        <v>0</v>
      </c>
      <c r="L171" s="99">
        <v>0</v>
      </c>
      <c r="M171" s="99">
        <v>1</v>
      </c>
      <c r="N171" s="99">
        <v>0</v>
      </c>
      <c r="O171" s="99">
        <v>0</v>
      </c>
      <c r="P171" s="99">
        <v>0</v>
      </c>
      <c r="Q171" s="99">
        <v>0</v>
      </c>
      <c r="R171" s="99">
        <v>0</v>
      </c>
      <c r="S171" s="99">
        <v>0</v>
      </c>
      <c r="T171" s="99">
        <v>0</v>
      </c>
      <c r="U171" s="99">
        <v>1</v>
      </c>
      <c r="V171" s="99">
        <v>0</v>
      </c>
      <c r="W171" s="99">
        <v>0</v>
      </c>
      <c r="X171" s="99">
        <v>1</v>
      </c>
      <c r="Y171" s="99">
        <v>0</v>
      </c>
      <c r="Z171" s="99">
        <v>0</v>
      </c>
      <c r="AA171" s="99">
        <v>0</v>
      </c>
      <c r="AB171" s="99">
        <v>0</v>
      </c>
      <c r="AC171" s="99">
        <v>0</v>
      </c>
      <c r="AD171" s="99">
        <v>1</v>
      </c>
      <c r="AE171" s="99">
        <v>0</v>
      </c>
      <c r="AF171" s="99">
        <v>0</v>
      </c>
      <c r="AG171" s="99">
        <v>0</v>
      </c>
      <c r="AH171" s="99">
        <v>0</v>
      </c>
      <c r="AI171" s="99">
        <v>0</v>
      </c>
      <c r="AJ171" s="99">
        <v>0</v>
      </c>
      <c r="AK171" s="99">
        <v>0</v>
      </c>
      <c r="AL171" s="99">
        <v>0</v>
      </c>
      <c r="AM171" s="99">
        <v>0</v>
      </c>
      <c r="AN171" s="99">
        <v>0</v>
      </c>
      <c r="AO171" s="99">
        <v>0</v>
      </c>
      <c r="AP171" s="99">
        <v>0</v>
      </c>
      <c r="AQ171" s="99">
        <v>1</v>
      </c>
      <c r="AR171" s="99">
        <v>1</v>
      </c>
      <c r="AS171" s="99">
        <v>1</v>
      </c>
      <c r="AT171" s="99">
        <v>0</v>
      </c>
      <c r="AU171" s="99">
        <v>0</v>
      </c>
      <c r="AV171" s="99">
        <v>0</v>
      </c>
      <c r="AW171" s="99">
        <v>0</v>
      </c>
      <c r="AX171" s="99">
        <v>0</v>
      </c>
      <c r="AY171" s="99">
        <v>0</v>
      </c>
      <c r="AZ171" s="99">
        <v>1</v>
      </c>
      <c r="BA171" s="99">
        <v>1</v>
      </c>
      <c r="BB171" s="99">
        <v>1</v>
      </c>
      <c r="BC171" s="99">
        <v>0</v>
      </c>
      <c r="BD171" s="99">
        <v>1</v>
      </c>
      <c r="BE171" s="99">
        <v>0</v>
      </c>
      <c r="BF171" s="99">
        <v>0</v>
      </c>
      <c r="BG171" s="99">
        <v>1</v>
      </c>
      <c r="BH171" s="99">
        <v>1</v>
      </c>
      <c r="BI171" s="99">
        <v>0</v>
      </c>
      <c r="BJ171" s="99">
        <v>0</v>
      </c>
      <c r="BK171" s="99">
        <v>0</v>
      </c>
      <c r="BL171" s="99">
        <v>0</v>
      </c>
      <c r="BM171" s="99">
        <v>1</v>
      </c>
      <c r="BN171" s="99">
        <v>1</v>
      </c>
      <c r="BO171" s="99">
        <v>0</v>
      </c>
      <c r="BP171" s="99">
        <v>0</v>
      </c>
      <c r="BQ171" s="99">
        <v>0</v>
      </c>
      <c r="BR171" s="99">
        <v>1</v>
      </c>
      <c r="BS171" s="99">
        <v>0</v>
      </c>
      <c r="BT171" s="99">
        <v>0</v>
      </c>
      <c r="BU171" s="99">
        <v>0</v>
      </c>
      <c r="BV171" s="99">
        <v>0</v>
      </c>
      <c r="BW171" s="99">
        <v>0</v>
      </c>
      <c r="BX171" s="99">
        <v>1</v>
      </c>
      <c r="BY171" s="99">
        <v>1</v>
      </c>
      <c r="BZ171" s="99">
        <v>0</v>
      </c>
      <c r="CA171" s="99">
        <v>0</v>
      </c>
      <c r="CB171" s="99">
        <v>0</v>
      </c>
      <c r="CC171" s="99">
        <v>0</v>
      </c>
      <c r="CD171" s="99">
        <v>1</v>
      </c>
      <c r="CE171" s="99">
        <v>1</v>
      </c>
      <c r="CF171" s="99">
        <v>0</v>
      </c>
      <c r="CG171" s="99">
        <v>1</v>
      </c>
      <c r="CH171" s="99">
        <v>0</v>
      </c>
      <c r="CI171" s="99">
        <v>1</v>
      </c>
      <c r="CJ171" s="99">
        <v>0</v>
      </c>
      <c r="CK171" s="99">
        <v>0</v>
      </c>
      <c r="CL171" s="99">
        <v>0</v>
      </c>
      <c r="CM171" s="99">
        <v>0</v>
      </c>
      <c r="CN171" s="99">
        <v>0</v>
      </c>
      <c r="CO171" s="99">
        <v>1</v>
      </c>
      <c r="CP171" s="99">
        <v>0</v>
      </c>
      <c r="CQ171" s="99">
        <v>0</v>
      </c>
      <c r="CR171" s="99">
        <v>1</v>
      </c>
      <c r="CS171" s="98">
        <v>1</v>
      </c>
    </row>
    <row r="172" spans="2:97" x14ac:dyDescent="0.3">
      <c r="B172" s="83" t="s">
        <v>128</v>
      </c>
      <c r="C172" s="99">
        <v>0</v>
      </c>
      <c r="D172" s="99">
        <v>0</v>
      </c>
      <c r="E172" s="99">
        <v>0</v>
      </c>
      <c r="F172" s="99">
        <v>1</v>
      </c>
      <c r="G172" s="99">
        <v>0</v>
      </c>
      <c r="H172" s="99">
        <v>1</v>
      </c>
      <c r="I172" s="99">
        <v>0</v>
      </c>
      <c r="J172" s="99">
        <v>1</v>
      </c>
      <c r="K172" s="99">
        <v>0</v>
      </c>
      <c r="L172" s="99">
        <v>0</v>
      </c>
      <c r="M172" s="99">
        <v>0</v>
      </c>
      <c r="N172" s="99">
        <v>0</v>
      </c>
      <c r="O172" s="99">
        <v>0</v>
      </c>
      <c r="P172" s="99">
        <v>1</v>
      </c>
      <c r="Q172" s="99">
        <v>0</v>
      </c>
      <c r="R172" s="99">
        <v>1</v>
      </c>
      <c r="S172" s="99">
        <v>0</v>
      </c>
      <c r="T172" s="99">
        <v>1</v>
      </c>
      <c r="U172" s="99">
        <v>0</v>
      </c>
      <c r="V172" s="99">
        <v>0</v>
      </c>
      <c r="W172" s="99">
        <v>1</v>
      </c>
      <c r="X172" s="99">
        <v>0</v>
      </c>
      <c r="Y172" s="99">
        <v>0</v>
      </c>
      <c r="Z172" s="99">
        <v>0</v>
      </c>
      <c r="AA172" s="99">
        <v>1</v>
      </c>
      <c r="AB172" s="99">
        <v>1</v>
      </c>
      <c r="AC172" s="99">
        <v>0</v>
      </c>
      <c r="AD172" s="99">
        <v>0</v>
      </c>
      <c r="AE172" s="99">
        <v>0</v>
      </c>
      <c r="AF172" s="99">
        <v>0</v>
      </c>
      <c r="AG172" s="99">
        <v>1</v>
      </c>
      <c r="AH172" s="99">
        <v>0</v>
      </c>
      <c r="AI172" s="99">
        <v>1</v>
      </c>
      <c r="AJ172" s="99">
        <v>0</v>
      </c>
      <c r="AK172" s="99">
        <v>0</v>
      </c>
      <c r="AL172" s="99">
        <v>0</v>
      </c>
      <c r="AM172" s="99">
        <v>0</v>
      </c>
      <c r="AN172" s="99">
        <v>0</v>
      </c>
      <c r="AO172" s="99">
        <v>0</v>
      </c>
      <c r="AP172" s="99">
        <v>0</v>
      </c>
      <c r="AQ172" s="99">
        <v>0</v>
      </c>
      <c r="AR172" s="99">
        <v>0</v>
      </c>
      <c r="AS172" s="99">
        <v>0</v>
      </c>
      <c r="AT172" s="99">
        <v>1</v>
      </c>
      <c r="AU172" s="99">
        <v>0</v>
      </c>
      <c r="AV172" s="99">
        <v>0</v>
      </c>
      <c r="AW172" s="99">
        <v>0</v>
      </c>
      <c r="AX172" s="99">
        <v>0</v>
      </c>
      <c r="AY172" s="99">
        <v>0</v>
      </c>
      <c r="AZ172" s="99">
        <v>0</v>
      </c>
      <c r="BA172" s="99">
        <v>0</v>
      </c>
      <c r="BB172" s="99">
        <v>0</v>
      </c>
      <c r="BC172" s="99">
        <v>0</v>
      </c>
      <c r="BD172" s="99">
        <v>0</v>
      </c>
      <c r="BE172" s="99">
        <v>0</v>
      </c>
      <c r="BF172" s="99">
        <v>1</v>
      </c>
      <c r="BG172" s="99">
        <v>0</v>
      </c>
      <c r="BH172" s="99">
        <v>0</v>
      </c>
      <c r="BI172" s="99">
        <v>1</v>
      </c>
      <c r="BJ172" s="99">
        <v>0</v>
      </c>
      <c r="BK172" s="99">
        <v>1</v>
      </c>
      <c r="BL172" s="99">
        <v>0</v>
      </c>
      <c r="BM172" s="99">
        <v>0</v>
      </c>
      <c r="BN172" s="99">
        <v>0</v>
      </c>
      <c r="BO172" s="99">
        <v>0</v>
      </c>
      <c r="BP172" s="99">
        <v>0</v>
      </c>
      <c r="BQ172" s="99">
        <v>1</v>
      </c>
      <c r="BR172" s="99">
        <v>0</v>
      </c>
      <c r="BS172" s="99">
        <v>1</v>
      </c>
      <c r="BT172" s="99">
        <v>1</v>
      </c>
      <c r="BU172" s="99">
        <v>1</v>
      </c>
      <c r="BV172" s="99">
        <v>1</v>
      </c>
      <c r="BW172" s="99">
        <v>0</v>
      </c>
      <c r="BX172" s="99">
        <v>0</v>
      </c>
      <c r="BY172" s="99">
        <v>0</v>
      </c>
      <c r="BZ172" s="99">
        <v>0</v>
      </c>
      <c r="CA172" s="99">
        <v>1</v>
      </c>
      <c r="CB172" s="99">
        <v>0</v>
      </c>
      <c r="CC172" s="99">
        <v>0</v>
      </c>
      <c r="CD172" s="99">
        <v>0</v>
      </c>
      <c r="CE172" s="99">
        <v>0</v>
      </c>
      <c r="CF172" s="99">
        <v>0</v>
      </c>
      <c r="CG172" s="99">
        <v>0</v>
      </c>
      <c r="CH172" s="99">
        <v>0</v>
      </c>
      <c r="CI172" s="99">
        <v>0</v>
      </c>
      <c r="CJ172" s="99">
        <v>0</v>
      </c>
      <c r="CK172" s="99">
        <v>0</v>
      </c>
      <c r="CL172" s="99">
        <v>1</v>
      </c>
      <c r="CM172" s="99">
        <v>1</v>
      </c>
      <c r="CN172" s="99">
        <v>0</v>
      </c>
      <c r="CO172" s="99">
        <v>0</v>
      </c>
      <c r="CP172" s="99">
        <v>0</v>
      </c>
      <c r="CQ172" s="99">
        <v>1</v>
      </c>
      <c r="CR172" s="99">
        <v>0</v>
      </c>
      <c r="CS172" s="98">
        <v>0</v>
      </c>
    </row>
    <row r="173" spans="2:97" x14ac:dyDescent="0.3">
      <c r="B173" s="83" t="s">
        <v>129</v>
      </c>
      <c r="C173" s="99">
        <v>0</v>
      </c>
      <c r="D173" s="99">
        <v>0</v>
      </c>
      <c r="E173" s="99">
        <v>0</v>
      </c>
      <c r="F173" s="99">
        <v>1</v>
      </c>
      <c r="G173" s="99">
        <v>0</v>
      </c>
      <c r="H173" s="99">
        <v>1</v>
      </c>
      <c r="I173" s="99">
        <v>0</v>
      </c>
      <c r="J173" s="99">
        <v>1</v>
      </c>
      <c r="K173" s="99">
        <v>0</v>
      </c>
      <c r="L173" s="99">
        <v>0</v>
      </c>
      <c r="M173" s="99">
        <v>0</v>
      </c>
      <c r="N173" s="99">
        <v>0</v>
      </c>
      <c r="O173" s="99">
        <v>0</v>
      </c>
      <c r="P173" s="99">
        <v>1</v>
      </c>
      <c r="Q173" s="99">
        <v>0</v>
      </c>
      <c r="R173" s="99">
        <v>1</v>
      </c>
      <c r="S173" s="99">
        <v>0</v>
      </c>
      <c r="T173" s="99">
        <v>1</v>
      </c>
      <c r="U173" s="99">
        <v>0</v>
      </c>
      <c r="V173" s="99">
        <v>0</v>
      </c>
      <c r="W173" s="99">
        <v>1</v>
      </c>
      <c r="X173" s="99">
        <v>0</v>
      </c>
      <c r="Y173" s="99">
        <v>0</v>
      </c>
      <c r="Z173" s="99">
        <v>0</v>
      </c>
      <c r="AA173" s="99">
        <v>1</v>
      </c>
      <c r="AB173" s="99">
        <v>1</v>
      </c>
      <c r="AC173" s="99">
        <v>0</v>
      </c>
      <c r="AD173" s="99">
        <v>0</v>
      </c>
      <c r="AE173" s="99">
        <v>0</v>
      </c>
      <c r="AF173" s="99">
        <v>0</v>
      </c>
      <c r="AG173" s="99">
        <v>1</v>
      </c>
      <c r="AH173" s="99">
        <v>0</v>
      </c>
      <c r="AI173" s="99">
        <v>1</v>
      </c>
      <c r="AJ173" s="99">
        <v>0</v>
      </c>
      <c r="AK173" s="99">
        <v>0</v>
      </c>
      <c r="AL173" s="99">
        <v>0</v>
      </c>
      <c r="AM173" s="99">
        <v>0</v>
      </c>
      <c r="AN173" s="99">
        <v>0</v>
      </c>
      <c r="AO173" s="99">
        <v>0</v>
      </c>
      <c r="AP173" s="99">
        <v>0</v>
      </c>
      <c r="AQ173" s="99">
        <v>0</v>
      </c>
      <c r="AR173" s="99">
        <v>0</v>
      </c>
      <c r="AS173" s="99">
        <v>0</v>
      </c>
      <c r="AT173" s="99">
        <v>1</v>
      </c>
      <c r="AU173" s="99">
        <v>0</v>
      </c>
      <c r="AV173" s="99">
        <v>0</v>
      </c>
      <c r="AW173" s="99">
        <v>0</v>
      </c>
      <c r="AX173" s="99">
        <v>0</v>
      </c>
      <c r="AY173" s="99">
        <v>0</v>
      </c>
      <c r="AZ173" s="99">
        <v>0</v>
      </c>
      <c r="BA173" s="99">
        <v>0</v>
      </c>
      <c r="BB173" s="99">
        <v>0</v>
      </c>
      <c r="BC173" s="99">
        <v>0</v>
      </c>
      <c r="BD173" s="99">
        <v>0</v>
      </c>
      <c r="BE173" s="99">
        <v>0</v>
      </c>
      <c r="BF173" s="99">
        <v>1</v>
      </c>
      <c r="BG173" s="99">
        <v>0</v>
      </c>
      <c r="BH173" s="99">
        <v>0</v>
      </c>
      <c r="BI173" s="99">
        <v>1</v>
      </c>
      <c r="BJ173" s="99">
        <v>0</v>
      </c>
      <c r="BK173" s="99">
        <v>1</v>
      </c>
      <c r="BL173" s="99">
        <v>0</v>
      </c>
      <c r="BM173" s="99">
        <v>0</v>
      </c>
      <c r="BN173" s="99">
        <v>0</v>
      </c>
      <c r="BO173" s="99">
        <v>0</v>
      </c>
      <c r="BP173" s="99">
        <v>0</v>
      </c>
      <c r="BQ173" s="99">
        <v>1</v>
      </c>
      <c r="BR173" s="99">
        <v>0</v>
      </c>
      <c r="BS173" s="99">
        <v>1</v>
      </c>
      <c r="BT173" s="99">
        <v>1</v>
      </c>
      <c r="BU173" s="99">
        <v>1</v>
      </c>
      <c r="BV173" s="99">
        <v>1</v>
      </c>
      <c r="BW173" s="99">
        <v>0</v>
      </c>
      <c r="BX173" s="99">
        <v>0</v>
      </c>
      <c r="BY173" s="99">
        <v>0</v>
      </c>
      <c r="BZ173" s="99">
        <v>0</v>
      </c>
      <c r="CA173" s="99">
        <v>1</v>
      </c>
      <c r="CB173" s="99">
        <v>0</v>
      </c>
      <c r="CC173" s="99">
        <v>0</v>
      </c>
      <c r="CD173" s="99">
        <v>0</v>
      </c>
      <c r="CE173" s="99">
        <v>0</v>
      </c>
      <c r="CF173" s="99">
        <v>0</v>
      </c>
      <c r="CG173" s="99">
        <v>0</v>
      </c>
      <c r="CH173" s="99">
        <v>0</v>
      </c>
      <c r="CI173" s="99">
        <v>0</v>
      </c>
      <c r="CJ173" s="99">
        <v>0</v>
      </c>
      <c r="CK173" s="99">
        <v>0</v>
      </c>
      <c r="CL173" s="99">
        <v>1</v>
      </c>
      <c r="CM173" s="99">
        <v>1</v>
      </c>
      <c r="CN173" s="99">
        <v>0</v>
      </c>
      <c r="CO173" s="99">
        <v>0</v>
      </c>
      <c r="CP173" s="99">
        <v>0</v>
      </c>
      <c r="CQ173" s="99">
        <v>1</v>
      </c>
      <c r="CR173" s="99">
        <v>0</v>
      </c>
      <c r="CS173" s="98">
        <v>0</v>
      </c>
    </row>
    <row r="174" spans="2:97" x14ac:dyDescent="0.3">
      <c r="B174" s="83" t="s">
        <v>130</v>
      </c>
      <c r="C174" s="99">
        <v>0</v>
      </c>
      <c r="D174" s="99">
        <v>0</v>
      </c>
      <c r="E174" s="99">
        <v>0</v>
      </c>
      <c r="F174" s="99">
        <v>1</v>
      </c>
      <c r="G174" s="99">
        <v>0</v>
      </c>
      <c r="H174" s="99">
        <v>1</v>
      </c>
      <c r="I174" s="99">
        <v>0</v>
      </c>
      <c r="J174" s="99">
        <v>1</v>
      </c>
      <c r="K174" s="99">
        <v>0</v>
      </c>
      <c r="L174" s="99">
        <v>0</v>
      </c>
      <c r="M174" s="99">
        <v>0</v>
      </c>
      <c r="N174" s="99">
        <v>0</v>
      </c>
      <c r="O174" s="99">
        <v>0</v>
      </c>
      <c r="P174" s="99">
        <v>1</v>
      </c>
      <c r="Q174" s="99">
        <v>0</v>
      </c>
      <c r="R174" s="99">
        <v>1</v>
      </c>
      <c r="S174" s="99">
        <v>0</v>
      </c>
      <c r="T174" s="99">
        <v>1</v>
      </c>
      <c r="U174" s="99">
        <v>0</v>
      </c>
      <c r="V174" s="99">
        <v>0</v>
      </c>
      <c r="W174" s="99">
        <v>1</v>
      </c>
      <c r="X174" s="99">
        <v>0</v>
      </c>
      <c r="Y174" s="99">
        <v>0</v>
      </c>
      <c r="Z174" s="99">
        <v>0</v>
      </c>
      <c r="AA174" s="99">
        <v>1</v>
      </c>
      <c r="AB174" s="99">
        <v>1</v>
      </c>
      <c r="AC174" s="99">
        <v>0</v>
      </c>
      <c r="AD174" s="99">
        <v>0</v>
      </c>
      <c r="AE174" s="99">
        <v>0</v>
      </c>
      <c r="AF174" s="99">
        <v>0</v>
      </c>
      <c r="AG174" s="99">
        <v>1</v>
      </c>
      <c r="AH174" s="99">
        <v>0</v>
      </c>
      <c r="AI174" s="99">
        <v>1</v>
      </c>
      <c r="AJ174" s="99">
        <v>0</v>
      </c>
      <c r="AK174" s="99">
        <v>0</v>
      </c>
      <c r="AL174" s="99">
        <v>0</v>
      </c>
      <c r="AM174" s="99">
        <v>0</v>
      </c>
      <c r="AN174" s="99">
        <v>0</v>
      </c>
      <c r="AO174" s="99">
        <v>0</v>
      </c>
      <c r="AP174" s="99">
        <v>0</v>
      </c>
      <c r="AQ174" s="99">
        <v>0</v>
      </c>
      <c r="AR174" s="99">
        <v>0</v>
      </c>
      <c r="AS174" s="99">
        <v>0</v>
      </c>
      <c r="AT174" s="99">
        <v>1</v>
      </c>
      <c r="AU174" s="99">
        <v>0</v>
      </c>
      <c r="AV174" s="99">
        <v>0</v>
      </c>
      <c r="AW174" s="99">
        <v>0</v>
      </c>
      <c r="AX174" s="99">
        <v>0</v>
      </c>
      <c r="AY174" s="99">
        <v>0</v>
      </c>
      <c r="AZ174" s="99">
        <v>0</v>
      </c>
      <c r="BA174" s="99">
        <v>0</v>
      </c>
      <c r="BB174" s="99">
        <v>0</v>
      </c>
      <c r="BC174" s="99">
        <v>0</v>
      </c>
      <c r="BD174" s="99">
        <v>0</v>
      </c>
      <c r="BE174" s="99">
        <v>0</v>
      </c>
      <c r="BF174" s="99">
        <v>1</v>
      </c>
      <c r="BG174" s="99">
        <v>0</v>
      </c>
      <c r="BH174" s="99">
        <v>0</v>
      </c>
      <c r="BI174" s="99">
        <v>1</v>
      </c>
      <c r="BJ174" s="99">
        <v>0</v>
      </c>
      <c r="BK174" s="99">
        <v>1</v>
      </c>
      <c r="BL174" s="99">
        <v>0</v>
      </c>
      <c r="BM174" s="99">
        <v>0</v>
      </c>
      <c r="BN174" s="99">
        <v>0</v>
      </c>
      <c r="BO174" s="99">
        <v>0</v>
      </c>
      <c r="BP174" s="99">
        <v>0</v>
      </c>
      <c r="BQ174" s="99">
        <v>1</v>
      </c>
      <c r="BR174" s="99">
        <v>0</v>
      </c>
      <c r="BS174" s="99">
        <v>1</v>
      </c>
      <c r="BT174" s="99">
        <v>1</v>
      </c>
      <c r="BU174" s="99">
        <v>1</v>
      </c>
      <c r="BV174" s="99">
        <v>1</v>
      </c>
      <c r="BW174" s="99">
        <v>0</v>
      </c>
      <c r="BX174" s="99">
        <v>0</v>
      </c>
      <c r="BY174" s="99">
        <v>0</v>
      </c>
      <c r="BZ174" s="99">
        <v>0</v>
      </c>
      <c r="CA174" s="99">
        <v>1</v>
      </c>
      <c r="CB174" s="99">
        <v>0</v>
      </c>
      <c r="CC174" s="99">
        <v>0</v>
      </c>
      <c r="CD174" s="99">
        <v>0</v>
      </c>
      <c r="CE174" s="99">
        <v>0</v>
      </c>
      <c r="CF174" s="99">
        <v>0</v>
      </c>
      <c r="CG174" s="99">
        <v>0</v>
      </c>
      <c r="CH174" s="99">
        <v>0</v>
      </c>
      <c r="CI174" s="99">
        <v>0</v>
      </c>
      <c r="CJ174" s="99">
        <v>0</v>
      </c>
      <c r="CK174" s="99">
        <v>0</v>
      </c>
      <c r="CL174" s="99">
        <v>1</v>
      </c>
      <c r="CM174" s="99">
        <v>1</v>
      </c>
      <c r="CN174" s="99">
        <v>0</v>
      </c>
      <c r="CO174" s="99">
        <v>0</v>
      </c>
      <c r="CP174" s="99">
        <v>0</v>
      </c>
      <c r="CQ174" s="99">
        <v>1</v>
      </c>
      <c r="CR174" s="99">
        <v>0</v>
      </c>
      <c r="CS174" s="98">
        <v>0</v>
      </c>
    </row>
    <row r="175" spans="2:97" x14ac:dyDescent="0.3">
      <c r="B175" s="83" t="s">
        <v>131</v>
      </c>
      <c r="C175" s="99">
        <v>0</v>
      </c>
      <c r="D175" s="99">
        <v>0</v>
      </c>
      <c r="E175" s="99">
        <v>0</v>
      </c>
      <c r="F175" s="99">
        <v>1</v>
      </c>
      <c r="G175" s="99">
        <v>0</v>
      </c>
      <c r="H175" s="99">
        <v>1</v>
      </c>
      <c r="I175" s="99">
        <v>0</v>
      </c>
      <c r="J175" s="99">
        <v>1</v>
      </c>
      <c r="K175" s="99">
        <v>0</v>
      </c>
      <c r="L175" s="99">
        <v>0</v>
      </c>
      <c r="M175" s="99">
        <v>0</v>
      </c>
      <c r="N175" s="99">
        <v>0</v>
      </c>
      <c r="O175" s="99">
        <v>0</v>
      </c>
      <c r="P175" s="99">
        <v>1</v>
      </c>
      <c r="Q175" s="99">
        <v>0</v>
      </c>
      <c r="R175" s="99">
        <v>1</v>
      </c>
      <c r="S175" s="99">
        <v>0</v>
      </c>
      <c r="T175" s="99">
        <v>1</v>
      </c>
      <c r="U175" s="99">
        <v>0</v>
      </c>
      <c r="V175" s="99">
        <v>0</v>
      </c>
      <c r="W175" s="99">
        <v>1</v>
      </c>
      <c r="X175" s="99">
        <v>0</v>
      </c>
      <c r="Y175" s="99">
        <v>0</v>
      </c>
      <c r="Z175" s="99">
        <v>0</v>
      </c>
      <c r="AA175" s="99">
        <v>1</v>
      </c>
      <c r="AB175" s="99">
        <v>1</v>
      </c>
      <c r="AC175" s="99">
        <v>0</v>
      </c>
      <c r="AD175" s="99">
        <v>0</v>
      </c>
      <c r="AE175" s="99">
        <v>0</v>
      </c>
      <c r="AF175" s="99">
        <v>0</v>
      </c>
      <c r="AG175" s="99">
        <v>1</v>
      </c>
      <c r="AH175" s="99">
        <v>0</v>
      </c>
      <c r="AI175" s="99">
        <v>1</v>
      </c>
      <c r="AJ175" s="99">
        <v>0</v>
      </c>
      <c r="AK175" s="99">
        <v>0</v>
      </c>
      <c r="AL175" s="99">
        <v>0</v>
      </c>
      <c r="AM175" s="99">
        <v>0</v>
      </c>
      <c r="AN175" s="99">
        <v>0</v>
      </c>
      <c r="AO175" s="99">
        <v>0</v>
      </c>
      <c r="AP175" s="99">
        <v>0</v>
      </c>
      <c r="AQ175" s="99">
        <v>0</v>
      </c>
      <c r="AR175" s="99">
        <v>0</v>
      </c>
      <c r="AS175" s="99">
        <v>0</v>
      </c>
      <c r="AT175" s="99">
        <v>1</v>
      </c>
      <c r="AU175" s="99">
        <v>0</v>
      </c>
      <c r="AV175" s="99">
        <v>0</v>
      </c>
      <c r="AW175" s="99">
        <v>0</v>
      </c>
      <c r="AX175" s="99">
        <v>0</v>
      </c>
      <c r="AY175" s="99">
        <v>0</v>
      </c>
      <c r="AZ175" s="99">
        <v>0</v>
      </c>
      <c r="BA175" s="99">
        <v>0</v>
      </c>
      <c r="BB175" s="99">
        <v>0</v>
      </c>
      <c r="BC175" s="99">
        <v>0</v>
      </c>
      <c r="BD175" s="99">
        <v>0</v>
      </c>
      <c r="BE175" s="99">
        <v>0</v>
      </c>
      <c r="BF175" s="99">
        <v>1</v>
      </c>
      <c r="BG175" s="99">
        <v>0</v>
      </c>
      <c r="BH175" s="99">
        <v>0</v>
      </c>
      <c r="BI175" s="99">
        <v>1</v>
      </c>
      <c r="BJ175" s="99">
        <v>0</v>
      </c>
      <c r="BK175" s="99">
        <v>1</v>
      </c>
      <c r="BL175" s="99">
        <v>0</v>
      </c>
      <c r="BM175" s="99">
        <v>0</v>
      </c>
      <c r="BN175" s="99">
        <v>0</v>
      </c>
      <c r="BO175" s="99">
        <v>0</v>
      </c>
      <c r="BP175" s="99">
        <v>0</v>
      </c>
      <c r="BQ175" s="99">
        <v>1</v>
      </c>
      <c r="BR175" s="99">
        <v>0</v>
      </c>
      <c r="BS175" s="99">
        <v>1</v>
      </c>
      <c r="BT175" s="99">
        <v>1</v>
      </c>
      <c r="BU175" s="99">
        <v>1</v>
      </c>
      <c r="BV175" s="99">
        <v>1</v>
      </c>
      <c r="BW175" s="99">
        <v>0</v>
      </c>
      <c r="BX175" s="99">
        <v>0</v>
      </c>
      <c r="BY175" s="99">
        <v>0</v>
      </c>
      <c r="BZ175" s="99">
        <v>0</v>
      </c>
      <c r="CA175" s="99">
        <v>1</v>
      </c>
      <c r="CB175" s="99">
        <v>0</v>
      </c>
      <c r="CC175" s="99">
        <v>0</v>
      </c>
      <c r="CD175" s="99">
        <v>0</v>
      </c>
      <c r="CE175" s="99">
        <v>0</v>
      </c>
      <c r="CF175" s="99">
        <v>0</v>
      </c>
      <c r="CG175" s="99">
        <v>0</v>
      </c>
      <c r="CH175" s="99">
        <v>0</v>
      </c>
      <c r="CI175" s="99">
        <v>0</v>
      </c>
      <c r="CJ175" s="99">
        <v>0</v>
      </c>
      <c r="CK175" s="99">
        <v>0</v>
      </c>
      <c r="CL175" s="99">
        <v>1</v>
      </c>
      <c r="CM175" s="99">
        <v>1</v>
      </c>
      <c r="CN175" s="99">
        <v>0</v>
      </c>
      <c r="CO175" s="99">
        <v>0</v>
      </c>
      <c r="CP175" s="99">
        <v>0</v>
      </c>
      <c r="CQ175" s="99">
        <v>1</v>
      </c>
      <c r="CR175" s="99">
        <v>0</v>
      </c>
      <c r="CS175" s="98">
        <v>0</v>
      </c>
    </row>
    <row r="176" spans="2:97" x14ac:dyDescent="0.3">
      <c r="B176" s="83" t="s">
        <v>132</v>
      </c>
      <c r="C176" s="99">
        <v>1</v>
      </c>
      <c r="D176" s="99">
        <v>0</v>
      </c>
      <c r="E176" s="99">
        <v>0</v>
      </c>
      <c r="F176" s="99">
        <v>0</v>
      </c>
      <c r="G176" s="99">
        <v>1</v>
      </c>
      <c r="H176" s="99">
        <v>0</v>
      </c>
      <c r="I176" s="99">
        <v>1</v>
      </c>
      <c r="J176" s="99">
        <v>0</v>
      </c>
      <c r="K176" s="99">
        <v>0</v>
      </c>
      <c r="L176" s="99">
        <v>1</v>
      </c>
      <c r="M176" s="99">
        <v>0</v>
      </c>
      <c r="N176" s="99">
        <v>0</v>
      </c>
      <c r="O176" s="99">
        <v>1</v>
      </c>
      <c r="P176" s="99">
        <v>0</v>
      </c>
      <c r="Q176" s="99">
        <v>1</v>
      </c>
      <c r="R176" s="99">
        <v>0</v>
      </c>
      <c r="S176" s="99">
        <v>0</v>
      </c>
      <c r="T176" s="99">
        <v>0</v>
      </c>
      <c r="U176" s="99">
        <v>0</v>
      </c>
      <c r="V176" s="99">
        <v>0</v>
      </c>
      <c r="W176" s="99">
        <v>0</v>
      </c>
      <c r="X176" s="99">
        <v>0</v>
      </c>
      <c r="Y176" s="99">
        <v>0</v>
      </c>
      <c r="Z176" s="99">
        <v>0</v>
      </c>
      <c r="AA176" s="99">
        <v>0</v>
      </c>
      <c r="AB176" s="99">
        <v>0</v>
      </c>
      <c r="AC176" s="99">
        <v>0</v>
      </c>
      <c r="AD176" s="99">
        <v>0</v>
      </c>
      <c r="AE176" s="99">
        <v>1</v>
      </c>
      <c r="AF176" s="99">
        <v>1</v>
      </c>
      <c r="AG176" s="99">
        <v>0</v>
      </c>
      <c r="AH176" s="99">
        <v>1</v>
      </c>
      <c r="AI176" s="99">
        <v>0</v>
      </c>
      <c r="AJ176" s="99">
        <v>1</v>
      </c>
      <c r="AK176" s="99">
        <v>0</v>
      </c>
      <c r="AL176" s="99">
        <v>0</v>
      </c>
      <c r="AM176" s="99">
        <v>1</v>
      </c>
      <c r="AN176" s="99">
        <v>0</v>
      </c>
      <c r="AO176" s="99">
        <v>0</v>
      </c>
      <c r="AP176" s="99">
        <v>0</v>
      </c>
      <c r="AQ176" s="99">
        <v>0</v>
      </c>
      <c r="AR176" s="99">
        <v>0</v>
      </c>
      <c r="AS176" s="99">
        <v>0</v>
      </c>
      <c r="AT176" s="99">
        <v>0</v>
      </c>
      <c r="AU176" s="99">
        <v>1</v>
      </c>
      <c r="AV176" s="99">
        <v>1</v>
      </c>
      <c r="AW176" s="99">
        <v>1</v>
      </c>
      <c r="AX176" s="99">
        <v>0</v>
      </c>
      <c r="AY176" s="99">
        <v>0</v>
      </c>
      <c r="AZ176" s="99">
        <v>0</v>
      </c>
      <c r="BA176" s="99">
        <v>0</v>
      </c>
      <c r="BB176" s="99">
        <v>0</v>
      </c>
      <c r="BC176" s="99">
        <v>1</v>
      </c>
      <c r="BD176" s="99">
        <v>0</v>
      </c>
      <c r="BE176" s="99">
        <v>0</v>
      </c>
      <c r="BF176" s="99">
        <v>0</v>
      </c>
      <c r="BG176" s="99">
        <v>0</v>
      </c>
      <c r="BH176" s="99">
        <v>0</v>
      </c>
      <c r="BI176" s="99">
        <v>0</v>
      </c>
      <c r="BJ176" s="99">
        <v>0</v>
      </c>
      <c r="BK176" s="99">
        <v>0</v>
      </c>
      <c r="BL176" s="99">
        <v>1</v>
      </c>
      <c r="BM176" s="99">
        <v>0</v>
      </c>
      <c r="BN176" s="99">
        <v>0</v>
      </c>
      <c r="BO176" s="99">
        <v>1</v>
      </c>
      <c r="BP176" s="99">
        <v>0</v>
      </c>
      <c r="BQ176" s="99">
        <v>0</v>
      </c>
      <c r="BR176" s="99">
        <v>0</v>
      </c>
      <c r="BS176" s="99">
        <v>0</v>
      </c>
      <c r="BT176" s="99">
        <v>0</v>
      </c>
      <c r="BU176" s="99">
        <v>0</v>
      </c>
      <c r="BV176" s="99">
        <v>0</v>
      </c>
      <c r="BW176" s="99">
        <v>1</v>
      </c>
      <c r="BX176" s="99">
        <v>0</v>
      </c>
      <c r="BY176" s="99">
        <v>0</v>
      </c>
      <c r="BZ176" s="99">
        <v>1</v>
      </c>
      <c r="CA176" s="99">
        <v>0</v>
      </c>
      <c r="CB176" s="99">
        <v>1</v>
      </c>
      <c r="CC176" s="99">
        <v>0</v>
      </c>
      <c r="CD176" s="99">
        <v>0</v>
      </c>
      <c r="CE176" s="99">
        <v>0</v>
      </c>
      <c r="CF176" s="99">
        <v>1</v>
      </c>
      <c r="CG176" s="99">
        <v>0</v>
      </c>
      <c r="CH176" s="99">
        <v>0</v>
      </c>
      <c r="CI176" s="99">
        <v>0</v>
      </c>
      <c r="CJ176" s="99">
        <v>1</v>
      </c>
      <c r="CK176" s="99">
        <v>1</v>
      </c>
      <c r="CL176" s="99">
        <v>0</v>
      </c>
      <c r="CM176" s="99">
        <v>0</v>
      </c>
      <c r="CN176" s="99">
        <v>1</v>
      </c>
      <c r="CO176" s="99">
        <v>0</v>
      </c>
      <c r="CP176" s="99">
        <v>0</v>
      </c>
      <c r="CQ176" s="99">
        <v>0</v>
      </c>
      <c r="CR176" s="99">
        <v>0</v>
      </c>
      <c r="CS176" s="98">
        <v>0</v>
      </c>
    </row>
    <row r="177" spans="2:97" x14ac:dyDescent="0.3">
      <c r="B177" s="83" t="s">
        <v>133</v>
      </c>
      <c r="C177" s="99">
        <v>0</v>
      </c>
      <c r="D177" s="99">
        <v>1</v>
      </c>
      <c r="E177" s="99">
        <v>0</v>
      </c>
      <c r="F177" s="99">
        <v>0</v>
      </c>
      <c r="G177" s="99">
        <v>0</v>
      </c>
      <c r="H177" s="99">
        <v>0</v>
      </c>
      <c r="I177" s="99">
        <v>0</v>
      </c>
      <c r="J177" s="99">
        <v>0</v>
      </c>
      <c r="K177" s="99">
        <v>0</v>
      </c>
      <c r="L177" s="99">
        <v>0</v>
      </c>
      <c r="M177" s="99">
        <v>1</v>
      </c>
      <c r="N177" s="99">
        <v>0</v>
      </c>
      <c r="O177" s="99">
        <v>0</v>
      </c>
      <c r="P177" s="99">
        <v>0</v>
      </c>
      <c r="Q177" s="99">
        <v>0</v>
      </c>
      <c r="R177" s="99">
        <v>0</v>
      </c>
      <c r="S177" s="99">
        <v>0</v>
      </c>
      <c r="T177" s="99">
        <v>0</v>
      </c>
      <c r="U177" s="99">
        <v>1</v>
      </c>
      <c r="V177" s="99">
        <v>0</v>
      </c>
      <c r="W177" s="99">
        <v>0</v>
      </c>
      <c r="X177" s="99">
        <v>1</v>
      </c>
      <c r="Y177" s="99">
        <v>0</v>
      </c>
      <c r="Z177" s="99">
        <v>0</v>
      </c>
      <c r="AA177" s="99">
        <v>0</v>
      </c>
      <c r="AB177" s="99">
        <v>0</v>
      </c>
      <c r="AC177" s="99">
        <v>0</v>
      </c>
      <c r="AD177" s="99">
        <v>1</v>
      </c>
      <c r="AE177" s="99">
        <v>0</v>
      </c>
      <c r="AF177" s="99">
        <v>0</v>
      </c>
      <c r="AG177" s="99">
        <v>0</v>
      </c>
      <c r="AH177" s="99">
        <v>0</v>
      </c>
      <c r="AI177" s="99">
        <v>0</v>
      </c>
      <c r="AJ177" s="99">
        <v>0</v>
      </c>
      <c r="AK177" s="99">
        <v>0</v>
      </c>
      <c r="AL177" s="99">
        <v>0</v>
      </c>
      <c r="AM177" s="99">
        <v>0</v>
      </c>
      <c r="AN177" s="99">
        <v>0</v>
      </c>
      <c r="AO177" s="99">
        <v>0</v>
      </c>
      <c r="AP177" s="99">
        <v>0</v>
      </c>
      <c r="AQ177" s="99">
        <v>1</v>
      </c>
      <c r="AR177" s="99">
        <v>1</v>
      </c>
      <c r="AS177" s="99">
        <v>1</v>
      </c>
      <c r="AT177" s="99">
        <v>0</v>
      </c>
      <c r="AU177" s="99">
        <v>0</v>
      </c>
      <c r="AV177" s="99">
        <v>0</v>
      </c>
      <c r="AW177" s="99">
        <v>0</v>
      </c>
      <c r="AX177" s="99">
        <v>0</v>
      </c>
      <c r="AY177" s="99">
        <v>0</v>
      </c>
      <c r="AZ177" s="99">
        <v>1</v>
      </c>
      <c r="BA177" s="99">
        <v>1</v>
      </c>
      <c r="BB177" s="99">
        <v>1</v>
      </c>
      <c r="BC177" s="99">
        <v>0</v>
      </c>
      <c r="BD177" s="99">
        <v>1</v>
      </c>
      <c r="BE177" s="99">
        <v>0</v>
      </c>
      <c r="BF177" s="99">
        <v>0</v>
      </c>
      <c r="BG177" s="99">
        <v>1</v>
      </c>
      <c r="BH177" s="99">
        <v>1</v>
      </c>
      <c r="BI177" s="99">
        <v>0</v>
      </c>
      <c r="BJ177" s="99">
        <v>0</v>
      </c>
      <c r="BK177" s="99">
        <v>0</v>
      </c>
      <c r="BL177" s="99">
        <v>0</v>
      </c>
      <c r="BM177" s="99">
        <v>1</v>
      </c>
      <c r="BN177" s="99">
        <v>1</v>
      </c>
      <c r="BO177" s="99">
        <v>0</v>
      </c>
      <c r="BP177" s="99">
        <v>0</v>
      </c>
      <c r="BQ177" s="99">
        <v>0</v>
      </c>
      <c r="BR177" s="99">
        <v>1</v>
      </c>
      <c r="BS177" s="99">
        <v>0</v>
      </c>
      <c r="BT177" s="99">
        <v>0</v>
      </c>
      <c r="BU177" s="99">
        <v>0</v>
      </c>
      <c r="BV177" s="99">
        <v>0</v>
      </c>
      <c r="BW177" s="99">
        <v>0</v>
      </c>
      <c r="BX177" s="99">
        <v>1</v>
      </c>
      <c r="BY177" s="99">
        <v>1</v>
      </c>
      <c r="BZ177" s="99">
        <v>0</v>
      </c>
      <c r="CA177" s="99">
        <v>0</v>
      </c>
      <c r="CB177" s="99">
        <v>0</v>
      </c>
      <c r="CC177" s="99">
        <v>0</v>
      </c>
      <c r="CD177" s="99">
        <v>1</v>
      </c>
      <c r="CE177" s="99">
        <v>1</v>
      </c>
      <c r="CF177" s="99">
        <v>0</v>
      </c>
      <c r="CG177" s="99">
        <v>1</v>
      </c>
      <c r="CH177" s="99">
        <v>0</v>
      </c>
      <c r="CI177" s="99">
        <v>1</v>
      </c>
      <c r="CJ177" s="99">
        <v>0</v>
      </c>
      <c r="CK177" s="99">
        <v>0</v>
      </c>
      <c r="CL177" s="99">
        <v>0</v>
      </c>
      <c r="CM177" s="99">
        <v>0</v>
      </c>
      <c r="CN177" s="99">
        <v>0</v>
      </c>
      <c r="CO177" s="99">
        <v>1</v>
      </c>
      <c r="CP177" s="99">
        <v>0</v>
      </c>
      <c r="CQ177" s="99">
        <v>0</v>
      </c>
      <c r="CR177" s="99">
        <v>1</v>
      </c>
      <c r="CS177" s="98">
        <v>1</v>
      </c>
    </row>
    <row r="178" spans="2:97" x14ac:dyDescent="0.3">
      <c r="B178" s="83" t="s">
        <v>134</v>
      </c>
      <c r="C178" s="99">
        <v>0</v>
      </c>
      <c r="D178" s="99">
        <v>1</v>
      </c>
      <c r="E178" s="99">
        <v>0</v>
      </c>
      <c r="F178" s="99">
        <v>0</v>
      </c>
      <c r="G178" s="99">
        <v>0</v>
      </c>
      <c r="H178" s="99">
        <v>0</v>
      </c>
      <c r="I178" s="99">
        <v>0</v>
      </c>
      <c r="J178" s="99">
        <v>0</v>
      </c>
      <c r="K178" s="99">
        <v>0</v>
      </c>
      <c r="L178" s="99">
        <v>0</v>
      </c>
      <c r="M178" s="99">
        <v>1</v>
      </c>
      <c r="N178" s="99">
        <v>0</v>
      </c>
      <c r="O178" s="99">
        <v>0</v>
      </c>
      <c r="P178" s="99">
        <v>0</v>
      </c>
      <c r="Q178" s="99">
        <v>0</v>
      </c>
      <c r="R178" s="99">
        <v>0</v>
      </c>
      <c r="S178" s="99">
        <v>0</v>
      </c>
      <c r="T178" s="99">
        <v>0</v>
      </c>
      <c r="U178" s="99">
        <v>1</v>
      </c>
      <c r="V178" s="99">
        <v>0</v>
      </c>
      <c r="W178" s="99">
        <v>0</v>
      </c>
      <c r="X178" s="99">
        <v>1</v>
      </c>
      <c r="Y178" s="99">
        <v>0</v>
      </c>
      <c r="Z178" s="99">
        <v>0</v>
      </c>
      <c r="AA178" s="99">
        <v>0</v>
      </c>
      <c r="AB178" s="99">
        <v>0</v>
      </c>
      <c r="AC178" s="99">
        <v>0</v>
      </c>
      <c r="AD178" s="99">
        <v>1</v>
      </c>
      <c r="AE178" s="99">
        <v>0</v>
      </c>
      <c r="AF178" s="99">
        <v>0</v>
      </c>
      <c r="AG178" s="99">
        <v>0</v>
      </c>
      <c r="AH178" s="99">
        <v>0</v>
      </c>
      <c r="AI178" s="99">
        <v>0</v>
      </c>
      <c r="AJ178" s="99">
        <v>0</v>
      </c>
      <c r="AK178" s="99">
        <v>0</v>
      </c>
      <c r="AL178" s="99">
        <v>0</v>
      </c>
      <c r="AM178" s="99">
        <v>0</v>
      </c>
      <c r="AN178" s="99">
        <v>0</v>
      </c>
      <c r="AO178" s="99">
        <v>0</v>
      </c>
      <c r="AP178" s="99">
        <v>0</v>
      </c>
      <c r="AQ178" s="99">
        <v>1</v>
      </c>
      <c r="AR178" s="99">
        <v>1</v>
      </c>
      <c r="AS178" s="99">
        <v>1</v>
      </c>
      <c r="AT178" s="99">
        <v>0</v>
      </c>
      <c r="AU178" s="99">
        <v>0</v>
      </c>
      <c r="AV178" s="99">
        <v>0</v>
      </c>
      <c r="AW178" s="99">
        <v>0</v>
      </c>
      <c r="AX178" s="99">
        <v>0</v>
      </c>
      <c r="AY178" s="99">
        <v>0</v>
      </c>
      <c r="AZ178" s="99">
        <v>1</v>
      </c>
      <c r="BA178" s="99">
        <v>1</v>
      </c>
      <c r="BB178" s="99">
        <v>1</v>
      </c>
      <c r="BC178" s="99">
        <v>0</v>
      </c>
      <c r="BD178" s="99">
        <v>1</v>
      </c>
      <c r="BE178" s="99">
        <v>0</v>
      </c>
      <c r="BF178" s="99">
        <v>0</v>
      </c>
      <c r="BG178" s="99">
        <v>1</v>
      </c>
      <c r="BH178" s="99">
        <v>1</v>
      </c>
      <c r="BI178" s="99">
        <v>0</v>
      </c>
      <c r="BJ178" s="99">
        <v>0</v>
      </c>
      <c r="BK178" s="99">
        <v>0</v>
      </c>
      <c r="BL178" s="99">
        <v>0</v>
      </c>
      <c r="BM178" s="99">
        <v>1</v>
      </c>
      <c r="BN178" s="99">
        <v>1</v>
      </c>
      <c r="BO178" s="99">
        <v>0</v>
      </c>
      <c r="BP178" s="99">
        <v>0</v>
      </c>
      <c r="BQ178" s="99">
        <v>0</v>
      </c>
      <c r="BR178" s="99">
        <v>1</v>
      </c>
      <c r="BS178" s="99">
        <v>0</v>
      </c>
      <c r="BT178" s="99">
        <v>0</v>
      </c>
      <c r="BU178" s="99">
        <v>0</v>
      </c>
      <c r="BV178" s="99">
        <v>0</v>
      </c>
      <c r="BW178" s="99">
        <v>0</v>
      </c>
      <c r="BX178" s="99">
        <v>1</v>
      </c>
      <c r="BY178" s="99">
        <v>1</v>
      </c>
      <c r="BZ178" s="99">
        <v>0</v>
      </c>
      <c r="CA178" s="99">
        <v>0</v>
      </c>
      <c r="CB178" s="99">
        <v>0</v>
      </c>
      <c r="CC178" s="99">
        <v>0</v>
      </c>
      <c r="CD178" s="99">
        <v>1</v>
      </c>
      <c r="CE178" s="99">
        <v>1</v>
      </c>
      <c r="CF178" s="99">
        <v>0</v>
      </c>
      <c r="CG178" s="99">
        <v>1</v>
      </c>
      <c r="CH178" s="99">
        <v>0</v>
      </c>
      <c r="CI178" s="99">
        <v>1</v>
      </c>
      <c r="CJ178" s="99">
        <v>0</v>
      </c>
      <c r="CK178" s="99">
        <v>0</v>
      </c>
      <c r="CL178" s="99">
        <v>0</v>
      </c>
      <c r="CM178" s="99">
        <v>0</v>
      </c>
      <c r="CN178" s="99">
        <v>0</v>
      </c>
      <c r="CO178" s="99">
        <v>1</v>
      </c>
      <c r="CP178" s="99">
        <v>0</v>
      </c>
      <c r="CQ178" s="99">
        <v>0</v>
      </c>
      <c r="CR178" s="99">
        <v>1</v>
      </c>
      <c r="CS178" s="98">
        <v>1</v>
      </c>
    </row>
    <row r="179" spans="2:97" x14ac:dyDescent="0.3">
      <c r="B179" s="83" t="s">
        <v>135</v>
      </c>
      <c r="C179" s="99">
        <v>1</v>
      </c>
      <c r="D179" s="99">
        <v>0</v>
      </c>
      <c r="E179" s="99">
        <v>0</v>
      </c>
      <c r="F179" s="99">
        <v>0</v>
      </c>
      <c r="G179" s="99">
        <v>1</v>
      </c>
      <c r="H179" s="99">
        <v>0</v>
      </c>
      <c r="I179" s="99">
        <v>1</v>
      </c>
      <c r="J179" s="99">
        <v>0</v>
      </c>
      <c r="K179" s="99">
        <v>0</v>
      </c>
      <c r="L179" s="99">
        <v>1</v>
      </c>
      <c r="M179" s="99">
        <v>0</v>
      </c>
      <c r="N179" s="99">
        <v>0</v>
      </c>
      <c r="O179" s="99">
        <v>1</v>
      </c>
      <c r="P179" s="99">
        <v>0</v>
      </c>
      <c r="Q179" s="99">
        <v>1</v>
      </c>
      <c r="R179" s="99">
        <v>0</v>
      </c>
      <c r="S179" s="99">
        <v>0</v>
      </c>
      <c r="T179" s="99">
        <v>0</v>
      </c>
      <c r="U179" s="99">
        <v>0</v>
      </c>
      <c r="V179" s="99">
        <v>0</v>
      </c>
      <c r="W179" s="99">
        <v>0</v>
      </c>
      <c r="X179" s="99">
        <v>0</v>
      </c>
      <c r="Y179" s="99">
        <v>0</v>
      </c>
      <c r="Z179" s="99">
        <v>0</v>
      </c>
      <c r="AA179" s="99">
        <v>0</v>
      </c>
      <c r="AB179" s="99">
        <v>0</v>
      </c>
      <c r="AC179" s="99">
        <v>0</v>
      </c>
      <c r="AD179" s="99">
        <v>0</v>
      </c>
      <c r="AE179" s="99">
        <v>1</v>
      </c>
      <c r="AF179" s="99">
        <v>1</v>
      </c>
      <c r="AG179" s="99">
        <v>0</v>
      </c>
      <c r="AH179" s="99">
        <v>1</v>
      </c>
      <c r="AI179" s="99">
        <v>0</v>
      </c>
      <c r="AJ179" s="99">
        <v>1</v>
      </c>
      <c r="AK179" s="99">
        <v>0</v>
      </c>
      <c r="AL179" s="99">
        <v>0</v>
      </c>
      <c r="AM179" s="99">
        <v>1</v>
      </c>
      <c r="AN179" s="99">
        <v>0</v>
      </c>
      <c r="AO179" s="99">
        <v>0</v>
      </c>
      <c r="AP179" s="99">
        <v>0</v>
      </c>
      <c r="AQ179" s="99">
        <v>0</v>
      </c>
      <c r="AR179" s="99">
        <v>0</v>
      </c>
      <c r="AS179" s="99">
        <v>0</v>
      </c>
      <c r="AT179" s="99">
        <v>0</v>
      </c>
      <c r="AU179" s="99">
        <v>1</v>
      </c>
      <c r="AV179" s="99">
        <v>1</v>
      </c>
      <c r="AW179" s="99">
        <v>1</v>
      </c>
      <c r="AX179" s="99">
        <v>0</v>
      </c>
      <c r="AY179" s="99">
        <v>0</v>
      </c>
      <c r="AZ179" s="99">
        <v>0</v>
      </c>
      <c r="BA179" s="99">
        <v>0</v>
      </c>
      <c r="BB179" s="99">
        <v>0</v>
      </c>
      <c r="BC179" s="99">
        <v>1</v>
      </c>
      <c r="BD179" s="99">
        <v>0</v>
      </c>
      <c r="BE179" s="99">
        <v>0</v>
      </c>
      <c r="BF179" s="99">
        <v>0</v>
      </c>
      <c r="BG179" s="99">
        <v>0</v>
      </c>
      <c r="BH179" s="99">
        <v>0</v>
      </c>
      <c r="BI179" s="99">
        <v>0</v>
      </c>
      <c r="BJ179" s="99">
        <v>0</v>
      </c>
      <c r="BK179" s="99">
        <v>0</v>
      </c>
      <c r="BL179" s="99">
        <v>1</v>
      </c>
      <c r="BM179" s="99">
        <v>0</v>
      </c>
      <c r="BN179" s="99">
        <v>0</v>
      </c>
      <c r="BO179" s="99">
        <v>1</v>
      </c>
      <c r="BP179" s="99">
        <v>0</v>
      </c>
      <c r="BQ179" s="99">
        <v>0</v>
      </c>
      <c r="BR179" s="99">
        <v>0</v>
      </c>
      <c r="BS179" s="99">
        <v>0</v>
      </c>
      <c r="BT179" s="99">
        <v>0</v>
      </c>
      <c r="BU179" s="99">
        <v>0</v>
      </c>
      <c r="BV179" s="99">
        <v>0</v>
      </c>
      <c r="BW179" s="99">
        <v>1</v>
      </c>
      <c r="BX179" s="99">
        <v>0</v>
      </c>
      <c r="BY179" s="99">
        <v>0</v>
      </c>
      <c r="BZ179" s="99">
        <v>1</v>
      </c>
      <c r="CA179" s="99">
        <v>0</v>
      </c>
      <c r="CB179" s="99">
        <v>1</v>
      </c>
      <c r="CC179" s="99">
        <v>0</v>
      </c>
      <c r="CD179" s="99">
        <v>0</v>
      </c>
      <c r="CE179" s="99">
        <v>0</v>
      </c>
      <c r="CF179" s="99">
        <v>1</v>
      </c>
      <c r="CG179" s="99">
        <v>0</v>
      </c>
      <c r="CH179" s="99">
        <v>0</v>
      </c>
      <c r="CI179" s="99">
        <v>0</v>
      </c>
      <c r="CJ179" s="99">
        <v>1</v>
      </c>
      <c r="CK179" s="99">
        <v>1</v>
      </c>
      <c r="CL179" s="99">
        <v>0</v>
      </c>
      <c r="CM179" s="99">
        <v>0</v>
      </c>
      <c r="CN179" s="99">
        <v>1</v>
      </c>
      <c r="CO179" s="99">
        <v>0</v>
      </c>
      <c r="CP179" s="99">
        <v>0</v>
      </c>
      <c r="CQ179" s="99">
        <v>0</v>
      </c>
      <c r="CR179" s="99">
        <v>0</v>
      </c>
      <c r="CS179" s="98">
        <v>0</v>
      </c>
    </row>
    <row r="180" spans="2:97" x14ac:dyDescent="0.3">
      <c r="B180" s="83" t="s">
        <v>136</v>
      </c>
      <c r="C180" s="99">
        <v>0</v>
      </c>
      <c r="D180" s="99">
        <v>0</v>
      </c>
      <c r="E180" s="99">
        <v>0</v>
      </c>
      <c r="F180" s="99">
        <v>1</v>
      </c>
      <c r="G180" s="99">
        <v>0</v>
      </c>
      <c r="H180" s="99">
        <v>1</v>
      </c>
      <c r="I180" s="99">
        <v>0</v>
      </c>
      <c r="J180" s="99">
        <v>1</v>
      </c>
      <c r="K180" s="99">
        <v>0</v>
      </c>
      <c r="L180" s="99">
        <v>0</v>
      </c>
      <c r="M180" s="99">
        <v>0</v>
      </c>
      <c r="N180" s="99">
        <v>0</v>
      </c>
      <c r="O180" s="99">
        <v>0</v>
      </c>
      <c r="P180" s="99">
        <v>1</v>
      </c>
      <c r="Q180" s="99">
        <v>0</v>
      </c>
      <c r="R180" s="99">
        <v>1</v>
      </c>
      <c r="S180" s="99">
        <v>0</v>
      </c>
      <c r="T180" s="99">
        <v>1</v>
      </c>
      <c r="U180" s="99">
        <v>0</v>
      </c>
      <c r="V180" s="99">
        <v>0</v>
      </c>
      <c r="W180" s="99">
        <v>1</v>
      </c>
      <c r="X180" s="99">
        <v>0</v>
      </c>
      <c r="Y180" s="99">
        <v>0</v>
      </c>
      <c r="Z180" s="99">
        <v>0</v>
      </c>
      <c r="AA180" s="99">
        <v>1</v>
      </c>
      <c r="AB180" s="99">
        <v>1</v>
      </c>
      <c r="AC180" s="99">
        <v>0</v>
      </c>
      <c r="AD180" s="99">
        <v>0</v>
      </c>
      <c r="AE180" s="99">
        <v>0</v>
      </c>
      <c r="AF180" s="99">
        <v>0</v>
      </c>
      <c r="AG180" s="99">
        <v>1</v>
      </c>
      <c r="AH180" s="99">
        <v>0</v>
      </c>
      <c r="AI180" s="99">
        <v>1</v>
      </c>
      <c r="AJ180" s="99">
        <v>0</v>
      </c>
      <c r="AK180" s="99">
        <v>0</v>
      </c>
      <c r="AL180" s="99">
        <v>0</v>
      </c>
      <c r="AM180" s="99">
        <v>0</v>
      </c>
      <c r="AN180" s="99">
        <v>0</v>
      </c>
      <c r="AO180" s="99">
        <v>0</v>
      </c>
      <c r="AP180" s="99">
        <v>0</v>
      </c>
      <c r="AQ180" s="99">
        <v>0</v>
      </c>
      <c r="AR180" s="99">
        <v>0</v>
      </c>
      <c r="AS180" s="99">
        <v>0</v>
      </c>
      <c r="AT180" s="99">
        <v>1</v>
      </c>
      <c r="AU180" s="99">
        <v>0</v>
      </c>
      <c r="AV180" s="99">
        <v>0</v>
      </c>
      <c r="AW180" s="99">
        <v>0</v>
      </c>
      <c r="AX180" s="99">
        <v>0</v>
      </c>
      <c r="AY180" s="99">
        <v>0</v>
      </c>
      <c r="AZ180" s="99">
        <v>0</v>
      </c>
      <c r="BA180" s="99">
        <v>0</v>
      </c>
      <c r="BB180" s="99">
        <v>0</v>
      </c>
      <c r="BC180" s="99">
        <v>0</v>
      </c>
      <c r="BD180" s="99">
        <v>0</v>
      </c>
      <c r="BE180" s="99">
        <v>0</v>
      </c>
      <c r="BF180" s="99">
        <v>1</v>
      </c>
      <c r="BG180" s="99">
        <v>0</v>
      </c>
      <c r="BH180" s="99">
        <v>0</v>
      </c>
      <c r="BI180" s="99">
        <v>1</v>
      </c>
      <c r="BJ180" s="99">
        <v>0</v>
      </c>
      <c r="BK180" s="99">
        <v>1</v>
      </c>
      <c r="BL180" s="99">
        <v>0</v>
      </c>
      <c r="BM180" s="99">
        <v>0</v>
      </c>
      <c r="BN180" s="99">
        <v>0</v>
      </c>
      <c r="BO180" s="99">
        <v>0</v>
      </c>
      <c r="BP180" s="99">
        <v>0</v>
      </c>
      <c r="BQ180" s="99">
        <v>1</v>
      </c>
      <c r="BR180" s="99">
        <v>0</v>
      </c>
      <c r="BS180" s="99">
        <v>1</v>
      </c>
      <c r="BT180" s="99">
        <v>1</v>
      </c>
      <c r="BU180" s="99">
        <v>1</v>
      </c>
      <c r="BV180" s="99">
        <v>1</v>
      </c>
      <c r="BW180" s="99">
        <v>0</v>
      </c>
      <c r="BX180" s="99">
        <v>0</v>
      </c>
      <c r="BY180" s="99">
        <v>0</v>
      </c>
      <c r="BZ180" s="99">
        <v>0</v>
      </c>
      <c r="CA180" s="99">
        <v>1</v>
      </c>
      <c r="CB180" s="99">
        <v>0</v>
      </c>
      <c r="CC180" s="99">
        <v>0</v>
      </c>
      <c r="CD180" s="99">
        <v>0</v>
      </c>
      <c r="CE180" s="99">
        <v>0</v>
      </c>
      <c r="CF180" s="99">
        <v>0</v>
      </c>
      <c r="CG180" s="99">
        <v>0</v>
      </c>
      <c r="CH180" s="99">
        <v>0</v>
      </c>
      <c r="CI180" s="99">
        <v>0</v>
      </c>
      <c r="CJ180" s="99">
        <v>0</v>
      </c>
      <c r="CK180" s="99">
        <v>0</v>
      </c>
      <c r="CL180" s="99">
        <v>1</v>
      </c>
      <c r="CM180" s="99">
        <v>1</v>
      </c>
      <c r="CN180" s="99">
        <v>0</v>
      </c>
      <c r="CO180" s="99">
        <v>0</v>
      </c>
      <c r="CP180" s="99">
        <v>0</v>
      </c>
      <c r="CQ180" s="99">
        <v>1</v>
      </c>
      <c r="CR180" s="99">
        <v>0</v>
      </c>
      <c r="CS180" s="98">
        <v>0</v>
      </c>
    </row>
    <row r="181" spans="2:97" x14ac:dyDescent="0.3">
      <c r="B181" s="83" t="s">
        <v>137</v>
      </c>
      <c r="C181" s="99">
        <v>1</v>
      </c>
      <c r="D181" s="99">
        <v>0</v>
      </c>
      <c r="E181" s="99">
        <v>0</v>
      </c>
      <c r="F181" s="99">
        <v>0</v>
      </c>
      <c r="G181" s="99">
        <v>1</v>
      </c>
      <c r="H181" s="99">
        <v>0</v>
      </c>
      <c r="I181" s="99">
        <v>1</v>
      </c>
      <c r="J181" s="99">
        <v>0</v>
      </c>
      <c r="K181" s="99">
        <v>0</v>
      </c>
      <c r="L181" s="99">
        <v>1</v>
      </c>
      <c r="M181" s="99">
        <v>0</v>
      </c>
      <c r="N181" s="99">
        <v>0</v>
      </c>
      <c r="O181" s="99">
        <v>1</v>
      </c>
      <c r="P181" s="99">
        <v>0</v>
      </c>
      <c r="Q181" s="99">
        <v>1</v>
      </c>
      <c r="R181" s="99">
        <v>0</v>
      </c>
      <c r="S181" s="99">
        <v>0</v>
      </c>
      <c r="T181" s="99">
        <v>0</v>
      </c>
      <c r="U181" s="99">
        <v>0</v>
      </c>
      <c r="V181" s="99">
        <v>0</v>
      </c>
      <c r="W181" s="99">
        <v>0</v>
      </c>
      <c r="X181" s="99">
        <v>0</v>
      </c>
      <c r="Y181" s="99">
        <v>0</v>
      </c>
      <c r="Z181" s="99">
        <v>0</v>
      </c>
      <c r="AA181" s="99">
        <v>0</v>
      </c>
      <c r="AB181" s="99">
        <v>0</v>
      </c>
      <c r="AC181" s="99">
        <v>0</v>
      </c>
      <c r="AD181" s="99">
        <v>0</v>
      </c>
      <c r="AE181" s="99">
        <v>1</v>
      </c>
      <c r="AF181" s="99">
        <v>1</v>
      </c>
      <c r="AG181" s="99">
        <v>0</v>
      </c>
      <c r="AH181" s="99">
        <v>1</v>
      </c>
      <c r="AI181" s="99">
        <v>0</v>
      </c>
      <c r="AJ181" s="99">
        <v>1</v>
      </c>
      <c r="AK181" s="99">
        <v>0</v>
      </c>
      <c r="AL181" s="99">
        <v>0</v>
      </c>
      <c r="AM181" s="99">
        <v>1</v>
      </c>
      <c r="AN181" s="99">
        <v>0</v>
      </c>
      <c r="AO181" s="99">
        <v>0</v>
      </c>
      <c r="AP181" s="99">
        <v>0</v>
      </c>
      <c r="AQ181" s="99">
        <v>0</v>
      </c>
      <c r="AR181" s="99">
        <v>0</v>
      </c>
      <c r="AS181" s="99">
        <v>0</v>
      </c>
      <c r="AT181" s="99">
        <v>0</v>
      </c>
      <c r="AU181" s="99">
        <v>1</v>
      </c>
      <c r="AV181" s="99">
        <v>1</v>
      </c>
      <c r="AW181" s="99">
        <v>1</v>
      </c>
      <c r="AX181" s="99">
        <v>0</v>
      </c>
      <c r="AY181" s="99">
        <v>0</v>
      </c>
      <c r="AZ181" s="99">
        <v>0</v>
      </c>
      <c r="BA181" s="99">
        <v>0</v>
      </c>
      <c r="BB181" s="99">
        <v>0</v>
      </c>
      <c r="BC181" s="99">
        <v>1</v>
      </c>
      <c r="BD181" s="99">
        <v>0</v>
      </c>
      <c r="BE181" s="99">
        <v>0</v>
      </c>
      <c r="BF181" s="99">
        <v>0</v>
      </c>
      <c r="BG181" s="99">
        <v>0</v>
      </c>
      <c r="BH181" s="99">
        <v>0</v>
      </c>
      <c r="BI181" s="99">
        <v>0</v>
      </c>
      <c r="BJ181" s="99">
        <v>0</v>
      </c>
      <c r="BK181" s="99">
        <v>0</v>
      </c>
      <c r="BL181" s="99">
        <v>1</v>
      </c>
      <c r="BM181" s="99">
        <v>0</v>
      </c>
      <c r="BN181" s="99">
        <v>0</v>
      </c>
      <c r="BO181" s="99">
        <v>1</v>
      </c>
      <c r="BP181" s="99">
        <v>0</v>
      </c>
      <c r="BQ181" s="99">
        <v>0</v>
      </c>
      <c r="BR181" s="99">
        <v>0</v>
      </c>
      <c r="BS181" s="99">
        <v>0</v>
      </c>
      <c r="BT181" s="99">
        <v>0</v>
      </c>
      <c r="BU181" s="99">
        <v>0</v>
      </c>
      <c r="BV181" s="99">
        <v>0</v>
      </c>
      <c r="BW181" s="99">
        <v>1</v>
      </c>
      <c r="BX181" s="99">
        <v>0</v>
      </c>
      <c r="BY181" s="99">
        <v>0</v>
      </c>
      <c r="BZ181" s="99">
        <v>1</v>
      </c>
      <c r="CA181" s="99">
        <v>0</v>
      </c>
      <c r="CB181" s="99">
        <v>1</v>
      </c>
      <c r="CC181" s="99">
        <v>0</v>
      </c>
      <c r="CD181" s="99">
        <v>0</v>
      </c>
      <c r="CE181" s="99">
        <v>0</v>
      </c>
      <c r="CF181" s="99">
        <v>1</v>
      </c>
      <c r="CG181" s="99">
        <v>0</v>
      </c>
      <c r="CH181" s="99">
        <v>0</v>
      </c>
      <c r="CI181" s="99">
        <v>0</v>
      </c>
      <c r="CJ181" s="99">
        <v>1</v>
      </c>
      <c r="CK181" s="99">
        <v>1</v>
      </c>
      <c r="CL181" s="99">
        <v>0</v>
      </c>
      <c r="CM181" s="99">
        <v>0</v>
      </c>
      <c r="CN181" s="99">
        <v>1</v>
      </c>
      <c r="CO181" s="99">
        <v>0</v>
      </c>
      <c r="CP181" s="99">
        <v>0</v>
      </c>
      <c r="CQ181" s="99">
        <v>0</v>
      </c>
      <c r="CR181" s="99">
        <v>0</v>
      </c>
      <c r="CS181" s="98">
        <v>0</v>
      </c>
    </row>
    <row r="182" spans="2:97" x14ac:dyDescent="0.3">
      <c r="B182" s="83" t="s">
        <v>138</v>
      </c>
      <c r="C182" s="99">
        <v>0</v>
      </c>
      <c r="D182" s="99">
        <v>0</v>
      </c>
      <c r="E182" s="99">
        <v>1</v>
      </c>
      <c r="F182" s="99">
        <v>0</v>
      </c>
      <c r="G182" s="99">
        <v>0</v>
      </c>
      <c r="H182" s="99">
        <v>0</v>
      </c>
      <c r="I182" s="99">
        <v>0</v>
      </c>
      <c r="J182" s="99">
        <v>0</v>
      </c>
      <c r="K182" s="99">
        <v>1</v>
      </c>
      <c r="L182" s="99">
        <v>0</v>
      </c>
      <c r="M182" s="99">
        <v>0</v>
      </c>
      <c r="N182" s="99">
        <v>1</v>
      </c>
      <c r="O182" s="99">
        <v>0</v>
      </c>
      <c r="P182" s="99">
        <v>0</v>
      </c>
      <c r="Q182" s="99">
        <v>0</v>
      </c>
      <c r="R182" s="99">
        <v>0</v>
      </c>
      <c r="S182" s="99">
        <v>1</v>
      </c>
      <c r="T182" s="99">
        <v>0</v>
      </c>
      <c r="U182" s="99">
        <v>0</v>
      </c>
      <c r="V182" s="99">
        <v>1</v>
      </c>
      <c r="W182" s="99">
        <v>0</v>
      </c>
      <c r="X182" s="99">
        <v>0</v>
      </c>
      <c r="Y182" s="99">
        <v>1</v>
      </c>
      <c r="Z182" s="99">
        <v>1</v>
      </c>
      <c r="AA182" s="99">
        <v>0</v>
      </c>
      <c r="AB182" s="99">
        <v>0</v>
      </c>
      <c r="AC182" s="99">
        <v>1</v>
      </c>
      <c r="AD182" s="99">
        <v>0</v>
      </c>
      <c r="AE182" s="99">
        <v>0</v>
      </c>
      <c r="AF182" s="99">
        <v>0</v>
      </c>
      <c r="AG182" s="99">
        <v>0</v>
      </c>
      <c r="AH182" s="99">
        <v>0</v>
      </c>
      <c r="AI182" s="99">
        <v>0</v>
      </c>
      <c r="AJ182" s="99">
        <v>0</v>
      </c>
      <c r="AK182" s="99">
        <v>1</v>
      </c>
      <c r="AL182" s="99">
        <v>1</v>
      </c>
      <c r="AM182" s="99">
        <v>0</v>
      </c>
      <c r="AN182" s="99">
        <v>1</v>
      </c>
      <c r="AO182" s="99">
        <v>1</v>
      </c>
      <c r="AP182" s="99">
        <v>1</v>
      </c>
      <c r="AQ182" s="99">
        <v>0</v>
      </c>
      <c r="AR182" s="99">
        <v>0</v>
      </c>
      <c r="AS182" s="99">
        <v>0</v>
      </c>
      <c r="AT182" s="99">
        <v>0</v>
      </c>
      <c r="AU182" s="99">
        <v>0</v>
      </c>
      <c r="AV182" s="99">
        <v>0</v>
      </c>
      <c r="AW182" s="99">
        <v>0</v>
      </c>
      <c r="AX182" s="99">
        <v>1</v>
      </c>
      <c r="AY182" s="99">
        <v>1</v>
      </c>
      <c r="AZ182" s="99">
        <v>0</v>
      </c>
      <c r="BA182" s="99">
        <v>0</v>
      </c>
      <c r="BB182" s="99">
        <v>0</v>
      </c>
      <c r="BC182" s="99">
        <v>0</v>
      </c>
      <c r="BD182" s="99">
        <v>0</v>
      </c>
      <c r="BE182" s="99">
        <v>1</v>
      </c>
      <c r="BF182" s="99">
        <v>0</v>
      </c>
      <c r="BG182" s="99">
        <v>0</v>
      </c>
      <c r="BH182" s="99">
        <v>0</v>
      </c>
      <c r="BI182" s="99">
        <v>0</v>
      </c>
      <c r="BJ182" s="99">
        <v>1</v>
      </c>
      <c r="BK182" s="99">
        <v>0</v>
      </c>
      <c r="BL182" s="99">
        <v>0</v>
      </c>
      <c r="BM182" s="99">
        <v>0</v>
      </c>
      <c r="BN182" s="99">
        <v>0</v>
      </c>
      <c r="BO182" s="99">
        <v>0</v>
      </c>
      <c r="BP182" s="99">
        <v>1</v>
      </c>
      <c r="BQ182" s="99">
        <v>0</v>
      </c>
      <c r="BR182" s="99">
        <v>0</v>
      </c>
      <c r="BS182" s="99">
        <v>0</v>
      </c>
      <c r="BT182" s="99">
        <v>0</v>
      </c>
      <c r="BU182" s="99">
        <v>0</v>
      </c>
      <c r="BV182" s="99">
        <v>0</v>
      </c>
      <c r="BW182" s="99">
        <v>0</v>
      </c>
      <c r="BX182" s="99">
        <v>0</v>
      </c>
      <c r="BY182" s="99">
        <v>0</v>
      </c>
      <c r="BZ182" s="99">
        <v>0</v>
      </c>
      <c r="CA182" s="99">
        <v>0</v>
      </c>
      <c r="CB182" s="99">
        <v>0</v>
      </c>
      <c r="CC182" s="99">
        <v>1</v>
      </c>
      <c r="CD182" s="99">
        <v>0</v>
      </c>
      <c r="CE182" s="99">
        <v>0</v>
      </c>
      <c r="CF182" s="99">
        <v>0</v>
      </c>
      <c r="CG182" s="99">
        <v>0</v>
      </c>
      <c r="CH182" s="99">
        <v>1</v>
      </c>
      <c r="CI182" s="99">
        <v>0</v>
      </c>
      <c r="CJ182" s="99">
        <v>0</v>
      </c>
      <c r="CK182" s="99">
        <v>0</v>
      </c>
      <c r="CL182" s="99">
        <v>0</v>
      </c>
      <c r="CM182" s="99">
        <v>0</v>
      </c>
      <c r="CN182" s="99">
        <v>0</v>
      </c>
      <c r="CO182" s="99">
        <v>0</v>
      </c>
      <c r="CP182" s="99">
        <v>1</v>
      </c>
      <c r="CQ182" s="99">
        <v>0</v>
      </c>
      <c r="CR182" s="99">
        <v>0</v>
      </c>
      <c r="CS182" s="98">
        <v>0</v>
      </c>
    </row>
    <row r="183" spans="2:97" x14ac:dyDescent="0.3">
      <c r="B183" s="83" t="s">
        <v>139</v>
      </c>
      <c r="C183" s="99">
        <v>0</v>
      </c>
      <c r="D183" s="99">
        <v>1</v>
      </c>
      <c r="E183" s="99">
        <v>0</v>
      </c>
      <c r="F183" s="99">
        <v>0</v>
      </c>
      <c r="G183" s="99">
        <v>0</v>
      </c>
      <c r="H183" s="99">
        <v>0</v>
      </c>
      <c r="I183" s="99">
        <v>0</v>
      </c>
      <c r="J183" s="99">
        <v>0</v>
      </c>
      <c r="K183" s="99">
        <v>0</v>
      </c>
      <c r="L183" s="99">
        <v>0</v>
      </c>
      <c r="M183" s="99">
        <v>1</v>
      </c>
      <c r="N183" s="99">
        <v>0</v>
      </c>
      <c r="O183" s="99">
        <v>0</v>
      </c>
      <c r="P183" s="99">
        <v>0</v>
      </c>
      <c r="Q183" s="99">
        <v>0</v>
      </c>
      <c r="R183" s="99">
        <v>0</v>
      </c>
      <c r="S183" s="99">
        <v>0</v>
      </c>
      <c r="T183" s="99">
        <v>0</v>
      </c>
      <c r="U183" s="99">
        <v>1</v>
      </c>
      <c r="V183" s="99">
        <v>0</v>
      </c>
      <c r="W183" s="99">
        <v>0</v>
      </c>
      <c r="X183" s="99">
        <v>1</v>
      </c>
      <c r="Y183" s="99">
        <v>0</v>
      </c>
      <c r="Z183" s="99">
        <v>0</v>
      </c>
      <c r="AA183" s="99">
        <v>0</v>
      </c>
      <c r="AB183" s="99">
        <v>0</v>
      </c>
      <c r="AC183" s="99">
        <v>0</v>
      </c>
      <c r="AD183" s="99">
        <v>1</v>
      </c>
      <c r="AE183" s="99">
        <v>0</v>
      </c>
      <c r="AF183" s="99">
        <v>0</v>
      </c>
      <c r="AG183" s="99">
        <v>0</v>
      </c>
      <c r="AH183" s="99">
        <v>0</v>
      </c>
      <c r="AI183" s="99">
        <v>0</v>
      </c>
      <c r="AJ183" s="99">
        <v>0</v>
      </c>
      <c r="AK183" s="99">
        <v>0</v>
      </c>
      <c r="AL183" s="99">
        <v>0</v>
      </c>
      <c r="AM183" s="99">
        <v>0</v>
      </c>
      <c r="AN183" s="99">
        <v>0</v>
      </c>
      <c r="AO183" s="99">
        <v>0</v>
      </c>
      <c r="AP183" s="99">
        <v>0</v>
      </c>
      <c r="AQ183" s="99">
        <v>1</v>
      </c>
      <c r="AR183" s="99">
        <v>1</v>
      </c>
      <c r="AS183" s="99">
        <v>1</v>
      </c>
      <c r="AT183" s="99">
        <v>0</v>
      </c>
      <c r="AU183" s="99">
        <v>0</v>
      </c>
      <c r="AV183" s="99">
        <v>0</v>
      </c>
      <c r="AW183" s="99">
        <v>0</v>
      </c>
      <c r="AX183" s="99">
        <v>0</v>
      </c>
      <c r="AY183" s="99">
        <v>0</v>
      </c>
      <c r="AZ183" s="99">
        <v>1</v>
      </c>
      <c r="BA183" s="99">
        <v>1</v>
      </c>
      <c r="BB183" s="99">
        <v>1</v>
      </c>
      <c r="BC183" s="99">
        <v>0</v>
      </c>
      <c r="BD183" s="99">
        <v>1</v>
      </c>
      <c r="BE183" s="99">
        <v>0</v>
      </c>
      <c r="BF183" s="99">
        <v>0</v>
      </c>
      <c r="BG183" s="99">
        <v>1</v>
      </c>
      <c r="BH183" s="99">
        <v>1</v>
      </c>
      <c r="BI183" s="99">
        <v>0</v>
      </c>
      <c r="BJ183" s="99">
        <v>0</v>
      </c>
      <c r="BK183" s="99">
        <v>0</v>
      </c>
      <c r="BL183" s="99">
        <v>0</v>
      </c>
      <c r="BM183" s="99">
        <v>1</v>
      </c>
      <c r="BN183" s="99">
        <v>1</v>
      </c>
      <c r="BO183" s="99">
        <v>0</v>
      </c>
      <c r="BP183" s="99">
        <v>0</v>
      </c>
      <c r="BQ183" s="99">
        <v>0</v>
      </c>
      <c r="BR183" s="99">
        <v>1</v>
      </c>
      <c r="BS183" s="99">
        <v>0</v>
      </c>
      <c r="BT183" s="99">
        <v>0</v>
      </c>
      <c r="BU183" s="99">
        <v>0</v>
      </c>
      <c r="BV183" s="99">
        <v>0</v>
      </c>
      <c r="BW183" s="99">
        <v>0</v>
      </c>
      <c r="BX183" s="99">
        <v>1</v>
      </c>
      <c r="BY183" s="99">
        <v>1</v>
      </c>
      <c r="BZ183" s="99">
        <v>0</v>
      </c>
      <c r="CA183" s="99">
        <v>0</v>
      </c>
      <c r="CB183" s="99">
        <v>0</v>
      </c>
      <c r="CC183" s="99">
        <v>0</v>
      </c>
      <c r="CD183" s="99">
        <v>1</v>
      </c>
      <c r="CE183" s="99">
        <v>1</v>
      </c>
      <c r="CF183" s="99">
        <v>0</v>
      </c>
      <c r="CG183" s="99">
        <v>1</v>
      </c>
      <c r="CH183" s="99">
        <v>0</v>
      </c>
      <c r="CI183" s="99">
        <v>1</v>
      </c>
      <c r="CJ183" s="99">
        <v>0</v>
      </c>
      <c r="CK183" s="99">
        <v>0</v>
      </c>
      <c r="CL183" s="99">
        <v>0</v>
      </c>
      <c r="CM183" s="99">
        <v>0</v>
      </c>
      <c r="CN183" s="99">
        <v>0</v>
      </c>
      <c r="CO183" s="99">
        <v>1</v>
      </c>
      <c r="CP183" s="99">
        <v>0</v>
      </c>
      <c r="CQ183" s="99">
        <v>0</v>
      </c>
      <c r="CR183" s="99">
        <v>1</v>
      </c>
      <c r="CS183" s="98">
        <v>1</v>
      </c>
    </row>
    <row r="184" spans="2:97" x14ac:dyDescent="0.3">
      <c r="B184" s="83" t="s">
        <v>140</v>
      </c>
      <c r="C184" s="99">
        <v>0</v>
      </c>
      <c r="D184" s="99">
        <v>1</v>
      </c>
      <c r="E184" s="99">
        <v>0</v>
      </c>
      <c r="F184" s="99">
        <v>0</v>
      </c>
      <c r="G184" s="99">
        <v>0</v>
      </c>
      <c r="H184" s="99">
        <v>0</v>
      </c>
      <c r="I184" s="99">
        <v>0</v>
      </c>
      <c r="J184" s="99">
        <v>0</v>
      </c>
      <c r="K184" s="99">
        <v>0</v>
      </c>
      <c r="L184" s="99">
        <v>0</v>
      </c>
      <c r="M184" s="99">
        <v>1</v>
      </c>
      <c r="N184" s="99">
        <v>0</v>
      </c>
      <c r="O184" s="99">
        <v>0</v>
      </c>
      <c r="P184" s="99">
        <v>0</v>
      </c>
      <c r="Q184" s="99">
        <v>0</v>
      </c>
      <c r="R184" s="99">
        <v>0</v>
      </c>
      <c r="S184" s="99">
        <v>0</v>
      </c>
      <c r="T184" s="99">
        <v>0</v>
      </c>
      <c r="U184" s="99">
        <v>1</v>
      </c>
      <c r="V184" s="99">
        <v>0</v>
      </c>
      <c r="W184" s="99">
        <v>0</v>
      </c>
      <c r="X184" s="99">
        <v>1</v>
      </c>
      <c r="Y184" s="99">
        <v>0</v>
      </c>
      <c r="Z184" s="99">
        <v>0</v>
      </c>
      <c r="AA184" s="99">
        <v>0</v>
      </c>
      <c r="AB184" s="99">
        <v>0</v>
      </c>
      <c r="AC184" s="99">
        <v>0</v>
      </c>
      <c r="AD184" s="99">
        <v>1</v>
      </c>
      <c r="AE184" s="99">
        <v>0</v>
      </c>
      <c r="AF184" s="99">
        <v>0</v>
      </c>
      <c r="AG184" s="99">
        <v>0</v>
      </c>
      <c r="AH184" s="99">
        <v>0</v>
      </c>
      <c r="AI184" s="99">
        <v>0</v>
      </c>
      <c r="AJ184" s="99">
        <v>0</v>
      </c>
      <c r="AK184" s="99">
        <v>0</v>
      </c>
      <c r="AL184" s="99">
        <v>0</v>
      </c>
      <c r="AM184" s="99">
        <v>0</v>
      </c>
      <c r="AN184" s="99">
        <v>0</v>
      </c>
      <c r="AO184" s="99">
        <v>0</v>
      </c>
      <c r="AP184" s="99">
        <v>0</v>
      </c>
      <c r="AQ184" s="99">
        <v>1</v>
      </c>
      <c r="AR184" s="99">
        <v>1</v>
      </c>
      <c r="AS184" s="99">
        <v>1</v>
      </c>
      <c r="AT184" s="99">
        <v>0</v>
      </c>
      <c r="AU184" s="99">
        <v>0</v>
      </c>
      <c r="AV184" s="99">
        <v>0</v>
      </c>
      <c r="AW184" s="99">
        <v>0</v>
      </c>
      <c r="AX184" s="99">
        <v>0</v>
      </c>
      <c r="AY184" s="99">
        <v>0</v>
      </c>
      <c r="AZ184" s="99">
        <v>1</v>
      </c>
      <c r="BA184" s="99">
        <v>1</v>
      </c>
      <c r="BB184" s="99">
        <v>1</v>
      </c>
      <c r="BC184" s="99">
        <v>0</v>
      </c>
      <c r="BD184" s="99">
        <v>1</v>
      </c>
      <c r="BE184" s="99">
        <v>0</v>
      </c>
      <c r="BF184" s="99">
        <v>0</v>
      </c>
      <c r="BG184" s="99">
        <v>1</v>
      </c>
      <c r="BH184" s="99">
        <v>1</v>
      </c>
      <c r="BI184" s="99">
        <v>0</v>
      </c>
      <c r="BJ184" s="99">
        <v>0</v>
      </c>
      <c r="BK184" s="99">
        <v>0</v>
      </c>
      <c r="BL184" s="99">
        <v>0</v>
      </c>
      <c r="BM184" s="99">
        <v>1</v>
      </c>
      <c r="BN184" s="99">
        <v>1</v>
      </c>
      <c r="BO184" s="99">
        <v>0</v>
      </c>
      <c r="BP184" s="99">
        <v>0</v>
      </c>
      <c r="BQ184" s="99">
        <v>0</v>
      </c>
      <c r="BR184" s="99">
        <v>1</v>
      </c>
      <c r="BS184" s="99">
        <v>0</v>
      </c>
      <c r="BT184" s="99">
        <v>0</v>
      </c>
      <c r="BU184" s="99">
        <v>0</v>
      </c>
      <c r="BV184" s="99">
        <v>0</v>
      </c>
      <c r="BW184" s="99">
        <v>0</v>
      </c>
      <c r="BX184" s="99">
        <v>1</v>
      </c>
      <c r="BY184" s="99">
        <v>1</v>
      </c>
      <c r="BZ184" s="99">
        <v>0</v>
      </c>
      <c r="CA184" s="99">
        <v>0</v>
      </c>
      <c r="CB184" s="99">
        <v>0</v>
      </c>
      <c r="CC184" s="99">
        <v>0</v>
      </c>
      <c r="CD184" s="99">
        <v>1</v>
      </c>
      <c r="CE184" s="99">
        <v>1</v>
      </c>
      <c r="CF184" s="99">
        <v>0</v>
      </c>
      <c r="CG184" s="99">
        <v>1</v>
      </c>
      <c r="CH184" s="99">
        <v>0</v>
      </c>
      <c r="CI184" s="99">
        <v>1</v>
      </c>
      <c r="CJ184" s="99">
        <v>0</v>
      </c>
      <c r="CK184" s="99">
        <v>0</v>
      </c>
      <c r="CL184" s="99">
        <v>0</v>
      </c>
      <c r="CM184" s="99">
        <v>0</v>
      </c>
      <c r="CN184" s="99">
        <v>0</v>
      </c>
      <c r="CO184" s="99">
        <v>1</v>
      </c>
      <c r="CP184" s="99">
        <v>0</v>
      </c>
      <c r="CQ184" s="99">
        <v>0</v>
      </c>
      <c r="CR184" s="99">
        <v>1</v>
      </c>
      <c r="CS184" s="98">
        <v>1</v>
      </c>
    </row>
    <row r="185" spans="2:97" x14ac:dyDescent="0.3">
      <c r="B185" s="83" t="s">
        <v>141</v>
      </c>
      <c r="C185" s="99">
        <v>1</v>
      </c>
      <c r="D185" s="99">
        <v>0</v>
      </c>
      <c r="E185" s="99">
        <v>0</v>
      </c>
      <c r="F185" s="99">
        <v>0</v>
      </c>
      <c r="G185" s="99">
        <v>1</v>
      </c>
      <c r="H185" s="99">
        <v>0</v>
      </c>
      <c r="I185" s="99">
        <v>1</v>
      </c>
      <c r="J185" s="99">
        <v>0</v>
      </c>
      <c r="K185" s="99">
        <v>0</v>
      </c>
      <c r="L185" s="99">
        <v>1</v>
      </c>
      <c r="M185" s="99">
        <v>0</v>
      </c>
      <c r="N185" s="99">
        <v>0</v>
      </c>
      <c r="O185" s="99">
        <v>1</v>
      </c>
      <c r="P185" s="99">
        <v>0</v>
      </c>
      <c r="Q185" s="99">
        <v>1</v>
      </c>
      <c r="R185" s="99">
        <v>0</v>
      </c>
      <c r="S185" s="99">
        <v>0</v>
      </c>
      <c r="T185" s="99">
        <v>0</v>
      </c>
      <c r="U185" s="99">
        <v>0</v>
      </c>
      <c r="V185" s="99">
        <v>0</v>
      </c>
      <c r="W185" s="99">
        <v>0</v>
      </c>
      <c r="X185" s="99">
        <v>0</v>
      </c>
      <c r="Y185" s="99">
        <v>0</v>
      </c>
      <c r="Z185" s="99">
        <v>0</v>
      </c>
      <c r="AA185" s="99">
        <v>0</v>
      </c>
      <c r="AB185" s="99">
        <v>0</v>
      </c>
      <c r="AC185" s="99">
        <v>0</v>
      </c>
      <c r="AD185" s="99">
        <v>0</v>
      </c>
      <c r="AE185" s="99">
        <v>1</v>
      </c>
      <c r="AF185" s="99">
        <v>1</v>
      </c>
      <c r="AG185" s="99">
        <v>0</v>
      </c>
      <c r="AH185" s="99">
        <v>1</v>
      </c>
      <c r="AI185" s="99">
        <v>0</v>
      </c>
      <c r="AJ185" s="99">
        <v>1</v>
      </c>
      <c r="AK185" s="99">
        <v>0</v>
      </c>
      <c r="AL185" s="99">
        <v>0</v>
      </c>
      <c r="AM185" s="99">
        <v>1</v>
      </c>
      <c r="AN185" s="99">
        <v>0</v>
      </c>
      <c r="AO185" s="99">
        <v>0</v>
      </c>
      <c r="AP185" s="99">
        <v>0</v>
      </c>
      <c r="AQ185" s="99">
        <v>0</v>
      </c>
      <c r="AR185" s="99">
        <v>0</v>
      </c>
      <c r="AS185" s="99">
        <v>0</v>
      </c>
      <c r="AT185" s="99">
        <v>0</v>
      </c>
      <c r="AU185" s="99">
        <v>1</v>
      </c>
      <c r="AV185" s="99">
        <v>1</v>
      </c>
      <c r="AW185" s="99">
        <v>1</v>
      </c>
      <c r="AX185" s="99">
        <v>0</v>
      </c>
      <c r="AY185" s="99">
        <v>0</v>
      </c>
      <c r="AZ185" s="99">
        <v>0</v>
      </c>
      <c r="BA185" s="99">
        <v>0</v>
      </c>
      <c r="BB185" s="99">
        <v>0</v>
      </c>
      <c r="BC185" s="99">
        <v>1</v>
      </c>
      <c r="BD185" s="99">
        <v>0</v>
      </c>
      <c r="BE185" s="99">
        <v>0</v>
      </c>
      <c r="BF185" s="99">
        <v>0</v>
      </c>
      <c r="BG185" s="99">
        <v>0</v>
      </c>
      <c r="BH185" s="99">
        <v>0</v>
      </c>
      <c r="BI185" s="99">
        <v>0</v>
      </c>
      <c r="BJ185" s="99">
        <v>0</v>
      </c>
      <c r="BK185" s="99">
        <v>0</v>
      </c>
      <c r="BL185" s="99">
        <v>1</v>
      </c>
      <c r="BM185" s="99">
        <v>0</v>
      </c>
      <c r="BN185" s="99">
        <v>0</v>
      </c>
      <c r="BO185" s="99">
        <v>1</v>
      </c>
      <c r="BP185" s="99">
        <v>0</v>
      </c>
      <c r="BQ185" s="99">
        <v>0</v>
      </c>
      <c r="BR185" s="99">
        <v>0</v>
      </c>
      <c r="BS185" s="99">
        <v>0</v>
      </c>
      <c r="BT185" s="99">
        <v>0</v>
      </c>
      <c r="BU185" s="99">
        <v>0</v>
      </c>
      <c r="BV185" s="99">
        <v>0</v>
      </c>
      <c r="BW185" s="99">
        <v>1</v>
      </c>
      <c r="BX185" s="99">
        <v>0</v>
      </c>
      <c r="BY185" s="99">
        <v>0</v>
      </c>
      <c r="BZ185" s="99">
        <v>1</v>
      </c>
      <c r="CA185" s="99">
        <v>0</v>
      </c>
      <c r="CB185" s="99">
        <v>1</v>
      </c>
      <c r="CC185" s="99">
        <v>0</v>
      </c>
      <c r="CD185" s="99">
        <v>0</v>
      </c>
      <c r="CE185" s="99">
        <v>0</v>
      </c>
      <c r="CF185" s="99">
        <v>1</v>
      </c>
      <c r="CG185" s="99">
        <v>0</v>
      </c>
      <c r="CH185" s="99">
        <v>0</v>
      </c>
      <c r="CI185" s="99">
        <v>0</v>
      </c>
      <c r="CJ185" s="99">
        <v>1</v>
      </c>
      <c r="CK185" s="99">
        <v>1</v>
      </c>
      <c r="CL185" s="99">
        <v>0</v>
      </c>
      <c r="CM185" s="99">
        <v>0</v>
      </c>
      <c r="CN185" s="99">
        <v>1</v>
      </c>
      <c r="CO185" s="99">
        <v>0</v>
      </c>
      <c r="CP185" s="99">
        <v>0</v>
      </c>
      <c r="CQ185" s="99">
        <v>0</v>
      </c>
      <c r="CR185" s="99">
        <v>0</v>
      </c>
      <c r="CS185" s="98">
        <v>0</v>
      </c>
    </row>
    <row r="186" spans="2:97" x14ac:dyDescent="0.3">
      <c r="B186" s="83" t="s">
        <v>142</v>
      </c>
      <c r="C186" s="99">
        <v>0</v>
      </c>
      <c r="D186" s="99">
        <v>1</v>
      </c>
      <c r="E186" s="99">
        <v>0</v>
      </c>
      <c r="F186" s="99">
        <v>0</v>
      </c>
      <c r="G186" s="99">
        <v>0</v>
      </c>
      <c r="H186" s="99">
        <v>0</v>
      </c>
      <c r="I186" s="99">
        <v>0</v>
      </c>
      <c r="J186" s="99">
        <v>0</v>
      </c>
      <c r="K186" s="99">
        <v>0</v>
      </c>
      <c r="L186" s="99">
        <v>0</v>
      </c>
      <c r="M186" s="99">
        <v>1</v>
      </c>
      <c r="N186" s="99">
        <v>0</v>
      </c>
      <c r="O186" s="99">
        <v>0</v>
      </c>
      <c r="P186" s="99">
        <v>0</v>
      </c>
      <c r="Q186" s="99">
        <v>0</v>
      </c>
      <c r="R186" s="99">
        <v>0</v>
      </c>
      <c r="S186" s="99">
        <v>0</v>
      </c>
      <c r="T186" s="99">
        <v>0</v>
      </c>
      <c r="U186" s="99">
        <v>1</v>
      </c>
      <c r="V186" s="99">
        <v>0</v>
      </c>
      <c r="W186" s="99">
        <v>0</v>
      </c>
      <c r="X186" s="99">
        <v>1</v>
      </c>
      <c r="Y186" s="99">
        <v>0</v>
      </c>
      <c r="Z186" s="99">
        <v>0</v>
      </c>
      <c r="AA186" s="99">
        <v>0</v>
      </c>
      <c r="AB186" s="99">
        <v>0</v>
      </c>
      <c r="AC186" s="99">
        <v>0</v>
      </c>
      <c r="AD186" s="99">
        <v>1</v>
      </c>
      <c r="AE186" s="99">
        <v>0</v>
      </c>
      <c r="AF186" s="99">
        <v>0</v>
      </c>
      <c r="AG186" s="99">
        <v>0</v>
      </c>
      <c r="AH186" s="99">
        <v>0</v>
      </c>
      <c r="AI186" s="99">
        <v>0</v>
      </c>
      <c r="AJ186" s="99">
        <v>0</v>
      </c>
      <c r="AK186" s="99">
        <v>0</v>
      </c>
      <c r="AL186" s="99">
        <v>0</v>
      </c>
      <c r="AM186" s="99">
        <v>0</v>
      </c>
      <c r="AN186" s="99">
        <v>0</v>
      </c>
      <c r="AO186" s="99">
        <v>0</v>
      </c>
      <c r="AP186" s="99">
        <v>0</v>
      </c>
      <c r="AQ186" s="99">
        <v>1</v>
      </c>
      <c r="AR186" s="99">
        <v>1</v>
      </c>
      <c r="AS186" s="99">
        <v>1</v>
      </c>
      <c r="AT186" s="99">
        <v>0</v>
      </c>
      <c r="AU186" s="99">
        <v>0</v>
      </c>
      <c r="AV186" s="99">
        <v>0</v>
      </c>
      <c r="AW186" s="99">
        <v>0</v>
      </c>
      <c r="AX186" s="99">
        <v>0</v>
      </c>
      <c r="AY186" s="99">
        <v>0</v>
      </c>
      <c r="AZ186" s="99">
        <v>1</v>
      </c>
      <c r="BA186" s="99">
        <v>1</v>
      </c>
      <c r="BB186" s="99">
        <v>1</v>
      </c>
      <c r="BC186" s="99">
        <v>0</v>
      </c>
      <c r="BD186" s="99">
        <v>1</v>
      </c>
      <c r="BE186" s="99">
        <v>0</v>
      </c>
      <c r="BF186" s="99">
        <v>0</v>
      </c>
      <c r="BG186" s="99">
        <v>1</v>
      </c>
      <c r="BH186" s="99">
        <v>1</v>
      </c>
      <c r="BI186" s="99">
        <v>0</v>
      </c>
      <c r="BJ186" s="99">
        <v>0</v>
      </c>
      <c r="BK186" s="99">
        <v>0</v>
      </c>
      <c r="BL186" s="99">
        <v>0</v>
      </c>
      <c r="BM186" s="99">
        <v>1</v>
      </c>
      <c r="BN186" s="99">
        <v>1</v>
      </c>
      <c r="BO186" s="99">
        <v>0</v>
      </c>
      <c r="BP186" s="99">
        <v>0</v>
      </c>
      <c r="BQ186" s="99">
        <v>0</v>
      </c>
      <c r="BR186" s="99">
        <v>1</v>
      </c>
      <c r="BS186" s="99">
        <v>0</v>
      </c>
      <c r="BT186" s="99">
        <v>0</v>
      </c>
      <c r="BU186" s="99">
        <v>0</v>
      </c>
      <c r="BV186" s="99">
        <v>0</v>
      </c>
      <c r="BW186" s="99">
        <v>0</v>
      </c>
      <c r="BX186" s="99">
        <v>1</v>
      </c>
      <c r="BY186" s="99">
        <v>1</v>
      </c>
      <c r="BZ186" s="99">
        <v>0</v>
      </c>
      <c r="CA186" s="99">
        <v>0</v>
      </c>
      <c r="CB186" s="99">
        <v>0</v>
      </c>
      <c r="CC186" s="99">
        <v>0</v>
      </c>
      <c r="CD186" s="99">
        <v>1</v>
      </c>
      <c r="CE186" s="99">
        <v>1</v>
      </c>
      <c r="CF186" s="99">
        <v>0</v>
      </c>
      <c r="CG186" s="99">
        <v>1</v>
      </c>
      <c r="CH186" s="99">
        <v>0</v>
      </c>
      <c r="CI186" s="99">
        <v>1</v>
      </c>
      <c r="CJ186" s="99">
        <v>0</v>
      </c>
      <c r="CK186" s="99">
        <v>0</v>
      </c>
      <c r="CL186" s="99">
        <v>0</v>
      </c>
      <c r="CM186" s="99">
        <v>0</v>
      </c>
      <c r="CN186" s="99">
        <v>0</v>
      </c>
      <c r="CO186" s="99">
        <v>1</v>
      </c>
      <c r="CP186" s="99">
        <v>0</v>
      </c>
      <c r="CQ186" s="99">
        <v>0</v>
      </c>
      <c r="CR186" s="99">
        <v>1</v>
      </c>
      <c r="CS186" s="98">
        <v>1</v>
      </c>
    </row>
    <row r="187" spans="2:97" x14ac:dyDescent="0.3">
      <c r="B187" s="83" t="s">
        <v>143</v>
      </c>
      <c r="C187" s="99">
        <v>0</v>
      </c>
      <c r="D187" s="99">
        <v>0</v>
      </c>
      <c r="E187" s="99">
        <v>1</v>
      </c>
      <c r="F187" s="99">
        <v>0</v>
      </c>
      <c r="G187" s="99">
        <v>0</v>
      </c>
      <c r="H187" s="99">
        <v>0</v>
      </c>
      <c r="I187" s="99">
        <v>0</v>
      </c>
      <c r="J187" s="99">
        <v>0</v>
      </c>
      <c r="K187" s="99">
        <v>1</v>
      </c>
      <c r="L187" s="99">
        <v>0</v>
      </c>
      <c r="M187" s="99">
        <v>0</v>
      </c>
      <c r="N187" s="99">
        <v>1</v>
      </c>
      <c r="O187" s="99">
        <v>0</v>
      </c>
      <c r="P187" s="99">
        <v>0</v>
      </c>
      <c r="Q187" s="99">
        <v>0</v>
      </c>
      <c r="R187" s="99">
        <v>0</v>
      </c>
      <c r="S187" s="99">
        <v>1</v>
      </c>
      <c r="T187" s="99">
        <v>0</v>
      </c>
      <c r="U187" s="99">
        <v>0</v>
      </c>
      <c r="V187" s="99">
        <v>1</v>
      </c>
      <c r="W187" s="99">
        <v>0</v>
      </c>
      <c r="X187" s="99">
        <v>0</v>
      </c>
      <c r="Y187" s="99">
        <v>1</v>
      </c>
      <c r="Z187" s="99">
        <v>1</v>
      </c>
      <c r="AA187" s="99">
        <v>0</v>
      </c>
      <c r="AB187" s="99">
        <v>0</v>
      </c>
      <c r="AC187" s="99">
        <v>1</v>
      </c>
      <c r="AD187" s="99">
        <v>0</v>
      </c>
      <c r="AE187" s="99">
        <v>0</v>
      </c>
      <c r="AF187" s="99">
        <v>0</v>
      </c>
      <c r="AG187" s="99">
        <v>0</v>
      </c>
      <c r="AH187" s="99">
        <v>0</v>
      </c>
      <c r="AI187" s="99">
        <v>0</v>
      </c>
      <c r="AJ187" s="99">
        <v>0</v>
      </c>
      <c r="AK187" s="99">
        <v>1</v>
      </c>
      <c r="AL187" s="99">
        <v>1</v>
      </c>
      <c r="AM187" s="99">
        <v>0</v>
      </c>
      <c r="AN187" s="99">
        <v>1</v>
      </c>
      <c r="AO187" s="99">
        <v>1</v>
      </c>
      <c r="AP187" s="99">
        <v>1</v>
      </c>
      <c r="AQ187" s="99">
        <v>0</v>
      </c>
      <c r="AR187" s="99">
        <v>0</v>
      </c>
      <c r="AS187" s="99">
        <v>0</v>
      </c>
      <c r="AT187" s="99">
        <v>0</v>
      </c>
      <c r="AU187" s="99">
        <v>0</v>
      </c>
      <c r="AV187" s="99">
        <v>0</v>
      </c>
      <c r="AW187" s="99">
        <v>0</v>
      </c>
      <c r="AX187" s="99">
        <v>1</v>
      </c>
      <c r="AY187" s="99">
        <v>1</v>
      </c>
      <c r="AZ187" s="99">
        <v>0</v>
      </c>
      <c r="BA187" s="99">
        <v>0</v>
      </c>
      <c r="BB187" s="99">
        <v>0</v>
      </c>
      <c r="BC187" s="99">
        <v>0</v>
      </c>
      <c r="BD187" s="99">
        <v>0</v>
      </c>
      <c r="BE187" s="99">
        <v>1</v>
      </c>
      <c r="BF187" s="99">
        <v>0</v>
      </c>
      <c r="BG187" s="99">
        <v>0</v>
      </c>
      <c r="BH187" s="99">
        <v>0</v>
      </c>
      <c r="BI187" s="99">
        <v>0</v>
      </c>
      <c r="BJ187" s="99">
        <v>1</v>
      </c>
      <c r="BK187" s="99">
        <v>0</v>
      </c>
      <c r="BL187" s="99">
        <v>0</v>
      </c>
      <c r="BM187" s="99">
        <v>0</v>
      </c>
      <c r="BN187" s="99">
        <v>0</v>
      </c>
      <c r="BO187" s="99">
        <v>0</v>
      </c>
      <c r="BP187" s="99">
        <v>1</v>
      </c>
      <c r="BQ187" s="99">
        <v>0</v>
      </c>
      <c r="BR187" s="99">
        <v>0</v>
      </c>
      <c r="BS187" s="99">
        <v>0</v>
      </c>
      <c r="BT187" s="99">
        <v>0</v>
      </c>
      <c r="BU187" s="99">
        <v>0</v>
      </c>
      <c r="BV187" s="99">
        <v>0</v>
      </c>
      <c r="BW187" s="99">
        <v>0</v>
      </c>
      <c r="BX187" s="99">
        <v>0</v>
      </c>
      <c r="BY187" s="99">
        <v>0</v>
      </c>
      <c r="BZ187" s="99">
        <v>0</v>
      </c>
      <c r="CA187" s="99">
        <v>0</v>
      </c>
      <c r="CB187" s="99">
        <v>0</v>
      </c>
      <c r="CC187" s="99">
        <v>1</v>
      </c>
      <c r="CD187" s="99">
        <v>0</v>
      </c>
      <c r="CE187" s="99">
        <v>0</v>
      </c>
      <c r="CF187" s="99">
        <v>0</v>
      </c>
      <c r="CG187" s="99">
        <v>0</v>
      </c>
      <c r="CH187" s="99">
        <v>1</v>
      </c>
      <c r="CI187" s="99">
        <v>0</v>
      </c>
      <c r="CJ187" s="99">
        <v>0</v>
      </c>
      <c r="CK187" s="99">
        <v>0</v>
      </c>
      <c r="CL187" s="99">
        <v>0</v>
      </c>
      <c r="CM187" s="99">
        <v>0</v>
      </c>
      <c r="CN187" s="99">
        <v>0</v>
      </c>
      <c r="CO187" s="99">
        <v>0</v>
      </c>
      <c r="CP187" s="99">
        <v>1</v>
      </c>
      <c r="CQ187" s="99">
        <v>0</v>
      </c>
      <c r="CR187" s="99">
        <v>0</v>
      </c>
      <c r="CS187" s="98">
        <v>0</v>
      </c>
    </row>
    <row r="188" spans="2:97" x14ac:dyDescent="0.3">
      <c r="B188" s="83" t="s">
        <v>144</v>
      </c>
      <c r="C188" s="99">
        <v>0</v>
      </c>
      <c r="D188" s="99">
        <v>1</v>
      </c>
      <c r="E188" s="99">
        <v>0</v>
      </c>
      <c r="F188" s="99">
        <v>0</v>
      </c>
      <c r="G188" s="99">
        <v>0</v>
      </c>
      <c r="H188" s="99">
        <v>0</v>
      </c>
      <c r="I188" s="99">
        <v>0</v>
      </c>
      <c r="J188" s="99">
        <v>0</v>
      </c>
      <c r="K188" s="99">
        <v>0</v>
      </c>
      <c r="L188" s="99">
        <v>0</v>
      </c>
      <c r="M188" s="99">
        <v>1</v>
      </c>
      <c r="N188" s="99">
        <v>0</v>
      </c>
      <c r="O188" s="99">
        <v>0</v>
      </c>
      <c r="P188" s="99">
        <v>0</v>
      </c>
      <c r="Q188" s="99">
        <v>0</v>
      </c>
      <c r="R188" s="99">
        <v>0</v>
      </c>
      <c r="S188" s="99">
        <v>0</v>
      </c>
      <c r="T188" s="99">
        <v>0</v>
      </c>
      <c r="U188" s="99">
        <v>1</v>
      </c>
      <c r="V188" s="99">
        <v>0</v>
      </c>
      <c r="W188" s="99">
        <v>0</v>
      </c>
      <c r="X188" s="99">
        <v>1</v>
      </c>
      <c r="Y188" s="99">
        <v>0</v>
      </c>
      <c r="Z188" s="99">
        <v>0</v>
      </c>
      <c r="AA188" s="99">
        <v>0</v>
      </c>
      <c r="AB188" s="99">
        <v>0</v>
      </c>
      <c r="AC188" s="99">
        <v>0</v>
      </c>
      <c r="AD188" s="99">
        <v>1</v>
      </c>
      <c r="AE188" s="99">
        <v>0</v>
      </c>
      <c r="AF188" s="99">
        <v>0</v>
      </c>
      <c r="AG188" s="99">
        <v>0</v>
      </c>
      <c r="AH188" s="99">
        <v>0</v>
      </c>
      <c r="AI188" s="99">
        <v>0</v>
      </c>
      <c r="AJ188" s="99">
        <v>0</v>
      </c>
      <c r="AK188" s="99">
        <v>0</v>
      </c>
      <c r="AL188" s="99">
        <v>0</v>
      </c>
      <c r="AM188" s="99">
        <v>0</v>
      </c>
      <c r="AN188" s="99">
        <v>0</v>
      </c>
      <c r="AO188" s="99">
        <v>0</v>
      </c>
      <c r="AP188" s="99">
        <v>0</v>
      </c>
      <c r="AQ188" s="99">
        <v>1</v>
      </c>
      <c r="AR188" s="99">
        <v>1</v>
      </c>
      <c r="AS188" s="99">
        <v>1</v>
      </c>
      <c r="AT188" s="99">
        <v>0</v>
      </c>
      <c r="AU188" s="99">
        <v>0</v>
      </c>
      <c r="AV188" s="99">
        <v>0</v>
      </c>
      <c r="AW188" s="99">
        <v>0</v>
      </c>
      <c r="AX188" s="99">
        <v>0</v>
      </c>
      <c r="AY188" s="99">
        <v>0</v>
      </c>
      <c r="AZ188" s="99">
        <v>1</v>
      </c>
      <c r="BA188" s="99">
        <v>1</v>
      </c>
      <c r="BB188" s="99">
        <v>1</v>
      </c>
      <c r="BC188" s="99">
        <v>0</v>
      </c>
      <c r="BD188" s="99">
        <v>1</v>
      </c>
      <c r="BE188" s="99">
        <v>0</v>
      </c>
      <c r="BF188" s="99">
        <v>0</v>
      </c>
      <c r="BG188" s="99">
        <v>1</v>
      </c>
      <c r="BH188" s="99">
        <v>1</v>
      </c>
      <c r="BI188" s="99">
        <v>0</v>
      </c>
      <c r="BJ188" s="99">
        <v>0</v>
      </c>
      <c r="BK188" s="99">
        <v>0</v>
      </c>
      <c r="BL188" s="99">
        <v>0</v>
      </c>
      <c r="BM188" s="99">
        <v>1</v>
      </c>
      <c r="BN188" s="99">
        <v>1</v>
      </c>
      <c r="BO188" s="99">
        <v>0</v>
      </c>
      <c r="BP188" s="99">
        <v>0</v>
      </c>
      <c r="BQ188" s="99">
        <v>0</v>
      </c>
      <c r="BR188" s="99">
        <v>1</v>
      </c>
      <c r="BS188" s="99">
        <v>0</v>
      </c>
      <c r="BT188" s="99">
        <v>0</v>
      </c>
      <c r="BU188" s="99">
        <v>0</v>
      </c>
      <c r="BV188" s="99">
        <v>0</v>
      </c>
      <c r="BW188" s="99">
        <v>0</v>
      </c>
      <c r="BX188" s="99">
        <v>1</v>
      </c>
      <c r="BY188" s="99">
        <v>1</v>
      </c>
      <c r="BZ188" s="99">
        <v>0</v>
      </c>
      <c r="CA188" s="99">
        <v>0</v>
      </c>
      <c r="CB188" s="99">
        <v>0</v>
      </c>
      <c r="CC188" s="99">
        <v>0</v>
      </c>
      <c r="CD188" s="99">
        <v>1</v>
      </c>
      <c r="CE188" s="99">
        <v>1</v>
      </c>
      <c r="CF188" s="99">
        <v>0</v>
      </c>
      <c r="CG188" s="99">
        <v>1</v>
      </c>
      <c r="CH188" s="99">
        <v>0</v>
      </c>
      <c r="CI188" s="99">
        <v>1</v>
      </c>
      <c r="CJ188" s="99">
        <v>0</v>
      </c>
      <c r="CK188" s="99">
        <v>0</v>
      </c>
      <c r="CL188" s="99">
        <v>0</v>
      </c>
      <c r="CM188" s="99">
        <v>0</v>
      </c>
      <c r="CN188" s="99">
        <v>0</v>
      </c>
      <c r="CO188" s="99">
        <v>1</v>
      </c>
      <c r="CP188" s="99">
        <v>0</v>
      </c>
      <c r="CQ188" s="99">
        <v>0</v>
      </c>
      <c r="CR188" s="99">
        <v>1</v>
      </c>
      <c r="CS188" s="98">
        <v>1</v>
      </c>
    </row>
    <row r="189" spans="2:97" x14ac:dyDescent="0.3">
      <c r="B189" s="83" t="s">
        <v>145</v>
      </c>
      <c r="C189" s="99">
        <v>1</v>
      </c>
      <c r="D189" s="99">
        <v>0</v>
      </c>
      <c r="E189" s="99">
        <v>0</v>
      </c>
      <c r="F189" s="99">
        <v>0</v>
      </c>
      <c r="G189" s="99">
        <v>1</v>
      </c>
      <c r="H189" s="99">
        <v>0</v>
      </c>
      <c r="I189" s="99">
        <v>1</v>
      </c>
      <c r="J189" s="99">
        <v>0</v>
      </c>
      <c r="K189" s="99">
        <v>0</v>
      </c>
      <c r="L189" s="99">
        <v>1</v>
      </c>
      <c r="M189" s="99">
        <v>0</v>
      </c>
      <c r="N189" s="99">
        <v>0</v>
      </c>
      <c r="O189" s="99">
        <v>1</v>
      </c>
      <c r="P189" s="99">
        <v>0</v>
      </c>
      <c r="Q189" s="99">
        <v>1</v>
      </c>
      <c r="R189" s="99">
        <v>0</v>
      </c>
      <c r="S189" s="99">
        <v>0</v>
      </c>
      <c r="T189" s="99">
        <v>0</v>
      </c>
      <c r="U189" s="99">
        <v>0</v>
      </c>
      <c r="V189" s="99">
        <v>0</v>
      </c>
      <c r="W189" s="99">
        <v>0</v>
      </c>
      <c r="X189" s="99">
        <v>0</v>
      </c>
      <c r="Y189" s="99">
        <v>0</v>
      </c>
      <c r="Z189" s="99">
        <v>0</v>
      </c>
      <c r="AA189" s="99">
        <v>0</v>
      </c>
      <c r="AB189" s="99">
        <v>0</v>
      </c>
      <c r="AC189" s="99">
        <v>0</v>
      </c>
      <c r="AD189" s="99">
        <v>0</v>
      </c>
      <c r="AE189" s="99">
        <v>1</v>
      </c>
      <c r="AF189" s="99">
        <v>1</v>
      </c>
      <c r="AG189" s="99">
        <v>0</v>
      </c>
      <c r="AH189" s="99">
        <v>1</v>
      </c>
      <c r="AI189" s="99">
        <v>0</v>
      </c>
      <c r="AJ189" s="99">
        <v>1</v>
      </c>
      <c r="AK189" s="99">
        <v>0</v>
      </c>
      <c r="AL189" s="99">
        <v>0</v>
      </c>
      <c r="AM189" s="99">
        <v>1</v>
      </c>
      <c r="AN189" s="99">
        <v>0</v>
      </c>
      <c r="AO189" s="99">
        <v>0</v>
      </c>
      <c r="AP189" s="99">
        <v>0</v>
      </c>
      <c r="AQ189" s="99">
        <v>0</v>
      </c>
      <c r="AR189" s="99">
        <v>0</v>
      </c>
      <c r="AS189" s="99">
        <v>0</v>
      </c>
      <c r="AT189" s="99">
        <v>0</v>
      </c>
      <c r="AU189" s="99">
        <v>1</v>
      </c>
      <c r="AV189" s="99">
        <v>1</v>
      </c>
      <c r="AW189" s="99">
        <v>1</v>
      </c>
      <c r="AX189" s="99">
        <v>0</v>
      </c>
      <c r="AY189" s="99">
        <v>0</v>
      </c>
      <c r="AZ189" s="99">
        <v>0</v>
      </c>
      <c r="BA189" s="99">
        <v>0</v>
      </c>
      <c r="BB189" s="99">
        <v>0</v>
      </c>
      <c r="BC189" s="99">
        <v>1</v>
      </c>
      <c r="BD189" s="99">
        <v>0</v>
      </c>
      <c r="BE189" s="99">
        <v>0</v>
      </c>
      <c r="BF189" s="99">
        <v>0</v>
      </c>
      <c r="BG189" s="99">
        <v>0</v>
      </c>
      <c r="BH189" s="99">
        <v>0</v>
      </c>
      <c r="BI189" s="99">
        <v>0</v>
      </c>
      <c r="BJ189" s="99">
        <v>0</v>
      </c>
      <c r="BK189" s="99">
        <v>0</v>
      </c>
      <c r="BL189" s="99">
        <v>1</v>
      </c>
      <c r="BM189" s="99">
        <v>0</v>
      </c>
      <c r="BN189" s="99">
        <v>0</v>
      </c>
      <c r="BO189" s="99">
        <v>1</v>
      </c>
      <c r="BP189" s="99">
        <v>0</v>
      </c>
      <c r="BQ189" s="99">
        <v>0</v>
      </c>
      <c r="BR189" s="99">
        <v>0</v>
      </c>
      <c r="BS189" s="99">
        <v>0</v>
      </c>
      <c r="BT189" s="99">
        <v>0</v>
      </c>
      <c r="BU189" s="99">
        <v>0</v>
      </c>
      <c r="BV189" s="99">
        <v>0</v>
      </c>
      <c r="BW189" s="99">
        <v>1</v>
      </c>
      <c r="BX189" s="99">
        <v>0</v>
      </c>
      <c r="BY189" s="99">
        <v>0</v>
      </c>
      <c r="BZ189" s="99">
        <v>1</v>
      </c>
      <c r="CA189" s="99">
        <v>0</v>
      </c>
      <c r="CB189" s="99">
        <v>1</v>
      </c>
      <c r="CC189" s="99">
        <v>0</v>
      </c>
      <c r="CD189" s="99">
        <v>0</v>
      </c>
      <c r="CE189" s="99">
        <v>0</v>
      </c>
      <c r="CF189" s="99">
        <v>1</v>
      </c>
      <c r="CG189" s="99">
        <v>0</v>
      </c>
      <c r="CH189" s="99">
        <v>0</v>
      </c>
      <c r="CI189" s="99">
        <v>0</v>
      </c>
      <c r="CJ189" s="99">
        <v>1</v>
      </c>
      <c r="CK189" s="99">
        <v>1</v>
      </c>
      <c r="CL189" s="99">
        <v>0</v>
      </c>
      <c r="CM189" s="99">
        <v>0</v>
      </c>
      <c r="CN189" s="99">
        <v>1</v>
      </c>
      <c r="CO189" s="99">
        <v>0</v>
      </c>
      <c r="CP189" s="99">
        <v>0</v>
      </c>
      <c r="CQ189" s="99">
        <v>0</v>
      </c>
      <c r="CR189" s="99">
        <v>0</v>
      </c>
      <c r="CS189" s="98">
        <v>0</v>
      </c>
    </row>
    <row r="190" spans="2:97" x14ac:dyDescent="0.3">
      <c r="B190" s="83" t="s">
        <v>146</v>
      </c>
      <c r="C190" s="99">
        <v>1</v>
      </c>
      <c r="D190" s="99">
        <v>0</v>
      </c>
      <c r="E190" s="99">
        <v>0</v>
      </c>
      <c r="F190" s="99">
        <v>0</v>
      </c>
      <c r="G190" s="99">
        <v>1</v>
      </c>
      <c r="H190" s="99">
        <v>0</v>
      </c>
      <c r="I190" s="99">
        <v>1</v>
      </c>
      <c r="J190" s="99">
        <v>0</v>
      </c>
      <c r="K190" s="99">
        <v>0</v>
      </c>
      <c r="L190" s="99">
        <v>1</v>
      </c>
      <c r="M190" s="99">
        <v>0</v>
      </c>
      <c r="N190" s="99">
        <v>0</v>
      </c>
      <c r="O190" s="99">
        <v>1</v>
      </c>
      <c r="P190" s="99">
        <v>0</v>
      </c>
      <c r="Q190" s="99">
        <v>1</v>
      </c>
      <c r="R190" s="99">
        <v>0</v>
      </c>
      <c r="S190" s="99">
        <v>0</v>
      </c>
      <c r="T190" s="99">
        <v>0</v>
      </c>
      <c r="U190" s="99">
        <v>0</v>
      </c>
      <c r="V190" s="99">
        <v>0</v>
      </c>
      <c r="W190" s="99">
        <v>0</v>
      </c>
      <c r="X190" s="99">
        <v>0</v>
      </c>
      <c r="Y190" s="99">
        <v>0</v>
      </c>
      <c r="Z190" s="99">
        <v>0</v>
      </c>
      <c r="AA190" s="99">
        <v>0</v>
      </c>
      <c r="AB190" s="99">
        <v>0</v>
      </c>
      <c r="AC190" s="99">
        <v>0</v>
      </c>
      <c r="AD190" s="99">
        <v>0</v>
      </c>
      <c r="AE190" s="99">
        <v>1</v>
      </c>
      <c r="AF190" s="99">
        <v>1</v>
      </c>
      <c r="AG190" s="99">
        <v>0</v>
      </c>
      <c r="AH190" s="99">
        <v>1</v>
      </c>
      <c r="AI190" s="99">
        <v>0</v>
      </c>
      <c r="AJ190" s="99">
        <v>1</v>
      </c>
      <c r="AK190" s="99">
        <v>0</v>
      </c>
      <c r="AL190" s="99">
        <v>0</v>
      </c>
      <c r="AM190" s="99">
        <v>1</v>
      </c>
      <c r="AN190" s="99">
        <v>0</v>
      </c>
      <c r="AO190" s="99">
        <v>0</v>
      </c>
      <c r="AP190" s="99">
        <v>0</v>
      </c>
      <c r="AQ190" s="99">
        <v>0</v>
      </c>
      <c r="AR190" s="99">
        <v>0</v>
      </c>
      <c r="AS190" s="99">
        <v>0</v>
      </c>
      <c r="AT190" s="99">
        <v>0</v>
      </c>
      <c r="AU190" s="99">
        <v>1</v>
      </c>
      <c r="AV190" s="99">
        <v>1</v>
      </c>
      <c r="AW190" s="99">
        <v>1</v>
      </c>
      <c r="AX190" s="99">
        <v>0</v>
      </c>
      <c r="AY190" s="99">
        <v>0</v>
      </c>
      <c r="AZ190" s="99">
        <v>0</v>
      </c>
      <c r="BA190" s="99">
        <v>0</v>
      </c>
      <c r="BB190" s="99">
        <v>0</v>
      </c>
      <c r="BC190" s="99">
        <v>1</v>
      </c>
      <c r="BD190" s="99">
        <v>0</v>
      </c>
      <c r="BE190" s="99">
        <v>0</v>
      </c>
      <c r="BF190" s="99">
        <v>0</v>
      </c>
      <c r="BG190" s="99">
        <v>0</v>
      </c>
      <c r="BH190" s="99">
        <v>0</v>
      </c>
      <c r="BI190" s="99">
        <v>0</v>
      </c>
      <c r="BJ190" s="99">
        <v>0</v>
      </c>
      <c r="BK190" s="99">
        <v>0</v>
      </c>
      <c r="BL190" s="99">
        <v>1</v>
      </c>
      <c r="BM190" s="99">
        <v>0</v>
      </c>
      <c r="BN190" s="99">
        <v>0</v>
      </c>
      <c r="BO190" s="99">
        <v>1</v>
      </c>
      <c r="BP190" s="99">
        <v>0</v>
      </c>
      <c r="BQ190" s="99">
        <v>0</v>
      </c>
      <c r="BR190" s="99">
        <v>0</v>
      </c>
      <c r="BS190" s="99">
        <v>0</v>
      </c>
      <c r="BT190" s="99">
        <v>0</v>
      </c>
      <c r="BU190" s="99">
        <v>0</v>
      </c>
      <c r="BV190" s="99">
        <v>0</v>
      </c>
      <c r="BW190" s="99">
        <v>1</v>
      </c>
      <c r="BX190" s="99">
        <v>0</v>
      </c>
      <c r="BY190" s="99">
        <v>0</v>
      </c>
      <c r="BZ190" s="99">
        <v>1</v>
      </c>
      <c r="CA190" s="99">
        <v>0</v>
      </c>
      <c r="CB190" s="99">
        <v>1</v>
      </c>
      <c r="CC190" s="99">
        <v>0</v>
      </c>
      <c r="CD190" s="99">
        <v>0</v>
      </c>
      <c r="CE190" s="99">
        <v>0</v>
      </c>
      <c r="CF190" s="99">
        <v>1</v>
      </c>
      <c r="CG190" s="99">
        <v>0</v>
      </c>
      <c r="CH190" s="99">
        <v>0</v>
      </c>
      <c r="CI190" s="99">
        <v>0</v>
      </c>
      <c r="CJ190" s="99">
        <v>1</v>
      </c>
      <c r="CK190" s="99">
        <v>1</v>
      </c>
      <c r="CL190" s="99">
        <v>0</v>
      </c>
      <c r="CM190" s="99">
        <v>0</v>
      </c>
      <c r="CN190" s="99">
        <v>1</v>
      </c>
      <c r="CO190" s="99">
        <v>0</v>
      </c>
      <c r="CP190" s="99">
        <v>0</v>
      </c>
      <c r="CQ190" s="99">
        <v>0</v>
      </c>
      <c r="CR190" s="99">
        <v>0</v>
      </c>
      <c r="CS190" s="98">
        <v>0</v>
      </c>
    </row>
    <row r="191" spans="2:97" x14ac:dyDescent="0.3">
      <c r="B191" s="83" t="s">
        <v>147</v>
      </c>
      <c r="C191" s="99">
        <v>0</v>
      </c>
      <c r="D191" s="99">
        <v>0</v>
      </c>
      <c r="E191" s="99">
        <v>0</v>
      </c>
      <c r="F191" s="99">
        <v>1</v>
      </c>
      <c r="G191" s="99">
        <v>0</v>
      </c>
      <c r="H191" s="99">
        <v>1</v>
      </c>
      <c r="I191" s="99">
        <v>0</v>
      </c>
      <c r="J191" s="99">
        <v>1</v>
      </c>
      <c r="K191" s="99">
        <v>0</v>
      </c>
      <c r="L191" s="99">
        <v>0</v>
      </c>
      <c r="M191" s="99">
        <v>0</v>
      </c>
      <c r="N191" s="99">
        <v>0</v>
      </c>
      <c r="O191" s="99">
        <v>0</v>
      </c>
      <c r="P191" s="99">
        <v>1</v>
      </c>
      <c r="Q191" s="99">
        <v>0</v>
      </c>
      <c r="R191" s="99">
        <v>1</v>
      </c>
      <c r="S191" s="99">
        <v>0</v>
      </c>
      <c r="T191" s="99">
        <v>1</v>
      </c>
      <c r="U191" s="99">
        <v>0</v>
      </c>
      <c r="V191" s="99">
        <v>0</v>
      </c>
      <c r="W191" s="99">
        <v>1</v>
      </c>
      <c r="X191" s="99">
        <v>0</v>
      </c>
      <c r="Y191" s="99">
        <v>0</v>
      </c>
      <c r="Z191" s="99">
        <v>0</v>
      </c>
      <c r="AA191" s="99">
        <v>1</v>
      </c>
      <c r="AB191" s="99">
        <v>1</v>
      </c>
      <c r="AC191" s="99">
        <v>0</v>
      </c>
      <c r="AD191" s="99">
        <v>0</v>
      </c>
      <c r="AE191" s="99">
        <v>0</v>
      </c>
      <c r="AF191" s="99">
        <v>0</v>
      </c>
      <c r="AG191" s="99">
        <v>1</v>
      </c>
      <c r="AH191" s="99">
        <v>0</v>
      </c>
      <c r="AI191" s="99">
        <v>1</v>
      </c>
      <c r="AJ191" s="99">
        <v>0</v>
      </c>
      <c r="AK191" s="99">
        <v>0</v>
      </c>
      <c r="AL191" s="99">
        <v>0</v>
      </c>
      <c r="AM191" s="99">
        <v>0</v>
      </c>
      <c r="AN191" s="99">
        <v>0</v>
      </c>
      <c r="AO191" s="99">
        <v>0</v>
      </c>
      <c r="AP191" s="99">
        <v>0</v>
      </c>
      <c r="AQ191" s="99">
        <v>0</v>
      </c>
      <c r="AR191" s="99">
        <v>0</v>
      </c>
      <c r="AS191" s="99">
        <v>0</v>
      </c>
      <c r="AT191" s="99">
        <v>1</v>
      </c>
      <c r="AU191" s="99">
        <v>0</v>
      </c>
      <c r="AV191" s="99">
        <v>0</v>
      </c>
      <c r="AW191" s="99">
        <v>0</v>
      </c>
      <c r="AX191" s="99">
        <v>0</v>
      </c>
      <c r="AY191" s="99">
        <v>0</v>
      </c>
      <c r="AZ191" s="99">
        <v>0</v>
      </c>
      <c r="BA191" s="99">
        <v>0</v>
      </c>
      <c r="BB191" s="99">
        <v>0</v>
      </c>
      <c r="BC191" s="99">
        <v>0</v>
      </c>
      <c r="BD191" s="99">
        <v>0</v>
      </c>
      <c r="BE191" s="99">
        <v>0</v>
      </c>
      <c r="BF191" s="99">
        <v>1</v>
      </c>
      <c r="BG191" s="99">
        <v>0</v>
      </c>
      <c r="BH191" s="99">
        <v>0</v>
      </c>
      <c r="BI191" s="99">
        <v>1</v>
      </c>
      <c r="BJ191" s="99">
        <v>0</v>
      </c>
      <c r="BK191" s="99">
        <v>1</v>
      </c>
      <c r="BL191" s="99">
        <v>0</v>
      </c>
      <c r="BM191" s="99">
        <v>0</v>
      </c>
      <c r="BN191" s="99">
        <v>0</v>
      </c>
      <c r="BO191" s="99">
        <v>0</v>
      </c>
      <c r="BP191" s="99">
        <v>0</v>
      </c>
      <c r="BQ191" s="99">
        <v>1</v>
      </c>
      <c r="BR191" s="99">
        <v>0</v>
      </c>
      <c r="BS191" s="99">
        <v>1</v>
      </c>
      <c r="BT191" s="99">
        <v>1</v>
      </c>
      <c r="BU191" s="99">
        <v>1</v>
      </c>
      <c r="BV191" s="99">
        <v>1</v>
      </c>
      <c r="BW191" s="99">
        <v>0</v>
      </c>
      <c r="BX191" s="99">
        <v>0</v>
      </c>
      <c r="BY191" s="99">
        <v>0</v>
      </c>
      <c r="BZ191" s="99">
        <v>0</v>
      </c>
      <c r="CA191" s="99">
        <v>1</v>
      </c>
      <c r="CB191" s="99">
        <v>0</v>
      </c>
      <c r="CC191" s="99">
        <v>0</v>
      </c>
      <c r="CD191" s="99">
        <v>0</v>
      </c>
      <c r="CE191" s="99">
        <v>0</v>
      </c>
      <c r="CF191" s="99">
        <v>0</v>
      </c>
      <c r="CG191" s="99">
        <v>0</v>
      </c>
      <c r="CH191" s="99">
        <v>0</v>
      </c>
      <c r="CI191" s="99">
        <v>0</v>
      </c>
      <c r="CJ191" s="99">
        <v>0</v>
      </c>
      <c r="CK191" s="99">
        <v>0</v>
      </c>
      <c r="CL191" s="99">
        <v>1</v>
      </c>
      <c r="CM191" s="99">
        <v>1</v>
      </c>
      <c r="CN191" s="99">
        <v>0</v>
      </c>
      <c r="CO191" s="99">
        <v>0</v>
      </c>
      <c r="CP191" s="99">
        <v>0</v>
      </c>
      <c r="CQ191" s="99">
        <v>1</v>
      </c>
      <c r="CR191" s="99">
        <v>0</v>
      </c>
      <c r="CS191" s="98">
        <v>0</v>
      </c>
    </row>
    <row r="192" spans="2:97" x14ac:dyDescent="0.3">
      <c r="B192" s="83" t="s">
        <v>148</v>
      </c>
      <c r="C192" s="99">
        <v>0</v>
      </c>
      <c r="D192" s="99">
        <v>0</v>
      </c>
      <c r="E192" s="99">
        <v>0</v>
      </c>
      <c r="F192" s="99">
        <v>1</v>
      </c>
      <c r="G192" s="99">
        <v>0</v>
      </c>
      <c r="H192" s="99">
        <v>1</v>
      </c>
      <c r="I192" s="99">
        <v>0</v>
      </c>
      <c r="J192" s="99">
        <v>1</v>
      </c>
      <c r="K192" s="99">
        <v>0</v>
      </c>
      <c r="L192" s="99">
        <v>0</v>
      </c>
      <c r="M192" s="99">
        <v>0</v>
      </c>
      <c r="N192" s="99">
        <v>0</v>
      </c>
      <c r="O192" s="99">
        <v>0</v>
      </c>
      <c r="P192" s="99">
        <v>1</v>
      </c>
      <c r="Q192" s="99">
        <v>0</v>
      </c>
      <c r="R192" s="99">
        <v>1</v>
      </c>
      <c r="S192" s="99">
        <v>0</v>
      </c>
      <c r="T192" s="99">
        <v>1</v>
      </c>
      <c r="U192" s="99">
        <v>0</v>
      </c>
      <c r="V192" s="99">
        <v>0</v>
      </c>
      <c r="W192" s="99">
        <v>1</v>
      </c>
      <c r="X192" s="99">
        <v>0</v>
      </c>
      <c r="Y192" s="99">
        <v>0</v>
      </c>
      <c r="Z192" s="99">
        <v>0</v>
      </c>
      <c r="AA192" s="99">
        <v>1</v>
      </c>
      <c r="AB192" s="99">
        <v>1</v>
      </c>
      <c r="AC192" s="99">
        <v>0</v>
      </c>
      <c r="AD192" s="99">
        <v>0</v>
      </c>
      <c r="AE192" s="99">
        <v>0</v>
      </c>
      <c r="AF192" s="99">
        <v>0</v>
      </c>
      <c r="AG192" s="99">
        <v>1</v>
      </c>
      <c r="AH192" s="99">
        <v>0</v>
      </c>
      <c r="AI192" s="99">
        <v>1</v>
      </c>
      <c r="AJ192" s="99">
        <v>0</v>
      </c>
      <c r="AK192" s="99">
        <v>0</v>
      </c>
      <c r="AL192" s="99">
        <v>0</v>
      </c>
      <c r="AM192" s="99">
        <v>0</v>
      </c>
      <c r="AN192" s="99">
        <v>0</v>
      </c>
      <c r="AO192" s="99">
        <v>0</v>
      </c>
      <c r="AP192" s="99">
        <v>0</v>
      </c>
      <c r="AQ192" s="99">
        <v>0</v>
      </c>
      <c r="AR192" s="99">
        <v>0</v>
      </c>
      <c r="AS192" s="99">
        <v>0</v>
      </c>
      <c r="AT192" s="99">
        <v>1</v>
      </c>
      <c r="AU192" s="99">
        <v>0</v>
      </c>
      <c r="AV192" s="99">
        <v>0</v>
      </c>
      <c r="AW192" s="99">
        <v>0</v>
      </c>
      <c r="AX192" s="99">
        <v>0</v>
      </c>
      <c r="AY192" s="99">
        <v>0</v>
      </c>
      <c r="AZ192" s="99">
        <v>0</v>
      </c>
      <c r="BA192" s="99">
        <v>0</v>
      </c>
      <c r="BB192" s="99">
        <v>0</v>
      </c>
      <c r="BC192" s="99">
        <v>0</v>
      </c>
      <c r="BD192" s="99">
        <v>0</v>
      </c>
      <c r="BE192" s="99">
        <v>0</v>
      </c>
      <c r="BF192" s="99">
        <v>1</v>
      </c>
      <c r="BG192" s="99">
        <v>0</v>
      </c>
      <c r="BH192" s="99">
        <v>0</v>
      </c>
      <c r="BI192" s="99">
        <v>1</v>
      </c>
      <c r="BJ192" s="99">
        <v>0</v>
      </c>
      <c r="BK192" s="99">
        <v>1</v>
      </c>
      <c r="BL192" s="99">
        <v>0</v>
      </c>
      <c r="BM192" s="99">
        <v>0</v>
      </c>
      <c r="BN192" s="99">
        <v>0</v>
      </c>
      <c r="BO192" s="99">
        <v>0</v>
      </c>
      <c r="BP192" s="99">
        <v>0</v>
      </c>
      <c r="BQ192" s="99">
        <v>1</v>
      </c>
      <c r="BR192" s="99">
        <v>0</v>
      </c>
      <c r="BS192" s="99">
        <v>1</v>
      </c>
      <c r="BT192" s="99">
        <v>1</v>
      </c>
      <c r="BU192" s="99">
        <v>1</v>
      </c>
      <c r="BV192" s="99">
        <v>1</v>
      </c>
      <c r="BW192" s="99">
        <v>0</v>
      </c>
      <c r="BX192" s="99">
        <v>0</v>
      </c>
      <c r="BY192" s="99">
        <v>0</v>
      </c>
      <c r="BZ192" s="99">
        <v>0</v>
      </c>
      <c r="CA192" s="99">
        <v>1</v>
      </c>
      <c r="CB192" s="99">
        <v>0</v>
      </c>
      <c r="CC192" s="99">
        <v>0</v>
      </c>
      <c r="CD192" s="99">
        <v>0</v>
      </c>
      <c r="CE192" s="99">
        <v>0</v>
      </c>
      <c r="CF192" s="99">
        <v>0</v>
      </c>
      <c r="CG192" s="99">
        <v>0</v>
      </c>
      <c r="CH192" s="99">
        <v>0</v>
      </c>
      <c r="CI192" s="99">
        <v>0</v>
      </c>
      <c r="CJ192" s="99">
        <v>0</v>
      </c>
      <c r="CK192" s="99">
        <v>0</v>
      </c>
      <c r="CL192" s="99">
        <v>1</v>
      </c>
      <c r="CM192" s="99">
        <v>1</v>
      </c>
      <c r="CN192" s="99">
        <v>0</v>
      </c>
      <c r="CO192" s="99">
        <v>0</v>
      </c>
      <c r="CP192" s="99">
        <v>0</v>
      </c>
      <c r="CQ192" s="99">
        <v>1</v>
      </c>
      <c r="CR192" s="99">
        <v>0</v>
      </c>
      <c r="CS192" s="98">
        <v>0</v>
      </c>
    </row>
    <row r="193" spans="2:97" x14ac:dyDescent="0.3">
      <c r="B193" s="83" t="s">
        <v>149</v>
      </c>
      <c r="C193" s="99">
        <v>1</v>
      </c>
      <c r="D193" s="99">
        <v>0</v>
      </c>
      <c r="E193" s="99">
        <v>0</v>
      </c>
      <c r="F193" s="99">
        <v>0</v>
      </c>
      <c r="G193" s="99">
        <v>1</v>
      </c>
      <c r="H193" s="99">
        <v>0</v>
      </c>
      <c r="I193" s="99">
        <v>1</v>
      </c>
      <c r="J193" s="99">
        <v>0</v>
      </c>
      <c r="K193" s="99">
        <v>0</v>
      </c>
      <c r="L193" s="99">
        <v>1</v>
      </c>
      <c r="M193" s="99">
        <v>0</v>
      </c>
      <c r="N193" s="99">
        <v>0</v>
      </c>
      <c r="O193" s="99">
        <v>1</v>
      </c>
      <c r="P193" s="99">
        <v>0</v>
      </c>
      <c r="Q193" s="99">
        <v>1</v>
      </c>
      <c r="R193" s="99">
        <v>0</v>
      </c>
      <c r="S193" s="99">
        <v>0</v>
      </c>
      <c r="T193" s="99">
        <v>0</v>
      </c>
      <c r="U193" s="99">
        <v>0</v>
      </c>
      <c r="V193" s="99">
        <v>0</v>
      </c>
      <c r="W193" s="99">
        <v>0</v>
      </c>
      <c r="X193" s="99">
        <v>0</v>
      </c>
      <c r="Y193" s="99">
        <v>0</v>
      </c>
      <c r="Z193" s="99">
        <v>0</v>
      </c>
      <c r="AA193" s="99">
        <v>0</v>
      </c>
      <c r="AB193" s="99">
        <v>0</v>
      </c>
      <c r="AC193" s="99">
        <v>0</v>
      </c>
      <c r="AD193" s="99">
        <v>0</v>
      </c>
      <c r="AE193" s="99">
        <v>1</v>
      </c>
      <c r="AF193" s="99">
        <v>1</v>
      </c>
      <c r="AG193" s="99">
        <v>0</v>
      </c>
      <c r="AH193" s="99">
        <v>1</v>
      </c>
      <c r="AI193" s="99">
        <v>0</v>
      </c>
      <c r="AJ193" s="99">
        <v>1</v>
      </c>
      <c r="AK193" s="99">
        <v>0</v>
      </c>
      <c r="AL193" s="99">
        <v>0</v>
      </c>
      <c r="AM193" s="99">
        <v>1</v>
      </c>
      <c r="AN193" s="99">
        <v>0</v>
      </c>
      <c r="AO193" s="99">
        <v>0</v>
      </c>
      <c r="AP193" s="99">
        <v>0</v>
      </c>
      <c r="AQ193" s="99">
        <v>0</v>
      </c>
      <c r="AR193" s="99">
        <v>0</v>
      </c>
      <c r="AS193" s="99">
        <v>0</v>
      </c>
      <c r="AT193" s="99">
        <v>0</v>
      </c>
      <c r="AU193" s="99">
        <v>1</v>
      </c>
      <c r="AV193" s="99">
        <v>1</v>
      </c>
      <c r="AW193" s="99">
        <v>1</v>
      </c>
      <c r="AX193" s="99">
        <v>0</v>
      </c>
      <c r="AY193" s="99">
        <v>0</v>
      </c>
      <c r="AZ193" s="99">
        <v>0</v>
      </c>
      <c r="BA193" s="99">
        <v>0</v>
      </c>
      <c r="BB193" s="99">
        <v>0</v>
      </c>
      <c r="BC193" s="99">
        <v>1</v>
      </c>
      <c r="BD193" s="99">
        <v>0</v>
      </c>
      <c r="BE193" s="99">
        <v>0</v>
      </c>
      <c r="BF193" s="99">
        <v>0</v>
      </c>
      <c r="BG193" s="99">
        <v>0</v>
      </c>
      <c r="BH193" s="99">
        <v>0</v>
      </c>
      <c r="BI193" s="99">
        <v>0</v>
      </c>
      <c r="BJ193" s="99">
        <v>0</v>
      </c>
      <c r="BK193" s="99">
        <v>0</v>
      </c>
      <c r="BL193" s="99">
        <v>1</v>
      </c>
      <c r="BM193" s="99">
        <v>0</v>
      </c>
      <c r="BN193" s="99">
        <v>0</v>
      </c>
      <c r="BO193" s="99">
        <v>1</v>
      </c>
      <c r="BP193" s="99">
        <v>0</v>
      </c>
      <c r="BQ193" s="99">
        <v>0</v>
      </c>
      <c r="BR193" s="99">
        <v>0</v>
      </c>
      <c r="BS193" s="99">
        <v>0</v>
      </c>
      <c r="BT193" s="99">
        <v>0</v>
      </c>
      <c r="BU193" s="99">
        <v>0</v>
      </c>
      <c r="BV193" s="99">
        <v>0</v>
      </c>
      <c r="BW193" s="99">
        <v>1</v>
      </c>
      <c r="BX193" s="99">
        <v>0</v>
      </c>
      <c r="BY193" s="99">
        <v>0</v>
      </c>
      <c r="BZ193" s="99">
        <v>1</v>
      </c>
      <c r="CA193" s="99">
        <v>0</v>
      </c>
      <c r="CB193" s="99">
        <v>1</v>
      </c>
      <c r="CC193" s="99">
        <v>0</v>
      </c>
      <c r="CD193" s="99">
        <v>0</v>
      </c>
      <c r="CE193" s="99">
        <v>0</v>
      </c>
      <c r="CF193" s="99">
        <v>1</v>
      </c>
      <c r="CG193" s="99">
        <v>0</v>
      </c>
      <c r="CH193" s="99">
        <v>0</v>
      </c>
      <c r="CI193" s="99">
        <v>0</v>
      </c>
      <c r="CJ193" s="99">
        <v>1</v>
      </c>
      <c r="CK193" s="99">
        <v>1</v>
      </c>
      <c r="CL193" s="99">
        <v>0</v>
      </c>
      <c r="CM193" s="99">
        <v>0</v>
      </c>
      <c r="CN193" s="99">
        <v>1</v>
      </c>
      <c r="CO193" s="99">
        <v>0</v>
      </c>
      <c r="CP193" s="99">
        <v>0</v>
      </c>
      <c r="CQ193" s="99">
        <v>0</v>
      </c>
      <c r="CR193" s="99">
        <v>0</v>
      </c>
      <c r="CS193" s="98">
        <v>0</v>
      </c>
    </row>
    <row r="194" spans="2:97" x14ac:dyDescent="0.3">
      <c r="B194" s="83" t="s">
        <v>150</v>
      </c>
      <c r="C194" s="99">
        <v>0</v>
      </c>
      <c r="D194" s="99">
        <v>1</v>
      </c>
      <c r="E194" s="99">
        <v>0</v>
      </c>
      <c r="F194" s="99">
        <v>0</v>
      </c>
      <c r="G194" s="99">
        <v>0</v>
      </c>
      <c r="H194" s="99">
        <v>0</v>
      </c>
      <c r="I194" s="99">
        <v>0</v>
      </c>
      <c r="J194" s="99">
        <v>0</v>
      </c>
      <c r="K194" s="99">
        <v>0</v>
      </c>
      <c r="L194" s="99">
        <v>0</v>
      </c>
      <c r="M194" s="99">
        <v>1</v>
      </c>
      <c r="N194" s="99">
        <v>0</v>
      </c>
      <c r="O194" s="99">
        <v>0</v>
      </c>
      <c r="P194" s="99">
        <v>0</v>
      </c>
      <c r="Q194" s="99">
        <v>0</v>
      </c>
      <c r="R194" s="99">
        <v>0</v>
      </c>
      <c r="S194" s="99">
        <v>0</v>
      </c>
      <c r="T194" s="99">
        <v>0</v>
      </c>
      <c r="U194" s="99">
        <v>1</v>
      </c>
      <c r="V194" s="99">
        <v>0</v>
      </c>
      <c r="W194" s="99">
        <v>0</v>
      </c>
      <c r="X194" s="99">
        <v>1</v>
      </c>
      <c r="Y194" s="99">
        <v>0</v>
      </c>
      <c r="Z194" s="99">
        <v>0</v>
      </c>
      <c r="AA194" s="99">
        <v>0</v>
      </c>
      <c r="AB194" s="99">
        <v>0</v>
      </c>
      <c r="AC194" s="99">
        <v>0</v>
      </c>
      <c r="AD194" s="99">
        <v>1</v>
      </c>
      <c r="AE194" s="99">
        <v>0</v>
      </c>
      <c r="AF194" s="99">
        <v>0</v>
      </c>
      <c r="AG194" s="99">
        <v>0</v>
      </c>
      <c r="AH194" s="99">
        <v>0</v>
      </c>
      <c r="AI194" s="99">
        <v>0</v>
      </c>
      <c r="AJ194" s="99">
        <v>0</v>
      </c>
      <c r="AK194" s="99">
        <v>0</v>
      </c>
      <c r="AL194" s="99">
        <v>0</v>
      </c>
      <c r="AM194" s="99">
        <v>0</v>
      </c>
      <c r="AN194" s="99">
        <v>0</v>
      </c>
      <c r="AO194" s="99">
        <v>0</v>
      </c>
      <c r="AP194" s="99">
        <v>0</v>
      </c>
      <c r="AQ194" s="99">
        <v>1</v>
      </c>
      <c r="AR194" s="99">
        <v>1</v>
      </c>
      <c r="AS194" s="99">
        <v>1</v>
      </c>
      <c r="AT194" s="99">
        <v>0</v>
      </c>
      <c r="AU194" s="99">
        <v>0</v>
      </c>
      <c r="AV194" s="99">
        <v>0</v>
      </c>
      <c r="AW194" s="99">
        <v>0</v>
      </c>
      <c r="AX194" s="99">
        <v>0</v>
      </c>
      <c r="AY194" s="99">
        <v>0</v>
      </c>
      <c r="AZ194" s="99">
        <v>1</v>
      </c>
      <c r="BA194" s="99">
        <v>1</v>
      </c>
      <c r="BB194" s="99">
        <v>1</v>
      </c>
      <c r="BC194" s="99">
        <v>0</v>
      </c>
      <c r="BD194" s="99">
        <v>1</v>
      </c>
      <c r="BE194" s="99">
        <v>0</v>
      </c>
      <c r="BF194" s="99">
        <v>0</v>
      </c>
      <c r="BG194" s="99">
        <v>1</v>
      </c>
      <c r="BH194" s="99">
        <v>1</v>
      </c>
      <c r="BI194" s="99">
        <v>0</v>
      </c>
      <c r="BJ194" s="99">
        <v>0</v>
      </c>
      <c r="BK194" s="99">
        <v>0</v>
      </c>
      <c r="BL194" s="99">
        <v>0</v>
      </c>
      <c r="BM194" s="99">
        <v>1</v>
      </c>
      <c r="BN194" s="99">
        <v>1</v>
      </c>
      <c r="BO194" s="99">
        <v>0</v>
      </c>
      <c r="BP194" s="99">
        <v>0</v>
      </c>
      <c r="BQ194" s="99">
        <v>0</v>
      </c>
      <c r="BR194" s="99">
        <v>1</v>
      </c>
      <c r="BS194" s="99">
        <v>0</v>
      </c>
      <c r="BT194" s="99">
        <v>0</v>
      </c>
      <c r="BU194" s="99">
        <v>0</v>
      </c>
      <c r="BV194" s="99">
        <v>0</v>
      </c>
      <c r="BW194" s="99">
        <v>0</v>
      </c>
      <c r="BX194" s="99">
        <v>1</v>
      </c>
      <c r="BY194" s="99">
        <v>1</v>
      </c>
      <c r="BZ194" s="99">
        <v>0</v>
      </c>
      <c r="CA194" s="99">
        <v>0</v>
      </c>
      <c r="CB194" s="99">
        <v>0</v>
      </c>
      <c r="CC194" s="99">
        <v>0</v>
      </c>
      <c r="CD194" s="99">
        <v>1</v>
      </c>
      <c r="CE194" s="99">
        <v>1</v>
      </c>
      <c r="CF194" s="99">
        <v>0</v>
      </c>
      <c r="CG194" s="99">
        <v>1</v>
      </c>
      <c r="CH194" s="99">
        <v>0</v>
      </c>
      <c r="CI194" s="99">
        <v>1</v>
      </c>
      <c r="CJ194" s="99">
        <v>0</v>
      </c>
      <c r="CK194" s="99">
        <v>0</v>
      </c>
      <c r="CL194" s="99">
        <v>0</v>
      </c>
      <c r="CM194" s="99">
        <v>0</v>
      </c>
      <c r="CN194" s="99">
        <v>0</v>
      </c>
      <c r="CO194" s="99">
        <v>1</v>
      </c>
      <c r="CP194" s="99">
        <v>0</v>
      </c>
      <c r="CQ194" s="99">
        <v>0</v>
      </c>
      <c r="CR194" s="99">
        <v>1</v>
      </c>
      <c r="CS194" s="98">
        <v>1</v>
      </c>
    </row>
    <row r="195" spans="2:97" x14ac:dyDescent="0.3">
      <c r="B195" s="83" t="s">
        <v>151</v>
      </c>
      <c r="C195" s="99">
        <v>0</v>
      </c>
      <c r="D195" s="99">
        <v>0</v>
      </c>
      <c r="E195" s="99">
        <v>1</v>
      </c>
      <c r="F195" s="99">
        <v>0</v>
      </c>
      <c r="G195" s="99">
        <v>0</v>
      </c>
      <c r="H195" s="99">
        <v>0</v>
      </c>
      <c r="I195" s="99">
        <v>0</v>
      </c>
      <c r="J195" s="99">
        <v>0</v>
      </c>
      <c r="K195" s="99">
        <v>1</v>
      </c>
      <c r="L195" s="99">
        <v>0</v>
      </c>
      <c r="M195" s="99">
        <v>0</v>
      </c>
      <c r="N195" s="99">
        <v>1</v>
      </c>
      <c r="O195" s="99">
        <v>0</v>
      </c>
      <c r="P195" s="99">
        <v>0</v>
      </c>
      <c r="Q195" s="99">
        <v>0</v>
      </c>
      <c r="R195" s="99">
        <v>0</v>
      </c>
      <c r="S195" s="99">
        <v>1</v>
      </c>
      <c r="T195" s="99">
        <v>0</v>
      </c>
      <c r="U195" s="99">
        <v>0</v>
      </c>
      <c r="V195" s="99">
        <v>1</v>
      </c>
      <c r="W195" s="99">
        <v>0</v>
      </c>
      <c r="X195" s="99">
        <v>0</v>
      </c>
      <c r="Y195" s="99">
        <v>1</v>
      </c>
      <c r="Z195" s="99">
        <v>1</v>
      </c>
      <c r="AA195" s="99">
        <v>0</v>
      </c>
      <c r="AB195" s="99">
        <v>0</v>
      </c>
      <c r="AC195" s="99">
        <v>1</v>
      </c>
      <c r="AD195" s="99">
        <v>0</v>
      </c>
      <c r="AE195" s="99">
        <v>0</v>
      </c>
      <c r="AF195" s="99">
        <v>0</v>
      </c>
      <c r="AG195" s="99">
        <v>0</v>
      </c>
      <c r="AH195" s="99">
        <v>0</v>
      </c>
      <c r="AI195" s="99">
        <v>0</v>
      </c>
      <c r="AJ195" s="99">
        <v>0</v>
      </c>
      <c r="AK195" s="99">
        <v>1</v>
      </c>
      <c r="AL195" s="99">
        <v>1</v>
      </c>
      <c r="AM195" s="99">
        <v>0</v>
      </c>
      <c r="AN195" s="99">
        <v>1</v>
      </c>
      <c r="AO195" s="99">
        <v>1</v>
      </c>
      <c r="AP195" s="99">
        <v>1</v>
      </c>
      <c r="AQ195" s="99">
        <v>0</v>
      </c>
      <c r="AR195" s="99">
        <v>0</v>
      </c>
      <c r="AS195" s="99">
        <v>0</v>
      </c>
      <c r="AT195" s="99">
        <v>0</v>
      </c>
      <c r="AU195" s="99">
        <v>0</v>
      </c>
      <c r="AV195" s="99">
        <v>0</v>
      </c>
      <c r="AW195" s="99">
        <v>0</v>
      </c>
      <c r="AX195" s="99">
        <v>1</v>
      </c>
      <c r="AY195" s="99">
        <v>1</v>
      </c>
      <c r="AZ195" s="99">
        <v>0</v>
      </c>
      <c r="BA195" s="99">
        <v>0</v>
      </c>
      <c r="BB195" s="99">
        <v>0</v>
      </c>
      <c r="BC195" s="99">
        <v>0</v>
      </c>
      <c r="BD195" s="99">
        <v>0</v>
      </c>
      <c r="BE195" s="99">
        <v>1</v>
      </c>
      <c r="BF195" s="99">
        <v>0</v>
      </c>
      <c r="BG195" s="99">
        <v>0</v>
      </c>
      <c r="BH195" s="99">
        <v>0</v>
      </c>
      <c r="BI195" s="99">
        <v>0</v>
      </c>
      <c r="BJ195" s="99">
        <v>1</v>
      </c>
      <c r="BK195" s="99">
        <v>0</v>
      </c>
      <c r="BL195" s="99">
        <v>0</v>
      </c>
      <c r="BM195" s="99">
        <v>0</v>
      </c>
      <c r="BN195" s="99">
        <v>0</v>
      </c>
      <c r="BO195" s="99">
        <v>0</v>
      </c>
      <c r="BP195" s="99">
        <v>1</v>
      </c>
      <c r="BQ195" s="99">
        <v>0</v>
      </c>
      <c r="BR195" s="99">
        <v>0</v>
      </c>
      <c r="BS195" s="99">
        <v>0</v>
      </c>
      <c r="BT195" s="99">
        <v>0</v>
      </c>
      <c r="BU195" s="99">
        <v>0</v>
      </c>
      <c r="BV195" s="99">
        <v>0</v>
      </c>
      <c r="BW195" s="99">
        <v>0</v>
      </c>
      <c r="BX195" s="99">
        <v>0</v>
      </c>
      <c r="BY195" s="99">
        <v>0</v>
      </c>
      <c r="BZ195" s="99">
        <v>0</v>
      </c>
      <c r="CA195" s="99">
        <v>0</v>
      </c>
      <c r="CB195" s="99">
        <v>0</v>
      </c>
      <c r="CC195" s="99">
        <v>1</v>
      </c>
      <c r="CD195" s="99">
        <v>0</v>
      </c>
      <c r="CE195" s="99">
        <v>0</v>
      </c>
      <c r="CF195" s="99">
        <v>0</v>
      </c>
      <c r="CG195" s="99">
        <v>0</v>
      </c>
      <c r="CH195" s="99">
        <v>1</v>
      </c>
      <c r="CI195" s="99">
        <v>0</v>
      </c>
      <c r="CJ195" s="99">
        <v>0</v>
      </c>
      <c r="CK195" s="99">
        <v>0</v>
      </c>
      <c r="CL195" s="99">
        <v>0</v>
      </c>
      <c r="CM195" s="99">
        <v>0</v>
      </c>
      <c r="CN195" s="99">
        <v>0</v>
      </c>
      <c r="CO195" s="99">
        <v>0</v>
      </c>
      <c r="CP195" s="99">
        <v>1</v>
      </c>
      <c r="CQ195" s="99">
        <v>0</v>
      </c>
      <c r="CR195" s="99">
        <v>0</v>
      </c>
      <c r="CS195" s="98">
        <v>0</v>
      </c>
    </row>
    <row r="196" spans="2:97" x14ac:dyDescent="0.3">
      <c r="B196" s="83" t="s">
        <v>152</v>
      </c>
      <c r="C196" s="99">
        <v>0</v>
      </c>
      <c r="D196" s="99">
        <v>0</v>
      </c>
      <c r="E196" s="99">
        <v>0</v>
      </c>
      <c r="F196" s="99">
        <v>1</v>
      </c>
      <c r="G196" s="99">
        <v>0</v>
      </c>
      <c r="H196" s="99">
        <v>1</v>
      </c>
      <c r="I196" s="99">
        <v>0</v>
      </c>
      <c r="J196" s="99">
        <v>1</v>
      </c>
      <c r="K196" s="99">
        <v>0</v>
      </c>
      <c r="L196" s="99">
        <v>0</v>
      </c>
      <c r="M196" s="99">
        <v>0</v>
      </c>
      <c r="N196" s="99">
        <v>0</v>
      </c>
      <c r="O196" s="99">
        <v>0</v>
      </c>
      <c r="P196" s="99">
        <v>1</v>
      </c>
      <c r="Q196" s="99">
        <v>0</v>
      </c>
      <c r="R196" s="99">
        <v>1</v>
      </c>
      <c r="S196" s="99">
        <v>0</v>
      </c>
      <c r="T196" s="99">
        <v>1</v>
      </c>
      <c r="U196" s="99">
        <v>0</v>
      </c>
      <c r="V196" s="99">
        <v>0</v>
      </c>
      <c r="W196" s="99">
        <v>1</v>
      </c>
      <c r="X196" s="99">
        <v>0</v>
      </c>
      <c r="Y196" s="99">
        <v>0</v>
      </c>
      <c r="Z196" s="99">
        <v>0</v>
      </c>
      <c r="AA196" s="99">
        <v>1</v>
      </c>
      <c r="AB196" s="99">
        <v>1</v>
      </c>
      <c r="AC196" s="99">
        <v>0</v>
      </c>
      <c r="AD196" s="99">
        <v>0</v>
      </c>
      <c r="AE196" s="99">
        <v>0</v>
      </c>
      <c r="AF196" s="99">
        <v>0</v>
      </c>
      <c r="AG196" s="99">
        <v>1</v>
      </c>
      <c r="AH196" s="99">
        <v>0</v>
      </c>
      <c r="AI196" s="99">
        <v>1</v>
      </c>
      <c r="AJ196" s="99">
        <v>0</v>
      </c>
      <c r="AK196" s="99">
        <v>0</v>
      </c>
      <c r="AL196" s="99">
        <v>0</v>
      </c>
      <c r="AM196" s="99">
        <v>0</v>
      </c>
      <c r="AN196" s="99">
        <v>0</v>
      </c>
      <c r="AO196" s="99">
        <v>0</v>
      </c>
      <c r="AP196" s="99">
        <v>0</v>
      </c>
      <c r="AQ196" s="99">
        <v>0</v>
      </c>
      <c r="AR196" s="99">
        <v>0</v>
      </c>
      <c r="AS196" s="99">
        <v>0</v>
      </c>
      <c r="AT196" s="99">
        <v>1</v>
      </c>
      <c r="AU196" s="99">
        <v>0</v>
      </c>
      <c r="AV196" s="99">
        <v>0</v>
      </c>
      <c r="AW196" s="99">
        <v>0</v>
      </c>
      <c r="AX196" s="99">
        <v>0</v>
      </c>
      <c r="AY196" s="99">
        <v>0</v>
      </c>
      <c r="AZ196" s="99">
        <v>0</v>
      </c>
      <c r="BA196" s="99">
        <v>0</v>
      </c>
      <c r="BB196" s="99">
        <v>0</v>
      </c>
      <c r="BC196" s="99">
        <v>0</v>
      </c>
      <c r="BD196" s="99">
        <v>0</v>
      </c>
      <c r="BE196" s="99">
        <v>0</v>
      </c>
      <c r="BF196" s="99">
        <v>1</v>
      </c>
      <c r="BG196" s="99">
        <v>0</v>
      </c>
      <c r="BH196" s="99">
        <v>0</v>
      </c>
      <c r="BI196" s="99">
        <v>1</v>
      </c>
      <c r="BJ196" s="99">
        <v>0</v>
      </c>
      <c r="BK196" s="99">
        <v>1</v>
      </c>
      <c r="BL196" s="99">
        <v>0</v>
      </c>
      <c r="BM196" s="99">
        <v>0</v>
      </c>
      <c r="BN196" s="99">
        <v>0</v>
      </c>
      <c r="BO196" s="99">
        <v>0</v>
      </c>
      <c r="BP196" s="99">
        <v>0</v>
      </c>
      <c r="BQ196" s="99">
        <v>1</v>
      </c>
      <c r="BR196" s="99">
        <v>0</v>
      </c>
      <c r="BS196" s="99">
        <v>1</v>
      </c>
      <c r="BT196" s="99">
        <v>1</v>
      </c>
      <c r="BU196" s="99">
        <v>1</v>
      </c>
      <c r="BV196" s="99">
        <v>1</v>
      </c>
      <c r="BW196" s="99">
        <v>0</v>
      </c>
      <c r="BX196" s="99">
        <v>0</v>
      </c>
      <c r="BY196" s="99">
        <v>0</v>
      </c>
      <c r="BZ196" s="99">
        <v>0</v>
      </c>
      <c r="CA196" s="99">
        <v>1</v>
      </c>
      <c r="CB196" s="99">
        <v>0</v>
      </c>
      <c r="CC196" s="99">
        <v>0</v>
      </c>
      <c r="CD196" s="99">
        <v>0</v>
      </c>
      <c r="CE196" s="99">
        <v>0</v>
      </c>
      <c r="CF196" s="99">
        <v>0</v>
      </c>
      <c r="CG196" s="99">
        <v>0</v>
      </c>
      <c r="CH196" s="99">
        <v>0</v>
      </c>
      <c r="CI196" s="99">
        <v>0</v>
      </c>
      <c r="CJ196" s="99">
        <v>0</v>
      </c>
      <c r="CK196" s="99">
        <v>0</v>
      </c>
      <c r="CL196" s="99">
        <v>1</v>
      </c>
      <c r="CM196" s="99">
        <v>1</v>
      </c>
      <c r="CN196" s="99">
        <v>0</v>
      </c>
      <c r="CO196" s="99">
        <v>0</v>
      </c>
      <c r="CP196" s="99">
        <v>0</v>
      </c>
      <c r="CQ196" s="99">
        <v>1</v>
      </c>
      <c r="CR196" s="99">
        <v>0</v>
      </c>
      <c r="CS196" s="98">
        <v>0</v>
      </c>
    </row>
    <row r="197" spans="2:97" x14ac:dyDescent="0.3">
      <c r="B197" s="83" t="s">
        <v>153</v>
      </c>
      <c r="C197" s="99">
        <v>0</v>
      </c>
      <c r="D197" s="99">
        <v>1</v>
      </c>
      <c r="E197" s="99">
        <v>0</v>
      </c>
      <c r="F197" s="99">
        <v>0</v>
      </c>
      <c r="G197" s="99">
        <v>0</v>
      </c>
      <c r="H197" s="99">
        <v>0</v>
      </c>
      <c r="I197" s="99">
        <v>0</v>
      </c>
      <c r="J197" s="99">
        <v>0</v>
      </c>
      <c r="K197" s="99">
        <v>0</v>
      </c>
      <c r="L197" s="99">
        <v>0</v>
      </c>
      <c r="M197" s="99">
        <v>1</v>
      </c>
      <c r="N197" s="99">
        <v>0</v>
      </c>
      <c r="O197" s="99">
        <v>0</v>
      </c>
      <c r="P197" s="99">
        <v>0</v>
      </c>
      <c r="Q197" s="99">
        <v>0</v>
      </c>
      <c r="R197" s="99">
        <v>0</v>
      </c>
      <c r="S197" s="99">
        <v>0</v>
      </c>
      <c r="T197" s="99">
        <v>0</v>
      </c>
      <c r="U197" s="99">
        <v>1</v>
      </c>
      <c r="V197" s="99">
        <v>0</v>
      </c>
      <c r="W197" s="99">
        <v>0</v>
      </c>
      <c r="X197" s="99">
        <v>1</v>
      </c>
      <c r="Y197" s="99">
        <v>0</v>
      </c>
      <c r="Z197" s="99">
        <v>0</v>
      </c>
      <c r="AA197" s="99">
        <v>0</v>
      </c>
      <c r="AB197" s="99">
        <v>0</v>
      </c>
      <c r="AC197" s="99">
        <v>0</v>
      </c>
      <c r="AD197" s="99">
        <v>1</v>
      </c>
      <c r="AE197" s="99">
        <v>0</v>
      </c>
      <c r="AF197" s="99">
        <v>0</v>
      </c>
      <c r="AG197" s="99">
        <v>0</v>
      </c>
      <c r="AH197" s="99">
        <v>0</v>
      </c>
      <c r="AI197" s="99">
        <v>0</v>
      </c>
      <c r="AJ197" s="99">
        <v>0</v>
      </c>
      <c r="AK197" s="99">
        <v>0</v>
      </c>
      <c r="AL197" s="99">
        <v>0</v>
      </c>
      <c r="AM197" s="99">
        <v>0</v>
      </c>
      <c r="AN197" s="99">
        <v>0</v>
      </c>
      <c r="AO197" s="99">
        <v>0</v>
      </c>
      <c r="AP197" s="99">
        <v>0</v>
      </c>
      <c r="AQ197" s="99">
        <v>1</v>
      </c>
      <c r="AR197" s="99">
        <v>1</v>
      </c>
      <c r="AS197" s="99">
        <v>1</v>
      </c>
      <c r="AT197" s="99">
        <v>0</v>
      </c>
      <c r="AU197" s="99">
        <v>0</v>
      </c>
      <c r="AV197" s="99">
        <v>0</v>
      </c>
      <c r="AW197" s="99">
        <v>0</v>
      </c>
      <c r="AX197" s="99">
        <v>0</v>
      </c>
      <c r="AY197" s="99">
        <v>0</v>
      </c>
      <c r="AZ197" s="99">
        <v>1</v>
      </c>
      <c r="BA197" s="99">
        <v>1</v>
      </c>
      <c r="BB197" s="99">
        <v>1</v>
      </c>
      <c r="BC197" s="99">
        <v>0</v>
      </c>
      <c r="BD197" s="99">
        <v>1</v>
      </c>
      <c r="BE197" s="99">
        <v>0</v>
      </c>
      <c r="BF197" s="99">
        <v>0</v>
      </c>
      <c r="BG197" s="99">
        <v>1</v>
      </c>
      <c r="BH197" s="99">
        <v>1</v>
      </c>
      <c r="BI197" s="99">
        <v>0</v>
      </c>
      <c r="BJ197" s="99">
        <v>0</v>
      </c>
      <c r="BK197" s="99">
        <v>0</v>
      </c>
      <c r="BL197" s="99">
        <v>0</v>
      </c>
      <c r="BM197" s="99">
        <v>1</v>
      </c>
      <c r="BN197" s="99">
        <v>1</v>
      </c>
      <c r="BO197" s="99">
        <v>0</v>
      </c>
      <c r="BP197" s="99">
        <v>0</v>
      </c>
      <c r="BQ197" s="99">
        <v>0</v>
      </c>
      <c r="BR197" s="99">
        <v>1</v>
      </c>
      <c r="BS197" s="99">
        <v>0</v>
      </c>
      <c r="BT197" s="99">
        <v>0</v>
      </c>
      <c r="BU197" s="99">
        <v>0</v>
      </c>
      <c r="BV197" s="99">
        <v>0</v>
      </c>
      <c r="BW197" s="99">
        <v>0</v>
      </c>
      <c r="BX197" s="99">
        <v>1</v>
      </c>
      <c r="BY197" s="99">
        <v>1</v>
      </c>
      <c r="BZ197" s="99">
        <v>0</v>
      </c>
      <c r="CA197" s="99">
        <v>0</v>
      </c>
      <c r="CB197" s="99">
        <v>0</v>
      </c>
      <c r="CC197" s="99">
        <v>0</v>
      </c>
      <c r="CD197" s="99">
        <v>1</v>
      </c>
      <c r="CE197" s="99">
        <v>1</v>
      </c>
      <c r="CF197" s="99">
        <v>0</v>
      </c>
      <c r="CG197" s="99">
        <v>1</v>
      </c>
      <c r="CH197" s="99">
        <v>0</v>
      </c>
      <c r="CI197" s="99">
        <v>1</v>
      </c>
      <c r="CJ197" s="99">
        <v>0</v>
      </c>
      <c r="CK197" s="99">
        <v>0</v>
      </c>
      <c r="CL197" s="99">
        <v>0</v>
      </c>
      <c r="CM197" s="99">
        <v>0</v>
      </c>
      <c r="CN197" s="99">
        <v>0</v>
      </c>
      <c r="CO197" s="99">
        <v>1</v>
      </c>
      <c r="CP197" s="99">
        <v>0</v>
      </c>
      <c r="CQ197" s="99">
        <v>0</v>
      </c>
      <c r="CR197" s="99">
        <v>1</v>
      </c>
      <c r="CS197" s="98">
        <v>1</v>
      </c>
    </row>
    <row r="198" spans="2:97" x14ac:dyDescent="0.3">
      <c r="B198" s="83" t="s">
        <v>154</v>
      </c>
      <c r="C198" s="98">
        <v>0</v>
      </c>
      <c r="D198" s="98">
        <v>1</v>
      </c>
      <c r="E198" s="98">
        <v>0</v>
      </c>
      <c r="F198" s="98">
        <v>0</v>
      </c>
      <c r="G198" s="98">
        <v>0</v>
      </c>
      <c r="H198" s="98">
        <v>0</v>
      </c>
      <c r="I198" s="98">
        <v>0</v>
      </c>
      <c r="J198" s="98">
        <v>0</v>
      </c>
      <c r="K198" s="98">
        <v>0</v>
      </c>
      <c r="L198" s="98">
        <v>0</v>
      </c>
      <c r="M198" s="98">
        <v>1</v>
      </c>
      <c r="N198" s="98">
        <v>0</v>
      </c>
      <c r="O198" s="98">
        <v>0</v>
      </c>
      <c r="P198" s="98">
        <v>0</v>
      </c>
      <c r="Q198" s="98">
        <v>0</v>
      </c>
      <c r="R198" s="98">
        <v>0</v>
      </c>
      <c r="S198" s="98">
        <v>0</v>
      </c>
      <c r="T198" s="98">
        <v>0</v>
      </c>
      <c r="U198" s="98">
        <v>1</v>
      </c>
      <c r="V198" s="98">
        <v>0</v>
      </c>
      <c r="W198" s="98">
        <v>0</v>
      </c>
      <c r="X198" s="98">
        <v>1</v>
      </c>
      <c r="Y198" s="98">
        <v>0</v>
      </c>
      <c r="Z198" s="98">
        <v>0</v>
      </c>
      <c r="AA198" s="98">
        <v>0</v>
      </c>
      <c r="AB198" s="98">
        <v>0</v>
      </c>
      <c r="AC198" s="98">
        <v>0</v>
      </c>
      <c r="AD198" s="98">
        <v>1</v>
      </c>
      <c r="AE198" s="98">
        <v>0</v>
      </c>
      <c r="AF198" s="98">
        <v>0</v>
      </c>
      <c r="AG198" s="98">
        <v>0</v>
      </c>
      <c r="AH198" s="98">
        <v>0</v>
      </c>
      <c r="AI198" s="98">
        <v>0</v>
      </c>
      <c r="AJ198" s="98">
        <v>0</v>
      </c>
      <c r="AK198" s="98">
        <v>0</v>
      </c>
      <c r="AL198" s="98">
        <v>0</v>
      </c>
      <c r="AM198" s="98">
        <v>0</v>
      </c>
      <c r="AN198" s="98">
        <v>0</v>
      </c>
      <c r="AO198" s="98">
        <v>0</v>
      </c>
      <c r="AP198" s="98">
        <v>0</v>
      </c>
      <c r="AQ198" s="98">
        <v>1</v>
      </c>
      <c r="AR198" s="98">
        <v>1</v>
      </c>
      <c r="AS198" s="98">
        <v>1</v>
      </c>
      <c r="AT198" s="98">
        <v>0</v>
      </c>
      <c r="AU198" s="98">
        <v>0</v>
      </c>
      <c r="AV198" s="98">
        <v>0</v>
      </c>
      <c r="AW198" s="98">
        <v>0</v>
      </c>
      <c r="AX198" s="98">
        <v>0</v>
      </c>
      <c r="AY198" s="98">
        <v>0</v>
      </c>
      <c r="AZ198" s="98">
        <v>1</v>
      </c>
      <c r="BA198" s="98">
        <v>1</v>
      </c>
      <c r="BB198" s="98">
        <v>1</v>
      </c>
      <c r="BC198" s="98">
        <v>0</v>
      </c>
      <c r="BD198" s="98">
        <v>1</v>
      </c>
      <c r="BE198" s="98">
        <v>0</v>
      </c>
      <c r="BF198" s="98">
        <v>0</v>
      </c>
      <c r="BG198" s="98">
        <v>1</v>
      </c>
      <c r="BH198" s="98">
        <v>1</v>
      </c>
      <c r="BI198" s="98">
        <v>0</v>
      </c>
      <c r="BJ198" s="98">
        <v>0</v>
      </c>
      <c r="BK198" s="98">
        <v>0</v>
      </c>
      <c r="BL198" s="98">
        <v>0</v>
      </c>
      <c r="BM198" s="98">
        <v>1</v>
      </c>
      <c r="BN198" s="98">
        <v>1</v>
      </c>
      <c r="BO198" s="98">
        <v>0</v>
      </c>
      <c r="BP198" s="98">
        <v>0</v>
      </c>
      <c r="BQ198" s="98">
        <v>0</v>
      </c>
      <c r="BR198" s="98">
        <v>1</v>
      </c>
      <c r="BS198" s="98">
        <v>0</v>
      </c>
      <c r="BT198" s="98">
        <v>0</v>
      </c>
      <c r="BU198" s="98">
        <v>0</v>
      </c>
      <c r="BV198" s="98">
        <v>0</v>
      </c>
      <c r="BW198" s="98">
        <v>0</v>
      </c>
      <c r="BX198" s="98">
        <v>1</v>
      </c>
      <c r="BY198" s="98">
        <v>1</v>
      </c>
      <c r="BZ198" s="98">
        <v>0</v>
      </c>
      <c r="CA198" s="98">
        <v>0</v>
      </c>
      <c r="CB198" s="98">
        <v>0</v>
      </c>
      <c r="CC198" s="98">
        <v>0</v>
      </c>
      <c r="CD198" s="98">
        <v>1</v>
      </c>
      <c r="CE198" s="98">
        <v>1</v>
      </c>
      <c r="CF198" s="98">
        <v>0</v>
      </c>
      <c r="CG198" s="98">
        <v>1</v>
      </c>
      <c r="CH198" s="98">
        <v>0</v>
      </c>
      <c r="CI198" s="98">
        <v>1</v>
      </c>
      <c r="CJ198" s="98">
        <v>0</v>
      </c>
      <c r="CK198" s="98">
        <v>0</v>
      </c>
      <c r="CL198" s="98">
        <v>0</v>
      </c>
      <c r="CM198" s="98">
        <v>0</v>
      </c>
      <c r="CN198" s="98">
        <v>0</v>
      </c>
      <c r="CO198" s="98">
        <v>1</v>
      </c>
      <c r="CP198" s="98">
        <v>0</v>
      </c>
      <c r="CQ198" s="98">
        <v>0</v>
      </c>
      <c r="CR198" s="98">
        <v>1</v>
      </c>
      <c r="CS198" s="98">
        <v>1</v>
      </c>
    </row>
    <row r="202" spans="2:97" ht="18" x14ac:dyDescent="0.35">
      <c r="B202" s="86" t="s">
        <v>253</v>
      </c>
      <c r="C202" s="86"/>
    </row>
    <row r="203" spans="2:97" x14ac:dyDescent="0.3">
      <c r="B203" s="83"/>
    </row>
    <row r="204" spans="2:97" x14ac:dyDescent="0.3">
      <c r="C204" s="83" t="s">
        <v>60</v>
      </c>
      <c r="D204" s="83" t="s">
        <v>61</v>
      </c>
      <c r="E204" s="83" t="s">
        <v>62</v>
      </c>
      <c r="F204" s="83" t="s">
        <v>63</v>
      </c>
      <c r="G204" s="83" t="s">
        <v>64</v>
      </c>
      <c r="H204" s="83" t="s">
        <v>65</v>
      </c>
      <c r="I204" s="83" t="s">
        <v>66</v>
      </c>
      <c r="J204" s="83" t="s">
        <v>67</v>
      </c>
      <c r="K204" s="83" t="s">
        <v>68</v>
      </c>
      <c r="L204" s="83" t="s">
        <v>69</v>
      </c>
      <c r="M204" s="83" t="s">
        <v>70</v>
      </c>
      <c r="N204" s="83" t="s">
        <v>71</v>
      </c>
      <c r="O204" s="83" t="s">
        <v>72</v>
      </c>
      <c r="P204" s="83" t="s">
        <v>73</v>
      </c>
      <c r="Q204" s="83" t="s">
        <v>74</v>
      </c>
      <c r="R204" s="83" t="s">
        <v>75</v>
      </c>
      <c r="S204" s="83" t="s">
        <v>76</v>
      </c>
      <c r="T204" s="83" t="s">
        <v>77</v>
      </c>
      <c r="U204" s="83" t="s">
        <v>78</v>
      </c>
      <c r="V204" s="83" t="s">
        <v>79</v>
      </c>
      <c r="W204" s="83" t="s">
        <v>80</v>
      </c>
      <c r="X204" s="83" t="s">
        <v>81</v>
      </c>
      <c r="Y204" s="83" t="s">
        <v>82</v>
      </c>
      <c r="Z204" s="83" t="s">
        <v>83</v>
      </c>
      <c r="AA204" s="83" t="s">
        <v>84</v>
      </c>
      <c r="AB204" s="83" t="s">
        <v>85</v>
      </c>
      <c r="AC204" s="83" t="s">
        <v>86</v>
      </c>
      <c r="AD204" s="83" t="s">
        <v>87</v>
      </c>
      <c r="AE204" s="83" t="s">
        <v>88</v>
      </c>
      <c r="AF204" s="83" t="s">
        <v>89</v>
      </c>
      <c r="AG204" s="83" t="s">
        <v>90</v>
      </c>
      <c r="AH204" s="83" t="s">
        <v>91</v>
      </c>
      <c r="AI204" s="83" t="s">
        <v>92</v>
      </c>
      <c r="AJ204" s="83" t="s">
        <v>93</v>
      </c>
      <c r="AK204" s="83" t="s">
        <v>94</v>
      </c>
      <c r="AL204" s="83" t="s">
        <v>95</v>
      </c>
      <c r="AM204" s="83" t="s">
        <v>96</v>
      </c>
      <c r="AN204" s="83" t="s">
        <v>97</v>
      </c>
      <c r="AO204" s="83" t="s">
        <v>98</v>
      </c>
      <c r="AP204" s="83" t="s">
        <v>99</v>
      </c>
      <c r="AQ204" s="83" t="s">
        <v>100</v>
      </c>
      <c r="AR204" s="83" t="s">
        <v>101</v>
      </c>
      <c r="AS204" s="83" t="s">
        <v>102</v>
      </c>
      <c r="AT204" s="83" t="s">
        <v>103</v>
      </c>
      <c r="AU204" s="83" t="s">
        <v>104</v>
      </c>
      <c r="AV204" s="83" t="s">
        <v>105</v>
      </c>
      <c r="AW204" s="83" t="s">
        <v>106</v>
      </c>
      <c r="AX204" s="83" t="s">
        <v>107</v>
      </c>
      <c r="AY204" s="83" t="s">
        <v>108</v>
      </c>
      <c r="AZ204" s="83" t="s">
        <v>109</v>
      </c>
      <c r="BA204" s="83" t="s">
        <v>110</v>
      </c>
      <c r="BB204" s="83" t="s">
        <v>111</v>
      </c>
      <c r="BC204" s="83" t="s">
        <v>112</v>
      </c>
      <c r="BD204" s="83" t="s">
        <v>113</v>
      </c>
      <c r="BE204" s="83" t="s">
        <v>114</v>
      </c>
      <c r="BF204" s="83" t="s">
        <v>115</v>
      </c>
      <c r="BG204" s="83" t="s">
        <v>116</v>
      </c>
      <c r="BH204" s="83" t="s">
        <v>117</v>
      </c>
      <c r="BI204" s="83" t="s">
        <v>118</v>
      </c>
      <c r="BJ204" s="83" t="s">
        <v>119</v>
      </c>
      <c r="BK204" s="83" t="s">
        <v>120</v>
      </c>
      <c r="BL204" s="83" t="s">
        <v>121</v>
      </c>
      <c r="BM204" s="83" t="s">
        <v>122</v>
      </c>
      <c r="BN204" s="83" t="s">
        <v>123</v>
      </c>
      <c r="BO204" s="83" t="s">
        <v>124</v>
      </c>
      <c r="BP204" s="83" t="s">
        <v>125</v>
      </c>
      <c r="BQ204" s="83" t="s">
        <v>126</v>
      </c>
      <c r="BR204" s="83" t="s">
        <v>127</v>
      </c>
      <c r="BS204" s="83" t="s">
        <v>128</v>
      </c>
      <c r="BT204" s="83" t="s">
        <v>129</v>
      </c>
      <c r="BU204" s="83" t="s">
        <v>130</v>
      </c>
      <c r="BV204" s="83" t="s">
        <v>131</v>
      </c>
      <c r="BW204" s="83" t="s">
        <v>132</v>
      </c>
      <c r="BX204" s="83" t="s">
        <v>133</v>
      </c>
      <c r="BY204" s="83" t="s">
        <v>134</v>
      </c>
      <c r="BZ204" s="83" t="s">
        <v>135</v>
      </c>
      <c r="CA204" s="83" t="s">
        <v>136</v>
      </c>
      <c r="CB204" s="83" t="s">
        <v>137</v>
      </c>
      <c r="CC204" s="83" t="s">
        <v>138</v>
      </c>
      <c r="CD204" s="83" t="s">
        <v>139</v>
      </c>
      <c r="CE204" s="83" t="s">
        <v>140</v>
      </c>
      <c r="CF204" s="83" t="s">
        <v>141</v>
      </c>
      <c r="CG204" s="83" t="s">
        <v>142</v>
      </c>
      <c r="CH204" s="83" t="s">
        <v>143</v>
      </c>
      <c r="CI204" s="83" t="s">
        <v>144</v>
      </c>
      <c r="CJ204" s="83" t="s">
        <v>145</v>
      </c>
      <c r="CK204" s="83" t="s">
        <v>146</v>
      </c>
      <c r="CL204" s="83" t="s">
        <v>147</v>
      </c>
      <c r="CM204" s="83" t="s">
        <v>148</v>
      </c>
      <c r="CN204" s="83" t="s">
        <v>149</v>
      </c>
      <c r="CO204" s="83" t="s">
        <v>150</v>
      </c>
      <c r="CP204" s="83" t="s">
        <v>151</v>
      </c>
      <c r="CQ204" s="83" t="s">
        <v>152</v>
      </c>
      <c r="CR204" s="83" t="s">
        <v>153</v>
      </c>
      <c r="CS204" s="83" t="s">
        <v>154</v>
      </c>
    </row>
    <row r="205" spans="2:97" x14ac:dyDescent="0.3">
      <c r="B205" s="83" t="s">
        <v>60</v>
      </c>
      <c r="C205" s="98">
        <v>1</v>
      </c>
      <c r="D205" s="98">
        <v>4</v>
      </c>
      <c r="E205" s="98">
        <v>3</v>
      </c>
      <c r="F205" s="98">
        <v>2</v>
      </c>
      <c r="G205" s="98">
        <v>2</v>
      </c>
      <c r="H205" s="98">
        <v>4</v>
      </c>
      <c r="I205" s="98">
        <v>3</v>
      </c>
      <c r="J205" s="98">
        <v>1</v>
      </c>
      <c r="K205" s="98">
        <v>1</v>
      </c>
      <c r="L205" s="98">
        <v>2</v>
      </c>
      <c r="M205" s="98">
        <v>1</v>
      </c>
      <c r="N205" s="98">
        <v>1</v>
      </c>
      <c r="O205" s="98">
        <v>4</v>
      </c>
      <c r="P205" s="98">
        <v>1</v>
      </c>
      <c r="Q205" s="98">
        <v>2</v>
      </c>
      <c r="R205" s="98">
        <v>2</v>
      </c>
      <c r="S205" s="98">
        <v>1</v>
      </c>
      <c r="T205" s="98">
        <v>2</v>
      </c>
      <c r="U205" s="98">
        <v>9</v>
      </c>
      <c r="V205" s="98">
        <v>2</v>
      </c>
      <c r="W205" s="98">
        <v>2</v>
      </c>
      <c r="X205" s="98">
        <v>5</v>
      </c>
      <c r="Y205" s="98">
        <v>2</v>
      </c>
      <c r="Z205" s="98">
        <v>1</v>
      </c>
      <c r="AA205" s="98">
        <v>2</v>
      </c>
      <c r="AB205" s="98">
        <v>4</v>
      </c>
      <c r="AC205" s="98">
        <v>2</v>
      </c>
      <c r="AD205" s="98">
        <v>2</v>
      </c>
      <c r="AE205" s="98">
        <v>2</v>
      </c>
      <c r="AF205" s="98">
        <v>3</v>
      </c>
      <c r="AG205" s="98">
        <v>1</v>
      </c>
      <c r="AH205" s="98">
        <v>2</v>
      </c>
      <c r="AI205" s="98">
        <v>4</v>
      </c>
      <c r="AJ205" s="98">
        <v>1</v>
      </c>
      <c r="AK205" s="98">
        <v>2</v>
      </c>
      <c r="AL205" s="98">
        <v>3</v>
      </c>
      <c r="AM205" s="98">
        <v>1</v>
      </c>
      <c r="AN205" s="98">
        <v>1</v>
      </c>
      <c r="AO205" s="98">
        <v>3</v>
      </c>
      <c r="AP205" s="98">
        <v>2</v>
      </c>
      <c r="AQ205" s="98">
        <v>1</v>
      </c>
      <c r="AR205" s="98">
        <v>1</v>
      </c>
      <c r="AS205" s="98">
        <v>1</v>
      </c>
      <c r="AT205" s="98">
        <v>1</v>
      </c>
      <c r="AU205" s="98">
        <v>3</v>
      </c>
      <c r="AV205" s="98">
        <v>2</v>
      </c>
      <c r="AW205" s="98">
        <v>8</v>
      </c>
      <c r="AX205" s="98">
        <v>1</v>
      </c>
      <c r="AY205" s="98">
        <v>1</v>
      </c>
      <c r="AZ205" s="98">
        <v>2</v>
      </c>
      <c r="BA205" s="98">
        <v>1</v>
      </c>
      <c r="BB205" s="98">
        <v>2</v>
      </c>
      <c r="BC205" s="98">
        <v>3</v>
      </c>
      <c r="BD205" s="98">
        <v>2</v>
      </c>
      <c r="BE205" s="98">
        <v>2</v>
      </c>
      <c r="BF205" s="98">
        <v>1</v>
      </c>
      <c r="BG205" s="98">
        <v>3</v>
      </c>
      <c r="BH205" s="98">
        <v>2</v>
      </c>
      <c r="BI205" s="98">
        <v>6</v>
      </c>
      <c r="BJ205" s="98">
        <v>3</v>
      </c>
      <c r="BK205" s="98">
        <v>1</v>
      </c>
      <c r="BL205" s="98">
        <v>3</v>
      </c>
      <c r="BM205" s="98">
        <v>5</v>
      </c>
      <c r="BN205" s="98">
        <v>1</v>
      </c>
      <c r="BO205" s="98">
        <v>1</v>
      </c>
      <c r="BP205" s="98">
        <v>4</v>
      </c>
      <c r="BQ205" s="98">
        <v>2</v>
      </c>
      <c r="BR205" s="98">
        <v>1</v>
      </c>
      <c r="BS205" s="98">
        <v>1</v>
      </c>
      <c r="BT205" s="98">
        <v>1</v>
      </c>
      <c r="BU205" s="98">
        <v>4</v>
      </c>
      <c r="BV205" s="98">
        <v>2</v>
      </c>
      <c r="BW205" s="98">
        <v>2</v>
      </c>
      <c r="BX205" s="98">
        <v>4</v>
      </c>
      <c r="BY205" s="98">
        <v>4</v>
      </c>
      <c r="BZ205" s="98">
        <v>2</v>
      </c>
      <c r="CA205" s="98">
        <v>2</v>
      </c>
      <c r="CB205" s="98">
        <v>3</v>
      </c>
      <c r="CC205" s="98">
        <v>7</v>
      </c>
      <c r="CD205" s="98">
        <v>2</v>
      </c>
      <c r="CE205" s="98">
        <v>1</v>
      </c>
      <c r="CF205" s="98">
        <v>4</v>
      </c>
      <c r="CG205" s="98">
        <v>2</v>
      </c>
      <c r="CH205" s="98">
        <v>2</v>
      </c>
      <c r="CI205" s="98">
        <v>1</v>
      </c>
      <c r="CJ205" s="98">
        <v>2</v>
      </c>
      <c r="CK205" s="98">
        <v>1</v>
      </c>
      <c r="CL205" s="98">
        <v>1</v>
      </c>
      <c r="CM205" s="98">
        <v>2</v>
      </c>
      <c r="CN205" s="98">
        <v>2</v>
      </c>
      <c r="CO205" s="98">
        <v>1</v>
      </c>
      <c r="CP205" s="98">
        <v>2</v>
      </c>
      <c r="CQ205" s="98">
        <v>2</v>
      </c>
      <c r="CR205" s="98">
        <v>3</v>
      </c>
      <c r="CS205" s="98">
        <v>3</v>
      </c>
    </row>
    <row r="206" spans="2:97" x14ac:dyDescent="0.3">
      <c r="B206" s="83" t="s">
        <v>61</v>
      </c>
      <c r="C206" s="98">
        <v>4</v>
      </c>
      <c r="D206" s="98">
        <v>3</v>
      </c>
      <c r="E206" s="98">
        <v>5</v>
      </c>
      <c r="F206" s="98">
        <v>4</v>
      </c>
      <c r="G206" s="98">
        <v>4</v>
      </c>
      <c r="H206" s="98">
        <v>6</v>
      </c>
      <c r="I206" s="98">
        <v>5</v>
      </c>
      <c r="J206" s="98">
        <v>3</v>
      </c>
      <c r="K206" s="98">
        <v>3</v>
      </c>
      <c r="L206" s="98">
        <v>4</v>
      </c>
      <c r="M206" s="98">
        <v>3</v>
      </c>
      <c r="N206" s="98">
        <v>3</v>
      </c>
      <c r="O206" s="98">
        <v>6</v>
      </c>
      <c r="P206" s="98">
        <v>3</v>
      </c>
      <c r="Q206" s="98">
        <v>4</v>
      </c>
      <c r="R206" s="98">
        <v>4</v>
      </c>
      <c r="S206" s="98">
        <v>3</v>
      </c>
      <c r="T206" s="98">
        <v>4</v>
      </c>
      <c r="U206" s="98">
        <v>11</v>
      </c>
      <c r="V206" s="98">
        <v>4</v>
      </c>
      <c r="W206" s="98">
        <v>4</v>
      </c>
      <c r="X206" s="98">
        <v>7</v>
      </c>
      <c r="Y206" s="98">
        <v>4</v>
      </c>
      <c r="Z206" s="98">
        <v>3</v>
      </c>
      <c r="AA206" s="98">
        <v>4</v>
      </c>
      <c r="AB206" s="98">
        <v>6</v>
      </c>
      <c r="AC206" s="98">
        <v>4</v>
      </c>
      <c r="AD206" s="98">
        <v>4</v>
      </c>
      <c r="AE206" s="98">
        <v>4</v>
      </c>
      <c r="AF206" s="98">
        <v>5</v>
      </c>
      <c r="AG206" s="98">
        <v>3</v>
      </c>
      <c r="AH206" s="98">
        <v>4</v>
      </c>
      <c r="AI206" s="98">
        <v>6</v>
      </c>
      <c r="AJ206" s="98">
        <v>3</v>
      </c>
      <c r="AK206" s="98">
        <v>4</v>
      </c>
      <c r="AL206" s="98">
        <v>5</v>
      </c>
      <c r="AM206" s="98">
        <v>3</v>
      </c>
      <c r="AN206" s="98">
        <v>3</v>
      </c>
      <c r="AO206" s="98">
        <v>5</v>
      </c>
      <c r="AP206" s="98">
        <v>4</v>
      </c>
      <c r="AQ206" s="98">
        <v>3</v>
      </c>
      <c r="AR206" s="98">
        <v>3</v>
      </c>
      <c r="AS206" s="98">
        <v>3</v>
      </c>
      <c r="AT206" s="98">
        <v>3</v>
      </c>
      <c r="AU206" s="98">
        <v>5</v>
      </c>
      <c r="AV206" s="98">
        <v>4</v>
      </c>
      <c r="AW206" s="98">
        <v>10</v>
      </c>
      <c r="AX206" s="98">
        <v>3</v>
      </c>
      <c r="AY206" s="98">
        <v>3</v>
      </c>
      <c r="AZ206" s="98">
        <v>4</v>
      </c>
      <c r="BA206" s="98">
        <v>3</v>
      </c>
      <c r="BB206" s="98">
        <v>4</v>
      </c>
      <c r="BC206" s="98">
        <v>5</v>
      </c>
      <c r="BD206" s="98">
        <v>4</v>
      </c>
      <c r="BE206" s="98">
        <v>4</v>
      </c>
      <c r="BF206" s="98">
        <v>3</v>
      </c>
      <c r="BG206" s="98">
        <v>5</v>
      </c>
      <c r="BH206" s="98">
        <v>4</v>
      </c>
      <c r="BI206" s="98">
        <v>8</v>
      </c>
      <c r="BJ206" s="98">
        <v>5</v>
      </c>
      <c r="BK206" s="98">
        <v>3</v>
      </c>
      <c r="BL206" s="98">
        <v>5</v>
      </c>
      <c r="BM206" s="98">
        <v>7</v>
      </c>
      <c r="BN206" s="98">
        <v>3</v>
      </c>
      <c r="BO206" s="98">
        <v>3</v>
      </c>
      <c r="BP206" s="98">
        <v>6</v>
      </c>
      <c r="BQ206" s="98">
        <v>4</v>
      </c>
      <c r="BR206" s="98">
        <v>3</v>
      </c>
      <c r="BS206" s="98">
        <v>3</v>
      </c>
      <c r="BT206" s="98">
        <v>3</v>
      </c>
      <c r="BU206" s="98">
        <v>6</v>
      </c>
      <c r="BV206" s="98">
        <v>4</v>
      </c>
      <c r="BW206" s="98">
        <v>4</v>
      </c>
      <c r="BX206" s="98">
        <v>6</v>
      </c>
      <c r="BY206" s="98">
        <v>6</v>
      </c>
      <c r="BZ206" s="98">
        <v>4</v>
      </c>
      <c r="CA206" s="98">
        <v>4</v>
      </c>
      <c r="CB206" s="98">
        <v>5</v>
      </c>
      <c r="CC206" s="98">
        <v>9</v>
      </c>
      <c r="CD206" s="98">
        <v>4</v>
      </c>
      <c r="CE206" s="98">
        <v>3</v>
      </c>
      <c r="CF206" s="98">
        <v>6</v>
      </c>
      <c r="CG206" s="98">
        <v>4</v>
      </c>
      <c r="CH206" s="98">
        <v>4</v>
      </c>
      <c r="CI206" s="98">
        <v>3</v>
      </c>
      <c r="CJ206" s="98">
        <v>4</v>
      </c>
      <c r="CK206" s="98">
        <v>3</v>
      </c>
      <c r="CL206" s="98">
        <v>3</v>
      </c>
      <c r="CM206" s="98">
        <v>4</v>
      </c>
      <c r="CN206" s="98">
        <v>4</v>
      </c>
      <c r="CO206" s="98">
        <v>3</v>
      </c>
      <c r="CP206" s="98">
        <v>4</v>
      </c>
      <c r="CQ206" s="98">
        <v>4</v>
      </c>
      <c r="CR206" s="98">
        <v>5</v>
      </c>
      <c r="CS206" s="98">
        <v>5</v>
      </c>
    </row>
    <row r="207" spans="2:97" x14ac:dyDescent="0.3">
      <c r="B207" s="83" t="s">
        <v>62</v>
      </c>
      <c r="C207" s="98">
        <v>3</v>
      </c>
      <c r="D207" s="98">
        <v>5</v>
      </c>
      <c r="E207" s="98">
        <v>2</v>
      </c>
      <c r="F207" s="98">
        <v>3</v>
      </c>
      <c r="G207" s="98">
        <v>3</v>
      </c>
      <c r="H207" s="98">
        <v>5</v>
      </c>
      <c r="I207" s="98">
        <v>4</v>
      </c>
      <c r="J207" s="98">
        <v>2</v>
      </c>
      <c r="K207" s="98">
        <v>2</v>
      </c>
      <c r="L207" s="98">
        <v>3</v>
      </c>
      <c r="M207" s="98">
        <v>2</v>
      </c>
      <c r="N207" s="98">
        <v>2</v>
      </c>
      <c r="O207" s="98">
        <v>5</v>
      </c>
      <c r="P207" s="98">
        <v>2</v>
      </c>
      <c r="Q207" s="98">
        <v>3</v>
      </c>
      <c r="R207" s="98">
        <v>3</v>
      </c>
      <c r="S207" s="98">
        <v>2</v>
      </c>
      <c r="T207" s="98">
        <v>3</v>
      </c>
      <c r="U207" s="98">
        <v>10</v>
      </c>
      <c r="V207" s="98">
        <v>3</v>
      </c>
      <c r="W207" s="98">
        <v>3</v>
      </c>
      <c r="X207" s="98">
        <v>6</v>
      </c>
      <c r="Y207" s="98">
        <v>3</v>
      </c>
      <c r="Z207" s="98">
        <v>2</v>
      </c>
      <c r="AA207" s="98">
        <v>3</v>
      </c>
      <c r="AB207" s="98">
        <v>5</v>
      </c>
      <c r="AC207" s="98">
        <v>3</v>
      </c>
      <c r="AD207" s="98">
        <v>3</v>
      </c>
      <c r="AE207" s="98">
        <v>3</v>
      </c>
      <c r="AF207" s="98">
        <v>4</v>
      </c>
      <c r="AG207" s="98">
        <v>2</v>
      </c>
      <c r="AH207" s="98">
        <v>3</v>
      </c>
      <c r="AI207" s="98">
        <v>5</v>
      </c>
      <c r="AJ207" s="98">
        <v>2</v>
      </c>
      <c r="AK207" s="98">
        <v>3</v>
      </c>
      <c r="AL207" s="98">
        <v>4</v>
      </c>
      <c r="AM207" s="98">
        <v>2</v>
      </c>
      <c r="AN207" s="98">
        <v>2</v>
      </c>
      <c r="AO207" s="98">
        <v>4</v>
      </c>
      <c r="AP207" s="98">
        <v>3</v>
      </c>
      <c r="AQ207" s="98">
        <v>2</v>
      </c>
      <c r="AR207" s="98">
        <v>2</v>
      </c>
      <c r="AS207" s="98">
        <v>2</v>
      </c>
      <c r="AT207" s="98">
        <v>2</v>
      </c>
      <c r="AU207" s="98">
        <v>4</v>
      </c>
      <c r="AV207" s="98">
        <v>3</v>
      </c>
      <c r="AW207" s="98">
        <v>9</v>
      </c>
      <c r="AX207" s="98">
        <v>2</v>
      </c>
      <c r="AY207" s="98">
        <v>2</v>
      </c>
      <c r="AZ207" s="98">
        <v>3</v>
      </c>
      <c r="BA207" s="98">
        <v>2</v>
      </c>
      <c r="BB207" s="98">
        <v>3</v>
      </c>
      <c r="BC207" s="98">
        <v>4</v>
      </c>
      <c r="BD207" s="98">
        <v>3</v>
      </c>
      <c r="BE207" s="98">
        <v>3</v>
      </c>
      <c r="BF207" s="98">
        <v>2</v>
      </c>
      <c r="BG207" s="98">
        <v>4</v>
      </c>
      <c r="BH207" s="98">
        <v>3</v>
      </c>
      <c r="BI207" s="98">
        <v>7</v>
      </c>
      <c r="BJ207" s="98">
        <v>4</v>
      </c>
      <c r="BK207" s="98">
        <v>2</v>
      </c>
      <c r="BL207" s="98">
        <v>4</v>
      </c>
      <c r="BM207" s="98">
        <v>6</v>
      </c>
      <c r="BN207" s="98">
        <v>2</v>
      </c>
      <c r="BO207" s="98">
        <v>2</v>
      </c>
      <c r="BP207" s="98">
        <v>5</v>
      </c>
      <c r="BQ207" s="98">
        <v>3</v>
      </c>
      <c r="BR207" s="98">
        <v>2</v>
      </c>
      <c r="BS207" s="98">
        <v>2</v>
      </c>
      <c r="BT207" s="98">
        <v>2</v>
      </c>
      <c r="BU207" s="98">
        <v>5</v>
      </c>
      <c r="BV207" s="98">
        <v>3</v>
      </c>
      <c r="BW207" s="98">
        <v>3</v>
      </c>
      <c r="BX207" s="98">
        <v>5</v>
      </c>
      <c r="BY207" s="98">
        <v>5</v>
      </c>
      <c r="BZ207" s="98">
        <v>3</v>
      </c>
      <c r="CA207" s="98">
        <v>3</v>
      </c>
      <c r="CB207" s="98">
        <v>4</v>
      </c>
      <c r="CC207" s="98">
        <v>8</v>
      </c>
      <c r="CD207" s="98">
        <v>3</v>
      </c>
      <c r="CE207" s="98">
        <v>2</v>
      </c>
      <c r="CF207" s="98">
        <v>5</v>
      </c>
      <c r="CG207" s="98">
        <v>3</v>
      </c>
      <c r="CH207" s="98">
        <v>3</v>
      </c>
      <c r="CI207" s="98">
        <v>2</v>
      </c>
      <c r="CJ207" s="98">
        <v>3</v>
      </c>
      <c r="CK207" s="98">
        <v>2</v>
      </c>
      <c r="CL207" s="98">
        <v>2</v>
      </c>
      <c r="CM207" s="98">
        <v>3</v>
      </c>
      <c r="CN207" s="98">
        <v>3</v>
      </c>
      <c r="CO207" s="98">
        <v>2</v>
      </c>
      <c r="CP207" s="98">
        <v>3</v>
      </c>
      <c r="CQ207" s="98">
        <v>3</v>
      </c>
      <c r="CR207" s="98">
        <v>4</v>
      </c>
      <c r="CS207" s="98">
        <v>4</v>
      </c>
    </row>
    <row r="208" spans="2:97" x14ac:dyDescent="0.3">
      <c r="B208" s="83" t="s">
        <v>63</v>
      </c>
      <c r="C208" s="98">
        <v>2</v>
      </c>
      <c r="D208" s="98">
        <v>4</v>
      </c>
      <c r="E208" s="98">
        <v>3</v>
      </c>
      <c r="F208" s="98">
        <v>1</v>
      </c>
      <c r="G208" s="98">
        <v>2</v>
      </c>
      <c r="H208" s="98">
        <v>4</v>
      </c>
      <c r="I208" s="98">
        <v>3</v>
      </c>
      <c r="J208" s="98">
        <v>1</v>
      </c>
      <c r="K208" s="98">
        <v>1</v>
      </c>
      <c r="L208" s="98">
        <v>2</v>
      </c>
      <c r="M208" s="98">
        <v>1</v>
      </c>
      <c r="N208" s="98">
        <v>1</v>
      </c>
      <c r="O208" s="98">
        <v>4</v>
      </c>
      <c r="P208" s="98">
        <v>1</v>
      </c>
      <c r="Q208" s="98">
        <v>2</v>
      </c>
      <c r="R208" s="98">
        <v>2</v>
      </c>
      <c r="S208" s="98">
        <v>1</v>
      </c>
      <c r="T208" s="98">
        <v>2</v>
      </c>
      <c r="U208" s="98">
        <v>9</v>
      </c>
      <c r="V208" s="98">
        <v>2</v>
      </c>
      <c r="W208" s="98">
        <v>2</v>
      </c>
      <c r="X208" s="98">
        <v>5</v>
      </c>
      <c r="Y208" s="98">
        <v>2</v>
      </c>
      <c r="Z208" s="98">
        <v>1</v>
      </c>
      <c r="AA208" s="98">
        <v>2</v>
      </c>
      <c r="AB208" s="98">
        <v>4</v>
      </c>
      <c r="AC208" s="98">
        <v>2</v>
      </c>
      <c r="AD208" s="98">
        <v>2</v>
      </c>
      <c r="AE208" s="98">
        <v>2</v>
      </c>
      <c r="AF208" s="98">
        <v>3</v>
      </c>
      <c r="AG208" s="98">
        <v>1</v>
      </c>
      <c r="AH208" s="98">
        <v>2</v>
      </c>
      <c r="AI208" s="98">
        <v>4</v>
      </c>
      <c r="AJ208" s="98">
        <v>1</v>
      </c>
      <c r="AK208" s="98">
        <v>2</v>
      </c>
      <c r="AL208" s="98">
        <v>3</v>
      </c>
      <c r="AM208" s="98">
        <v>1</v>
      </c>
      <c r="AN208" s="98">
        <v>1</v>
      </c>
      <c r="AO208" s="98">
        <v>3</v>
      </c>
      <c r="AP208" s="98">
        <v>2</v>
      </c>
      <c r="AQ208" s="98">
        <v>1</v>
      </c>
      <c r="AR208" s="98">
        <v>1</v>
      </c>
      <c r="AS208" s="98">
        <v>1</v>
      </c>
      <c r="AT208" s="98">
        <v>1</v>
      </c>
      <c r="AU208" s="98">
        <v>3</v>
      </c>
      <c r="AV208" s="98">
        <v>2</v>
      </c>
      <c r="AW208" s="98">
        <v>8</v>
      </c>
      <c r="AX208" s="98">
        <v>1</v>
      </c>
      <c r="AY208" s="98">
        <v>1</v>
      </c>
      <c r="AZ208" s="98">
        <v>2</v>
      </c>
      <c r="BA208" s="98">
        <v>1</v>
      </c>
      <c r="BB208" s="98">
        <v>2</v>
      </c>
      <c r="BC208" s="98">
        <v>3</v>
      </c>
      <c r="BD208" s="98">
        <v>2</v>
      </c>
      <c r="BE208" s="98">
        <v>2</v>
      </c>
      <c r="BF208" s="98">
        <v>1</v>
      </c>
      <c r="BG208" s="98">
        <v>3</v>
      </c>
      <c r="BH208" s="98">
        <v>2</v>
      </c>
      <c r="BI208" s="98">
        <v>6</v>
      </c>
      <c r="BJ208" s="98">
        <v>3</v>
      </c>
      <c r="BK208" s="98">
        <v>1</v>
      </c>
      <c r="BL208" s="98">
        <v>3</v>
      </c>
      <c r="BM208" s="98">
        <v>5</v>
      </c>
      <c r="BN208" s="98">
        <v>1</v>
      </c>
      <c r="BO208" s="98">
        <v>1</v>
      </c>
      <c r="BP208" s="98">
        <v>4</v>
      </c>
      <c r="BQ208" s="98">
        <v>2</v>
      </c>
      <c r="BR208" s="98">
        <v>1</v>
      </c>
      <c r="BS208" s="98">
        <v>1</v>
      </c>
      <c r="BT208" s="98">
        <v>1</v>
      </c>
      <c r="BU208" s="98">
        <v>4</v>
      </c>
      <c r="BV208" s="98">
        <v>2</v>
      </c>
      <c r="BW208" s="98">
        <v>2</v>
      </c>
      <c r="BX208" s="98">
        <v>4</v>
      </c>
      <c r="BY208" s="98">
        <v>4</v>
      </c>
      <c r="BZ208" s="98">
        <v>2</v>
      </c>
      <c r="CA208" s="98">
        <v>2</v>
      </c>
      <c r="CB208" s="98">
        <v>3</v>
      </c>
      <c r="CC208" s="98">
        <v>7</v>
      </c>
      <c r="CD208" s="98">
        <v>2</v>
      </c>
      <c r="CE208" s="98">
        <v>1</v>
      </c>
      <c r="CF208" s="98">
        <v>4</v>
      </c>
      <c r="CG208" s="98">
        <v>2</v>
      </c>
      <c r="CH208" s="98">
        <v>2</v>
      </c>
      <c r="CI208" s="98">
        <v>1</v>
      </c>
      <c r="CJ208" s="98">
        <v>2</v>
      </c>
      <c r="CK208" s="98">
        <v>1</v>
      </c>
      <c r="CL208" s="98">
        <v>1</v>
      </c>
      <c r="CM208" s="98">
        <v>2</v>
      </c>
      <c r="CN208" s="98">
        <v>2</v>
      </c>
      <c r="CO208" s="98">
        <v>1</v>
      </c>
      <c r="CP208" s="98">
        <v>2</v>
      </c>
      <c r="CQ208" s="98">
        <v>2</v>
      </c>
      <c r="CR208" s="98">
        <v>3</v>
      </c>
      <c r="CS208" s="98">
        <v>3</v>
      </c>
    </row>
    <row r="209" spans="2:97" x14ac:dyDescent="0.3">
      <c r="B209" s="83" t="s">
        <v>64</v>
      </c>
      <c r="C209" s="98">
        <v>2</v>
      </c>
      <c r="D209" s="98">
        <v>4</v>
      </c>
      <c r="E209" s="98">
        <v>3</v>
      </c>
      <c r="F209" s="98">
        <v>2</v>
      </c>
      <c r="G209" s="98">
        <v>1</v>
      </c>
      <c r="H209" s="98">
        <v>4</v>
      </c>
      <c r="I209" s="98">
        <v>3</v>
      </c>
      <c r="J209" s="98">
        <v>1</v>
      </c>
      <c r="K209" s="98">
        <v>1</v>
      </c>
      <c r="L209" s="98">
        <v>2</v>
      </c>
      <c r="M209" s="98">
        <v>1</v>
      </c>
      <c r="N209" s="98">
        <v>1</v>
      </c>
      <c r="O209" s="98">
        <v>4</v>
      </c>
      <c r="P209" s="98">
        <v>1</v>
      </c>
      <c r="Q209" s="98">
        <v>2</v>
      </c>
      <c r="R209" s="98">
        <v>2</v>
      </c>
      <c r="S209" s="98">
        <v>1</v>
      </c>
      <c r="T209" s="98">
        <v>2</v>
      </c>
      <c r="U209" s="98">
        <v>9</v>
      </c>
      <c r="V209" s="98">
        <v>2</v>
      </c>
      <c r="W209" s="98">
        <v>2</v>
      </c>
      <c r="X209" s="98">
        <v>5</v>
      </c>
      <c r="Y209" s="98">
        <v>2</v>
      </c>
      <c r="Z209" s="98">
        <v>1</v>
      </c>
      <c r="AA209" s="98">
        <v>2</v>
      </c>
      <c r="AB209" s="98">
        <v>4</v>
      </c>
      <c r="AC209" s="98">
        <v>2</v>
      </c>
      <c r="AD209" s="98">
        <v>2</v>
      </c>
      <c r="AE209" s="98">
        <v>2</v>
      </c>
      <c r="AF209" s="98">
        <v>3</v>
      </c>
      <c r="AG209" s="98">
        <v>1</v>
      </c>
      <c r="AH209" s="98">
        <v>2</v>
      </c>
      <c r="AI209" s="98">
        <v>4</v>
      </c>
      <c r="AJ209" s="98">
        <v>1</v>
      </c>
      <c r="AK209" s="98">
        <v>2</v>
      </c>
      <c r="AL209" s="98">
        <v>3</v>
      </c>
      <c r="AM209" s="98">
        <v>1</v>
      </c>
      <c r="AN209" s="98">
        <v>1</v>
      </c>
      <c r="AO209" s="98">
        <v>3</v>
      </c>
      <c r="AP209" s="98">
        <v>2</v>
      </c>
      <c r="AQ209" s="98">
        <v>1</v>
      </c>
      <c r="AR209" s="98">
        <v>1</v>
      </c>
      <c r="AS209" s="98">
        <v>1</v>
      </c>
      <c r="AT209" s="98">
        <v>1</v>
      </c>
      <c r="AU209" s="98">
        <v>3</v>
      </c>
      <c r="AV209" s="98">
        <v>2</v>
      </c>
      <c r="AW209" s="98">
        <v>8</v>
      </c>
      <c r="AX209" s="98">
        <v>1</v>
      </c>
      <c r="AY209" s="98">
        <v>1</v>
      </c>
      <c r="AZ209" s="98">
        <v>2</v>
      </c>
      <c r="BA209" s="98">
        <v>1</v>
      </c>
      <c r="BB209" s="98">
        <v>2</v>
      </c>
      <c r="BC209" s="98">
        <v>3</v>
      </c>
      <c r="BD209" s="98">
        <v>2</v>
      </c>
      <c r="BE209" s="98">
        <v>2</v>
      </c>
      <c r="BF209" s="98">
        <v>1</v>
      </c>
      <c r="BG209" s="98">
        <v>3</v>
      </c>
      <c r="BH209" s="98">
        <v>2</v>
      </c>
      <c r="BI209" s="98">
        <v>6</v>
      </c>
      <c r="BJ209" s="98">
        <v>3</v>
      </c>
      <c r="BK209" s="98">
        <v>1</v>
      </c>
      <c r="BL209" s="98">
        <v>3</v>
      </c>
      <c r="BM209" s="98">
        <v>5</v>
      </c>
      <c r="BN209" s="98">
        <v>1</v>
      </c>
      <c r="BO209" s="98">
        <v>1</v>
      </c>
      <c r="BP209" s="98">
        <v>4</v>
      </c>
      <c r="BQ209" s="98">
        <v>2</v>
      </c>
      <c r="BR209" s="98">
        <v>1</v>
      </c>
      <c r="BS209" s="98">
        <v>1</v>
      </c>
      <c r="BT209" s="98">
        <v>1</v>
      </c>
      <c r="BU209" s="98">
        <v>4</v>
      </c>
      <c r="BV209" s="98">
        <v>2</v>
      </c>
      <c r="BW209" s="98">
        <v>2</v>
      </c>
      <c r="BX209" s="98">
        <v>4</v>
      </c>
      <c r="BY209" s="98">
        <v>4</v>
      </c>
      <c r="BZ209" s="98">
        <v>2</v>
      </c>
      <c r="CA209" s="98">
        <v>2</v>
      </c>
      <c r="CB209" s="98">
        <v>3</v>
      </c>
      <c r="CC209" s="98">
        <v>7</v>
      </c>
      <c r="CD209" s="98">
        <v>2</v>
      </c>
      <c r="CE209" s="98">
        <v>1</v>
      </c>
      <c r="CF209" s="98">
        <v>4</v>
      </c>
      <c r="CG209" s="98">
        <v>2</v>
      </c>
      <c r="CH209" s="98">
        <v>2</v>
      </c>
      <c r="CI209" s="98">
        <v>1</v>
      </c>
      <c r="CJ209" s="98">
        <v>2</v>
      </c>
      <c r="CK209" s="98">
        <v>1</v>
      </c>
      <c r="CL209" s="98">
        <v>1</v>
      </c>
      <c r="CM209" s="98">
        <v>2</v>
      </c>
      <c r="CN209" s="98">
        <v>2</v>
      </c>
      <c r="CO209" s="98">
        <v>1</v>
      </c>
      <c r="CP209" s="98">
        <v>2</v>
      </c>
      <c r="CQ209" s="98">
        <v>2</v>
      </c>
      <c r="CR209" s="98">
        <v>3</v>
      </c>
      <c r="CS209" s="98">
        <v>3</v>
      </c>
    </row>
    <row r="210" spans="2:97" x14ac:dyDescent="0.3">
      <c r="B210" s="83" t="s">
        <v>65</v>
      </c>
      <c r="C210" s="98">
        <v>4</v>
      </c>
      <c r="D210" s="98">
        <v>6</v>
      </c>
      <c r="E210" s="98">
        <v>5</v>
      </c>
      <c r="F210" s="98">
        <v>4</v>
      </c>
      <c r="G210" s="98">
        <v>4</v>
      </c>
      <c r="H210" s="98">
        <v>3</v>
      </c>
      <c r="I210" s="98">
        <v>5</v>
      </c>
      <c r="J210" s="98">
        <v>3</v>
      </c>
      <c r="K210" s="98">
        <v>3</v>
      </c>
      <c r="L210" s="98">
        <v>4</v>
      </c>
      <c r="M210" s="98">
        <v>3</v>
      </c>
      <c r="N210" s="98">
        <v>3</v>
      </c>
      <c r="O210" s="98">
        <v>6</v>
      </c>
      <c r="P210" s="98">
        <v>3</v>
      </c>
      <c r="Q210" s="98">
        <v>4</v>
      </c>
      <c r="R210" s="98">
        <v>4</v>
      </c>
      <c r="S210" s="98">
        <v>3</v>
      </c>
      <c r="T210" s="98">
        <v>4</v>
      </c>
      <c r="U210" s="98">
        <v>11</v>
      </c>
      <c r="V210" s="98">
        <v>4</v>
      </c>
      <c r="W210" s="98">
        <v>4</v>
      </c>
      <c r="X210" s="98">
        <v>7</v>
      </c>
      <c r="Y210" s="98">
        <v>4</v>
      </c>
      <c r="Z210" s="98">
        <v>3</v>
      </c>
      <c r="AA210" s="98">
        <v>4</v>
      </c>
      <c r="AB210" s="98">
        <v>6</v>
      </c>
      <c r="AC210" s="98">
        <v>4</v>
      </c>
      <c r="AD210" s="98">
        <v>4</v>
      </c>
      <c r="AE210" s="98">
        <v>4</v>
      </c>
      <c r="AF210" s="98">
        <v>5</v>
      </c>
      <c r="AG210" s="98">
        <v>3</v>
      </c>
      <c r="AH210" s="98">
        <v>4</v>
      </c>
      <c r="AI210" s="98">
        <v>6</v>
      </c>
      <c r="AJ210" s="98">
        <v>3</v>
      </c>
      <c r="AK210" s="98">
        <v>4</v>
      </c>
      <c r="AL210" s="98">
        <v>5</v>
      </c>
      <c r="AM210" s="98">
        <v>3</v>
      </c>
      <c r="AN210" s="98">
        <v>3</v>
      </c>
      <c r="AO210" s="98">
        <v>5</v>
      </c>
      <c r="AP210" s="98">
        <v>4</v>
      </c>
      <c r="AQ210" s="98">
        <v>3</v>
      </c>
      <c r="AR210" s="98">
        <v>3</v>
      </c>
      <c r="AS210" s="98">
        <v>3</v>
      </c>
      <c r="AT210" s="98">
        <v>3</v>
      </c>
      <c r="AU210" s="98">
        <v>5</v>
      </c>
      <c r="AV210" s="98">
        <v>4</v>
      </c>
      <c r="AW210" s="98">
        <v>10</v>
      </c>
      <c r="AX210" s="98">
        <v>3</v>
      </c>
      <c r="AY210" s="98">
        <v>3</v>
      </c>
      <c r="AZ210" s="98">
        <v>4</v>
      </c>
      <c r="BA210" s="98">
        <v>3</v>
      </c>
      <c r="BB210" s="98">
        <v>4</v>
      </c>
      <c r="BC210" s="98">
        <v>5</v>
      </c>
      <c r="BD210" s="98">
        <v>4</v>
      </c>
      <c r="BE210" s="98">
        <v>4</v>
      </c>
      <c r="BF210" s="98">
        <v>3</v>
      </c>
      <c r="BG210" s="98">
        <v>5</v>
      </c>
      <c r="BH210" s="98">
        <v>4</v>
      </c>
      <c r="BI210" s="98">
        <v>8</v>
      </c>
      <c r="BJ210" s="98">
        <v>5</v>
      </c>
      <c r="BK210" s="98">
        <v>3</v>
      </c>
      <c r="BL210" s="98">
        <v>5</v>
      </c>
      <c r="BM210" s="98">
        <v>7</v>
      </c>
      <c r="BN210" s="98">
        <v>3</v>
      </c>
      <c r="BO210" s="98">
        <v>3</v>
      </c>
      <c r="BP210" s="98">
        <v>6</v>
      </c>
      <c r="BQ210" s="98">
        <v>4</v>
      </c>
      <c r="BR210" s="98">
        <v>3</v>
      </c>
      <c r="BS210" s="98">
        <v>3</v>
      </c>
      <c r="BT210" s="98">
        <v>3</v>
      </c>
      <c r="BU210" s="98">
        <v>6</v>
      </c>
      <c r="BV210" s="98">
        <v>4</v>
      </c>
      <c r="BW210" s="98">
        <v>4</v>
      </c>
      <c r="BX210" s="98">
        <v>6</v>
      </c>
      <c r="BY210" s="98">
        <v>6</v>
      </c>
      <c r="BZ210" s="98">
        <v>4</v>
      </c>
      <c r="CA210" s="98">
        <v>4</v>
      </c>
      <c r="CB210" s="98">
        <v>5</v>
      </c>
      <c r="CC210" s="98">
        <v>9</v>
      </c>
      <c r="CD210" s="98">
        <v>4</v>
      </c>
      <c r="CE210" s="98">
        <v>3</v>
      </c>
      <c r="CF210" s="98">
        <v>6</v>
      </c>
      <c r="CG210" s="98">
        <v>4</v>
      </c>
      <c r="CH210" s="98">
        <v>4</v>
      </c>
      <c r="CI210" s="98">
        <v>3</v>
      </c>
      <c r="CJ210" s="98">
        <v>4</v>
      </c>
      <c r="CK210" s="98">
        <v>3</v>
      </c>
      <c r="CL210" s="98">
        <v>3</v>
      </c>
      <c r="CM210" s="98">
        <v>4</v>
      </c>
      <c r="CN210" s="98">
        <v>4</v>
      </c>
      <c r="CO210" s="98">
        <v>3</v>
      </c>
      <c r="CP210" s="98">
        <v>4</v>
      </c>
      <c r="CQ210" s="98">
        <v>4</v>
      </c>
      <c r="CR210" s="98">
        <v>5</v>
      </c>
      <c r="CS210" s="98">
        <v>5</v>
      </c>
    </row>
    <row r="211" spans="2:97" x14ac:dyDescent="0.3">
      <c r="B211" s="83" t="s">
        <v>66</v>
      </c>
      <c r="C211" s="98">
        <v>3</v>
      </c>
      <c r="D211" s="98">
        <v>5</v>
      </c>
      <c r="E211" s="98">
        <v>4</v>
      </c>
      <c r="F211" s="98">
        <v>3</v>
      </c>
      <c r="G211" s="98">
        <v>3</v>
      </c>
      <c r="H211" s="98">
        <v>5</v>
      </c>
      <c r="I211" s="98">
        <v>2</v>
      </c>
      <c r="J211" s="98">
        <v>2</v>
      </c>
      <c r="K211" s="98">
        <v>2</v>
      </c>
      <c r="L211" s="98">
        <v>3</v>
      </c>
      <c r="M211" s="98">
        <v>2</v>
      </c>
      <c r="N211" s="98">
        <v>2</v>
      </c>
      <c r="O211" s="98">
        <v>5</v>
      </c>
      <c r="P211" s="98">
        <v>2</v>
      </c>
      <c r="Q211" s="98">
        <v>3</v>
      </c>
      <c r="R211" s="98">
        <v>3</v>
      </c>
      <c r="S211" s="98">
        <v>2</v>
      </c>
      <c r="T211" s="98">
        <v>3</v>
      </c>
      <c r="U211" s="98">
        <v>10</v>
      </c>
      <c r="V211" s="98">
        <v>3</v>
      </c>
      <c r="W211" s="98">
        <v>3</v>
      </c>
      <c r="X211" s="98">
        <v>6</v>
      </c>
      <c r="Y211" s="98">
        <v>3</v>
      </c>
      <c r="Z211" s="98">
        <v>2</v>
      </c>
      <c r="AA211" s="98">
        <v>3</v>
      </c>
      <c r="AB211" s="98">
        <v>5</v>
      </c>
      <c r="AC211" s="98">
        <v>3</v>
      </c>
      <c r="AD211" s="98">
        <v>3</v>
      </c>
      <c r="AE211" s="98">
        <v>3</v>
      </c>
      <c r="AF211" s="98">
        <v>4</v>
      </c>
      <c r="AG211" s="98">
        <v>2</v>
      </c>
      <c r="AH211" s="98">
        <v>3</v>
      </c>
      <c r="AI211" s="98">
        <v>5</v>
      </c>
      <c r="AJ211" s="98">
        <v>2</v>
      </c>
      <c r="AK211" s="98">
        <v>3</v>
      </c>
      <c r="AL211" s="98">
        <v>4</v>
      </c>
      <c r="AM211" s="98">
        <v>2</v>
      </c>
      <c r="AN211" s="98">
        <v>2</v>
      </c>
      <c r="AO211" s="98">
        <v>4</v>
      </c>
      <c r="AP211" s="98">
        <v>3</v>
      </c>
      <c r="AQ211" s="98">
        <v>2</v>
      </c>
      <c r="AR211" s="98">
        <v>2</v>
      </c>
      <c r="AS211" s="98">
        <v>2</v>
      </c>
      <c r="AT211" s="98">
        <v>2</v>
      </c>
      <c r="AU211" s="98">
        <v>4</v>
      </c>
      <c r="AV211" s="98">
        <v>3</v>
      </c>
      <c r="AW211" s="98">
        <v>9</v>
      </c>
      <c r="AX211" s="98">
        <v>2</v>
      </c>
      <c r="AY211" s="98">
        <v>2</v>
      </c>
      <c r="AZ211" s="98">
        <v>3</v>
      </c>
      <c r="BA211" s="98">
        <v>2</v>
      </c>
      <c r="BB211" s="98">
        <v>3</v>
      </c>
      <c r="BC211" s="98">
        <v>4</v>
      </c>
      <c r="BD211" s="98">
        <v>3</v>
      </c>
      <c r="BE211" s="98">
        <v>3</v>
      </c>
      <c r="BF211" s="98">
        <v>2</v>
      </c>
      <c r="BG211" s="98">
        <v>4</v>
      </c>
      <c r="BH211" s="98">
        <v>3</v>
      </c>
      <c r="BI211" s="98">
        <v>7</v>
      </c>
      <c r="BJ211" s="98">
        <v>4</v>
      </c>
      <c r="BK211" s="98">
        <v>2</v>
      </c>
      <c r="BL211" s="98">
        <v>4</v>
      </c>
      <c r="BM211" s="98">
        <v>6</v>
      </c>
      <c r="BN211" s="98">
        <v>2</v>
      </c>
      <c r="BO211" s="98">
        <v>2</v>
      </c>
      <c r="BP211" s="98">
        <v>5</v>
      </c>
      <c r="BQ211" s="98">
        <v>3</v>
      </c>
      <c r="BR211" s="98">
        <v>2</v>
      </c>
      <c r="BS211" s="98">
        <v>2</v>
      </c>
      <c r="BT211" s="98">
        <v>2</v>
      </c>
      <c r="BU211" s="98">
        <v>5</v>
      </c>
      <c r="BV211" s="98">
        <v>3</v>
      </c>
      <c r="BW211" s="98">
        <v>3</v>
      </c>
      <c r="BX211" s="98">
        <v>5</v>
      </c>
      <c r="BY211" s="98">
        <v>5</v>
      </c>
      <c r="BZ211" s="98">
        <v>3</v>
      </c>
      <c r="CA211" s="98">
        <v>3</v>
      </c>
      <c r="CB211" s="98">
        <v>4</v>
      </c>
      <c r="CC211" s="98">
        <v>8</v>
      </c>
      <c r="CD211" s="98">
        <v>3</v>
      </c>
      <c r="CE211" s="98">
        <v>2</v>
      </c>
      <c r="CF211" s="98">
        <v>5</v>
      </c>
      <c r="CG211" s="98">
        <v>3</v>
      </c>
      <c r="CH211" s="98">
        <v>3</v>
      </c>
      <c r="CI211" s="98">
        <v>2</v>
      </c>
      <c r="CJ211" s="98">
        <v>3</v>
      </c>
      <c r="CK211" s="98">
        <v>2</v>
      </c>
      <c r="CL211" s="98">
        <v>2</v>
      </c>
      <c r="CM211" s="98">
        <v>3</v>
      </c>
      <c r="CN211" s="98">
        <v>3</v>
      </c>
      <c r="CO211" s="98">
        <v>2</v>
      </c>
      <c r="CP211" s="98">
        <v>3</v>
      </c>
      <c r="CQ211" s="98">
        <v>3</v>
      </c>
      <c r="CR211" s="98">
        <v>4</v>
      </c>
      <c r="CS211" s="98">
        <v>4</v>
      </c>
    </row>
    <row r="212" spans="2:97" x14ac:dyDescent="0.3">
      <c r="B212" s="83" t="s">
        <v>67</v>
      </c>
      <c r="C212" s="98">
        <v>1</v>
      </c>
      <c r="D212" s="98">
        <v>3</v>
      </c>
      <c r="E212" s="98">
        <v>2</v>
      </c>
      <c r="F212" s="98">
        <v>1</v>
      </c>
      <c r="G212" s="98">
        <v>1</v>
      </c>
      <c r="H212" s="98">
        <v>3</v>
      </c>
      <c r="I212" s="98">
        <v>2</v>
      </c>
      <c r="J212" s="98">
        <v>0</v>
      </c>
      <c r="K212" s="98">
        <v>0</v>
      </c>
      <c r="L212" s="98">
        <v>1</v>
      </c>
      <c r="M212" s="98">
        <v>0</v>
      </c>
      <c r="N212" s="98">
        <v>0</v>
      </c>
      <c r="O212" s="98">
        <v>3</v>
      </c>
      <c r="P212" s="98">
        <v>0</v>
      </c>
      <c r="Q212" s="98">
        <v>1</v>
      </c>
      <c r="R212" s="98">
        <v>1</v>
      </c>
      <c r="S212" s="98">
        <v>0</v>
      </c>
      <c r="T212" s="98">
        <v>1</v>
      </c>
      <c r="U212" s="98">
        <v>8</v>
      </c>
      <c r="V212" s="98">
        <v>1</v>
      </c>
      <c r="W212" s="98">
        <v>1</v>
      </c>
      <c r="X212" s="98">
        <v>4</v>
      </c>
      <c r="Y212" s="98">
        <v>1</v>
      </c>
      <c r="Z212" s="98">
        <v>0</v>
      </c>
      <c r="AA212" s="98">
        <v>1</v>
      </c>
      <c r="AB212" s="98">
        <v>3</v>
      </c>
      <c r="AC212" s="98">
        <v>1</v>
      </c>
      <c r="AD212" s="98">
        <v>1</v>
      </c>
      <c r="AE212" s="98">
        <v>1</v>
      </c>
      <c r="AF212" s="98">
        <v>2</v>
      </c>
      <c r="AG212" s="98">
        <v>0</v>
      </c>
      <c r="AH212" s="98">
        <v>1</v>
      </c>
      <c r="AI212" s="98">
        <v>3</v>
      </c>
      <c r="AJ212" s="98">
        <v>0</v>
      </c>
      <c r="AK212" s="98">
        <v>1</v>
      </c>
      <c r="AL212" s="98">
        <v>2</v>
      </c>
      <c r="AM212" s="98">
        <v>0</v>
      </c>
      <c r="AN212" s="98">
        <v>0</v>
      </c>
      <c r="AO212" s="98">
        <v>2</v>
      </c>
      <c r="AP212" s="98">
        <v>1</v>
      </c>
      <c r="AQ212" s="98">
        <v>0</v>
      </c>
      <c r="AR212" s="98">
        <v>0</v>
      </c>
      <c r="AS212" s="98">
        <v>0</v>
      </c>
      <c r="AT212" s="98">
        <v>0</v>
      </c>
      <c r="AU212" s="98">
        <v>2</v>
      </c>
      <c r="AV212" s="98">
        <v>1</v>
      </c>
      <c r="AW212" s="98">
        <v>7</v>
      </c>
      <c r="AX212" s="98">
        <v>0</v>
      </c>
      <c r="AY212" s="98">
        <v>0</v>
      </c>
      <c r="AZ212" s="98">
        <v>1</v>
      </c>
      <c r="BA212" s="98">
        <v>0</v>
      </c>
      <c r="BB212" s="98">
        <v>1</v>
      </c>
      <c r="BC212" s="98">
        <v>2</v>
      </c>
      <c r="BD212" s="98">
        <v>1</v>
      </c>
      <c r="BE212" s="98">
        <v>1</v>
      </c>
      <c r="BF212" s="98">
        <v>0</v>
      </c>
      <c r="BG212" s="98">
        <v>2</v>
      </c>
      <c r="BH212" s="98">
        <v>1</v>
      </c>
      <c r="BI212" s="98">
        <v>5</v>
      </c>
      <c r="BJ212" s="98">
        <v>2</v>
      </c>
      <c r="BK212" s="98">
        <v>0</v>
      </c>
      <c r="BL212" s="98">
        <v>2</v>
      </c>
      <c r="BM212" s="98">
        <v>4</v>
      </c>
      <c r="BN212" s="98">
        <v>0</v>
      </c>
      <c r="BO212" s="98">
        <v>0</v>
      </c>
      <c r="BP212" s="98">
        <v>3</v>
      </c>
      <c r="BQ212" s="98">
        <v>1</v>
      </c>
      <c r="BR212" s="98">
        <v>0</v>
      </c>
      <c r="BS212" s="98">
        <v>0</v>
      </c>
      <c r="BT212" s="98">
        <v>0</v>
      </c>
      <c r="BU212" s="98">
        <v>3</v>
      </c>
      <c r="BV212" s="98">
        <v>1</v>
      </c>
      <c r="BW212" s="98">
        <v>1</v>
      </c>
      <c r="BX212" s="98">
        <v>3</v>
      </c>
      <c r="BY212" s="98">
        <v>3</v>
      </c>
      <c r="BZ212" s="98">
        <v>1</v>
      </c>
      <c r="CA212" s="98">
        <v>1</v>
      </c>
      <c r="CB212" s="98">
        <v>2</v>
      </c>
      <c r="CC212" s="98">
        <v>6</v>
      </c>
      <c r="CD212" s="98">
        <v>1</v>
      </c>
      <c r="CE212" s="98">
        <v>0</v>
      </c>
      <c r="CF212" s="98">
        <v>3</v>
      </c>
      <c r="CG212" s="98">
        <v>1</v>
      </c>
      <c r="CH212" s="98">
        <v>1</v>
      </c>
      <c r="CI212" s="98">
        <v>0</v>
      </c>
      <c r="CJ212" s="98">
        <v>1</v>
      </c>
      <c r="CK212" s="98">
        <v>0</v>
      </c>
      <c r="CL212" s="98">
        <v>0</v>
      </c>
      <c r="CM212" s="98">
        <v>1</v>
      </c>
      <c r="CN212" s="98">
        <v>1</v>
      </c>
      <c r="CO212" s="98">
        <v>0</v>
      </c>
      <c r="CP212" s="98">
        <v>1</v>
      </c>
      <c r="CQ212" s="98">
        <v>1</v>
      </c>
      <c r="CR212" s="98">
        <v>2</v>
      </c>
      <c r="CS212" s="98">
        <v>2</v>
      </c>
    </row>
    <row r="213" spans="2:97" x14ac:dyDescent="0.3">
      <c r="B213" s="83" t="s">
        <v>68</v>
      </c>
      <c r="C213" s="98">
        <v>1</v>
      </c>
      <c r="D213" s="98">
        <v>3</v>
      </c>
      <c r="E213" s="98">
        <v>2</v>
      </c>
      <c r="F213" s="98">
        <v>1</v>
      </c>
      <c r="G213" s="98">
        <v>1</v>
      </c>
      <c r="H213" s="98">
        <v>3</v>
      </c>
      <c r="I213" s="98">
        <v>2</v>
      </c>
      <c r="J213" s="98">
        <v>0</v>
      </c>
      <c r="K213" s="98">
        <v>0</v>
      </c>
      <c r="L213" s="98">
        <v>1</v>
      </c>
      <c r="M213" s="98">
        <v>0</v>
      </c>
      <c r="N213" s="98">
        <v>0</v>
      </c>
      <c r="O213" s="98">
        <v>3</v>
      </c>
      <c r="P213" s="98">
        <v>0</v>
      </c>
      <c r="Q213" s="98">
        <v>1</v>
      </c>
      <c r="R213" s="98">
        <v>1</v>
      </c>
      <c r="S213" s="98">
        <v>0</v>
      </c>
      <c r="T213" s="98">
        <v>1</v>
      </c>
      <c r="U213" s="98">
        <v>8</v>
      </c>
      <c r="V213" s="98">
        <v>1</v>
      </c>
      <c r="W213" s="98">
        <v>1</v>
      </c>
      <c r="X213" s="98">
        <v>4</v>
      </c>
      <c r="Y213" s="98">
        <v>1</v>
      </c>
      <c r="Z213" s="98">
        <v>0</v>
      </c>
      <c r="AA213" s="98">
        <v>1</v>
      </c>
      <c r="AB213" s="98">
        <v>3</v>
      </c>
      <c r="AC213" s="98">
        <v>1</v>
      </c>
      <c r="AD213" s="98">
        <v>1</v>
      </c>
      <c r="AE213" s="98">
        <v>1</v>
      </c>
      <c r="AF213" s="98">
        <v>2</v>
      </c>
      <c r="AG213" s="98">
        <v>0</v>
      </c>
      <c r="AH213" s="98">
        <v>1</v>
      </c>
      <c r="AI213" s="98">
        <v>3</v>
      </c>
      <c r="AJ213" s="98">
        <v>0</v>
      </c>
      <c r="AK213" s="98">
        <v>1</v>
      </c>
      <c r="AL213" s="98">
        <v>2</v>
      </c>
      <c r="AM213" s="98">
        <v>0</v>
      </c>
      <c r="AN213" s="98">
        <v>0</v>
      </c>
      <c r="AO213" s="98">
        <v>2</v>
      </c>
      <c r="AP213" s="98">
        <v>1</v>
      </c>
      <c r="AQ213" s="98">
        <v>0</v>
      </c>
      <c r="AR213" s="98">
        <v>0</v>
      </c>
      <c r="AS213" s="98">
        <v>0</v>
      </c>
      <c r="AT213" s="98">
        <v>0</v>
      </c>
      <c r="AU213" s="98">
        <v>2</v>
      </c>
      <c r="AV213" s="98">
        <v>1</v>
      </c>
      <c r="AW213" s="98">
        <v>7</v>
      </c>
      <c r="AX213" s="98">
        <v>0</v>
      </c>
      <c r="AY213" s="98">
        <v>0</v>
      </c>
      <c r="AZ213" s="98">
        <v>1</v>
      </c>
      <c r="BA213" s="98">
        <v>0</v>
      </c>
      <c r="BB213" s="98">
        <v>1</v>
      </c>
      <c r="BC213" s="98">
        <v>2</v>
      </c>
      <c r="BD213" s="98">
        <v>1</v>
      </c>
      <c r="BE213" s="98">
        <v>1</v>
      </c>
      <c r="BF213" s="98">
        <v>0</v>
      </c>
      <c r="BG213" s="98">
        <v>2</v>
      </c>
      <c r="BH213" s="98">
        <v>1</v>
      </c>
      <c r="BI213" s="98">
        <v>5</v>
      </c>
      <c r="BJ213" s="98">
        <v>2</v>
      </c>
      <c r="BK213" s="98">
        <v>0</v>
      </c>
      <c r="BL213" s="98">
        <v>2</v>
      </c>
      <c r="BM213" s="98">
        <v>4</v>
      </c>
      <c r="BN213" s="98">
        <v>0</v>
      </c>
      <c r="BO213" s="98">
        <v>0</v>
      </c>
      <c r="BP213" s="98">
        <v>3</v>
      </c>
      <c r="BQ213" s="98">
        <v>1</v>
      </c>
      <c r="BR213" s="98">
        <v>0</v>
      </c>
      <c r="BS213" s="98">
        <v>0</v>
      </c>
      <c r="BT213" s="98">
        <v>0</v>
      </c>
      <c r="BU213" s="98">
        <v>3</v>
      </c>
      <c r="BV213" s="98">
        <v>1</v>
      </c>
      <c r="BW213" s="98">
        <v>1</v>
      </c>
      <c r="BX213" s="98">
        <v>3</v>
      </c>
      <c r="BY213" s="98">
        <v>3</v>
      </c>
      <c r="BZ213" s="98">
        <v>1</v>
      </c>
      <c r="CA213" s="98">
        <v>1</v>
      </c>
      <c r="CB213" s="98">
        <v>2</v>
      </c>
      <c r="CC213" s="98">
        <v>6</v>
      </c>
      <c r="CD213" s="98">
        <v>1</v>
      </c>
      <c r="CE213" s="98">
        <v>0</v>
      </c>
      <c r="CF213" s="98">
        <v>3</v>
      </c>
      <c r="CG213" s="98">
        <v>1</v>
      </c>
      <c r="CH213" s="98">
        <v>1</v>
      </c>
      <c r="CI213" s="98">
        <v>0</v>
      </c>
      <c r="CJ213" s="98">
        <v>1</v>
      </c>
      <c r="CK213" s="98">
        <v>0</v>
      </c>
      <c r="CL213" s="98">
        <v>0</v>
      </c>
      <c r="CM213" s="98">
        <v>1</v>
      </c>
      <c r="CN213" s="98">
        <v>1</v>
      </c>
      <c r="CO213" s="98">
        <v>0</v>
      </c>
      <c r="CP213" s="98">
        <v>1</v>
      </c>
      <c r="CQ213" s="98">
        <v>1</v>
      </c>
      <c r="CR213" s="98">
        <v>2</v>
      </c>
      <c r="CS213" s="98">
        <v>2</v>
      </c>
    </row>
    <row r="214" spans="2:97" x14ac:dyDescent="0.3">
      <c r="B214" s="83" t="s">
        <v>69</v>
      </c>
      <c r="C214" s="98">
        <v>2</v>
      </c>
      <c r="D214" s="98">
        <v>4</v>
      </c>
      <c r="E214" s="98">
        <v>3</v>
      </c>
      <c r="F214" s="98">
        <v>2</v>
      </c>
      <c r="G214" s="98">
        <v>2</v>
      </c>
      <c r="H214" s="98">
        <v>4</v>
      </c>
      <c r="I214" s="98">
        <v>3</v>
      </c>
      <c r="J214" s="98">
        <v>1</v>
      </c>
      <c r="K214" s="98">
        <v>1</v>
      </c>
      <c r="L214" s="98">
        <v>1</v>
      </c>
      <c r="M214" s="98">
        <v>1</v>
      </c>
      <c r="N214" s="98">
        <v>1</v>
      </c>
      <c r="O214" s="98">
        <v>4</v>
      </c>
      <c r="P214" s="98">
        <v>1</v>
      </c>
      <c r="Q214" s="98">
        <v>2</v>
      </c>
      <c r="R214" s="98">
        <v>2</v>
      </c>
      <c r="S214" s="98">
        <v>1</v>
      </c>
      <c r="T214" s="98">
        <v>2</v>
      </c>
      <c r="U214" s="98">
        <v>9</v>
      </c>
      <c r="V214" s="98">
        <v>2</v>
      </c>
      <c r="W214" s="98">
        <v>2</v>
      </c>
      <c r="X214" s="98">
        <v>5</v>
      </c>
      <c r="Y214" s="98">
        <v>2</v>
      </c>
      <c r="Z214" s="98">
        <v>1</v>
      </c>
      <c r="AA214" s="98">
        <v>2</v>
      </c>
      <c r="AB214" s="98">
        <v>4</v>
      </c>
      <c r="AC214" s="98">
        <v>2</v>
      </c>
      <c r="AD214" s="98">
        <v>2</v>
      </c>
      <c r="AE214" s="98">
        <v>2</v>
      </c>
      <c r="AF214" s="98">
        <v>3</v>
      </c>
      <c r="AG214" s="98">
        <v>1</v>
      </c>
      <c r="AH214" s="98">
        <v>2</v>
      </c>
      <c r="AI214" s="98">
        <v>4</v>
      </c>
      <c r="AJ214" s="98">
        <v>1</v>
      </c>
      <c r="AK214" s="98">
        <v>2</v>
      </c>
      <c r="AL214" s="98">
        <v>3</v>
      </c>
      <c r="AM214" s="98">
        <v>1</v>
      </c>
      <c r="AN214" s="98">
        <v>1</v>
      </c>
      <c r="AO214" s="98">
        <v>3</v>
      </c>
      <c r="AP214" s="98">
        <v>2</v>
      </c>
      <c r="AQ214" s="98">
        <v>1</v>
      </c>
      <c r="AR214" s="98">
        <v>1</v>
      </c>
      <c r="AS214" s="98">
        <v>1</v>
      </c>
      <c r="AT214" s="98">
        <v>1</v>
      </c>
      <c r="AU214" s="98">
        <v>3</v>
      </c>
      <c r="AV214" s="98">
        <v>2</v>
      </c>
      <c r="AW214" s="98">
        <v>8</v>
      </c>
      <c r="AX214" s="98">
        <v>1</v>
      </c>
      <c r="AY214" s="98">
        <v>1</v>
      </c>
      <c r="AZ214" s="98">
        <v>2</v>
      </c>
      <c r="BA214" s="98">
        <v>1</v>
      </c>
      <c r="BB214" s="98">
        <v>2</v>
      </c>
      <c r="BC214" s="98">
        <v>3</v>
      </c>
      <c r="BD214" s="98">
        <v>2</v>
      </c>
      <c r="BE214" s="98">
        <v>2</v>
      </c>
      <c r="BF214" s="98">
        <v>1</v>
      </c>
      <c r="BG214" s="98">
        <v>3</v>
      </c>
      <c r="BH214" s="98">
        <v>2</v>
      </c>
      <c r="BI214" s="98">
        <v>6</v>
      </c>
      <c r="BJ214" s="98">
        <v>3</v>
      </c>
      <c r="BK214" s="98">
        <v>1</v>
      </c>
      <c r="BL214" s="98">
        <v>3</v>
      </c>
      <c r="BM214" s="98">
        <v>5</v>
      </c>
      <c r="BN214" s="98">
        <v>1</v>
      </c>
      <c r="BO214" s="98">
        <v>1</v>
      </c>
      <c r="BP214" s="98">
        <v>4</v>
      </c>
      <c r="BQ214" s="98">
        <v>2</v>
      </c>
      <c r="BR214" s="98">
        <v>1</v>
      </c>
      <c r="BS214" s="98">
        <v>1</v>
      </c>
      <c r="BT214" s="98">
        <v>1</v>
      </c>
      <c r="BU214" s="98">
        <v>4</v>
      </c>
      <c r="BV214" s="98">
        <v>2</v>
      </c>
      <c r="BW214" s="98">
        <v>2</v>
      </c>
      <c r="BX214" s="98">
        <v>4</v>
      </c>
      <c r="BY214" s="98">
        <v>4</v>
      </c>
      <c r="BZ214" s="98">
        <v>2</v>
      </c>
      <c r="CA214" s="98">
        <v>2</v>
      </c>
      <c r="CB214" s="98">
        <v>3</v>
      </c>
      <c r="CC214" s="98">
        <v>7</v>
      </c>
      <c r="CD214" s="98">
        <v>2</v>
      </c>
      <c r="CE214" s="98">
        <v>1</v>
      </c>
      <c r="CF214" s="98">
        <v>4</v>
      </c>
      <c r="CG214" s="98">
        <v>2</v>
      </c>
      <c r="CH214" s="98">
        <v>2</v>
      </c>
      <c r="CI214" s="98">
        <v>1</v>
      </c>
      <c r="CJ214" s="98">
        <v>2</v>
      </c>
      <c r="CK214" s="98">
        <v>1</v>
      </c>
      <c r="CL214" s="98">
        <v>1</v>
      </c>
      <c r="CM214" s="98">
        <v>2</v>
      </c>
      <c r="CN214" s="98">
        <v>2</v>
      </c>
      <c r="CO214" s="98">
        <v>1</v>
      </c>
      <c r="CP214" s="98">
        <v>2</v>
      </c>
      <c r="CQ214" s="98">
        <v>2</v>
      </c>
      <c r="CR214" s="98">
        <v>3</v>
      </c>
      <c r="CS214" s="98">
        <v>3</v>
      </c>
    </row>
    <row r="215" spans="2:97" x14ac:dyDescent="0.3">
      <c r="B215" s="83" t="s">
        <v>70</v>
      </c>
      <c r="C215" s="98">
        <v>1</v>
      </c>
      <c r="D215" s="98">
        <v>3</v>
      </c>
      <c r="E215" s="98">
        <v>2</v>
      </c>
      <c r="F215" s="98">
        <v>1</v>
      </c>
      <c r="G215" s="98">
        <v>1</v>
      </c>
      <c r="H215" s="98">
        <v>3</v>
      </c>
      <c r="I215" s="98">
        <v>2</v>
      </c>
      <c r="J215" s="98">
        <v>0</v>
      </c>
      <c r="K215" s="98">
        <v>0</v>
      </c>
      <c r="L215" s="98">
        <v>1</v>
      </c>
      <c r="M215" s="98">
        <v>0</v>
      </c>
      <c r="N215" s="98">
        <v>0</v>
      </c>
      <c r="O215" s="98">
        <v>3</v>
      </c>
      <c r="P215" s="98">
        <v>0</v>
      </c>
      <c r="Q215" s="98">
        <v>1</v>
      </c>
      <c r="R215" s="98">
        <v>1</v>
      </c>
      <c r="S215" s="98">
        <v>0</v>
      </c>
      <c r="T215" s="98">
        <v>1</v>
      </c>
      <c r="U215" s="98">
        <v>8</v>
      </c>
      <c r="V215" s="98">
        <v>1</v>
      </c>
      <c r="W215" s="98">
        <v>1</v>
      </c>
      <c r="X215" s="98">
        <v>4</v>
      </c>
      <c r="Y215" s="98">
        <v>1</v>
      </c>
      <c r="Z215" s="98">
        <v>0</v>
      </c>
      <c r="AA215" s="98">
        <v>1</v>
      </c>
      <c r="AB215" s="98">
        <v>3</v>
      </c>
      <c r="AC215" s="98">
        <v>1</v>
      </c>
      <c r="AD215" s="98">
        <v>1</v>
      </c>
      <c r="AE215" s="98">
        <v>1</v>
      </c>
      <c r="AF215" s="98">
        <v>2</v>
      </c>
      <c r="AG215" s="98">
        <v>0</v>
      </c>
      <c r="AH215" s="98">
        <v>1</v>
      </c>
      <c r="AI215" s="98">
        <v>3</v>
      </c>
      <c r="AJ215" s="98">
        <v>0</v>
      </c>
      <c r="AK215" s="98">
        <v>1</v>
      </c>
      <c r="AL215" s="98">
        <v>2</v>
      </c>
      <c r="AM215" s="98">
        <v>0</v>
      </c>
      <c r="AN215" s="98">
        <v>0</v>
      </c>
      <c r="AO215" s="98">
        <v>2</v>
      </c>
      <c r="AP215" s="98">
        <v>1</v>
      </c>
      <c r="AQ215" s="98">
        <v>0</v>
      </c>
      <c r="AR215" s="98">
        <v>0</v>
      </c>
      <c r="AS215" s="98">
        <v>0</v>
      </c>
      <c r="AT215" s="98">
        <v>0</v>
      </c>
      <c r="AU215" s="98">
        <v>2</v>
      </c>
      <c r="AV215" s="98">
        <v>1</v>
      </c>
      <c r="AW215" s="98">
        <v>7</v>
      </c>
      <c r="AX215" s="98">
        <v>0</v>
      </c>
      <c r="AY215" s="98">
        <v>0</v>
      </c>
      <c r="AZ215" s="98">
        <v>1</v>
      </c>
      <c r="BA215" s="98">
        <v>0</v>
      </c>
      <c r="BB215" s="98">
        <v>1</v>
      </c>
      <c r="BC215" s="98">
        <v>2</v>
      </c>
      <c r="BD215" s="98">
        <v>1</v>
      </c>
      <c r="BE215" s="98">
        <v>1</v>
      </c>
      <c r="BF215" s="98">
        <v>0</v>
      </c>
      <c r="BG215" s="98">
        <v>2</v>
      </c>
      <c r="BH215" s="98">
        <v>1</v>
      </c>
      <c r="BI215" s="98">
        <v>5</v>
      </c>
      <c r="BJ215" s="98">
        <v>2</v>
      </c>
      <c r="BK215" s="98">
        <v>0</v>
      </c>
      <c r="BL215" s="98">
        <v>2</v>
      </c>
      <c r="BM215" s="98">
        <v>4</v>
      </c>
      <c r="BN215" s="98">
        <v>0</v>
      </c>
      <c r="BO215" s="98">
        <v>0</v>
      </c>
      <c r="BP215" s="98">
        <v>3</v>
      </c>
      <c r="BQ215" s="98">
        <v>1</v>
      </c>
      <c r="BR215" s="98">
        <v>0</v>
      </c>
      <c r="BS215" s="98">
        <v>0</v>
      </c>
      <c r="BT215" s="98">
        <v>0</v>
      </c>
      <c r="BU215" s="98">
        <v>3</v>
      </c>
      <c r="BV215" s="98">
        <v>1</v>
      </c>
      <c r="BW215" s="98">
        <v>1</v>
      </c>
      <c r="BX215" s="98">
        <v>3</v>
      </c>
      <c r="BY215" s="98">
        <v>3</v>
      </c>
      <c r="BZ215" s="98">
        <v>1</v>
      </c>
      <c r="CA215" s="98">
        <v>1</v>
      </c>
      <c r="CB215" s="98">
        <v>2</v>
      </c>
      <c r="CC215" s="98">
        <v>6</v>
      </c>
      <c r="CD215" s="98">
        <v>1</v>
      </c>
      <c r="CE215" s="98">
        <v>0</v>
      </c>
      <c r="CF215" s="98">
        <v>3</v>
      </c>
      <c r="CG215" s="98">
        <v>1</v>
      </c>
      <c r="CH215" s="98">
        <v>1</v>
      </c>
      <c r="CI215" s="98">
        <v>0</v>
      </c>
      <c r="CJ215" s="98">
        <v>1</v>
      </c>
      <c r="CK215" s="98">
        <v>0</v>
      </c>
      <c r="CL215" s="98">
        <v>0</v>
      </c>
      <c r="CM215" s="98">
        <v>1</v>
      </c>
      <c r="CN215" s="98">
        <v>1</v>
      </c>
      <c r="CO215" s="98">
        <v>0</v>
      </c>
      <c r="CP215" s="98">
        <v>1</v>
      </c>
      <c r="CQ215" s="98">
        <v>1</v>
      </c>
      <c r="CR215" s="98">
        <v>2</v>
      </c>
      <c r="CS215" s="98">
        <v>2</v>
      </c>
    </row>
    <row r="216" spans="2:97" x14ac:dyDescent="0.3">
      <c r="B216" s="83" t="s">
        <v>71</v>
      </c>
      <c r="C216" s="98">
        <v>1</v>
      </c>
      <c r="D216" s="98">
        <v>3</v>
      </c>
      <c r="E216" s="98">
        <v>2</v>
      </c>
      <c r="F216" s="98">
        <v>1</v>
      </c>
      <c r="G216" s="98">
        <v>1</v>
      </c>
      <c r="H216" s="98">
        <v>3</v>
      </c>
      <c r="I216" s="98">
        <v>2</v>
      </c>
      <c r="J216" s="98">
        <v>0</v>
      </c>
      <c r="K216" s="98">
        <v>0</v>
      </c>
      <c r="L216" s="98">
        <v>1</v>
      </c>
      <c r="M216" s="98">
        <v>0</v>
      </c>
      <c r="N216" s="98">
        <v>0</v>
      </c>
      <c r="O216" s="98">
        <v>3</v>
      </c>
      <c r="P216" s="98">
        <v>0</v>
      </c>
      <c r="Q216" s="98">
        <v>1</v>
      </c>
      <c r="R216" s="98">
        <v>1</v>
      </c>
      <c r="S216" s="98">
        <v>0</v>
      </c>
      <c r="T216" s="98">
        <v>1</v>
      </c>
      <c r="U216" s="98">
        <v>8</v>
      </c>
      <c r="V216" s="98">
        <v>1</v>
      </c>
      <c r="W216" s="98">
        <v>1</v>
      </c>
      <c r="X216" s="98">
        <v>4</v>
      </c>
      <c r="Y216" s="98">
        <v>1</v>
      </c>
      <c r="Z216" s="98">
        <v>0</v>
      </c>
      <c r="AA216" s="98">
        <v>1</v>
      </c>
      <c r="AB216" s="98">
        <v>3</v>
      </c>
      <c r="AC216" s="98">
        <v>1</v>
      </c>
      <c r="AD216" s="98">
        <v>1</v>
      </c>
      <c r="AE216" s="98">
        <v>1</v>
      </c>
      <c r="AF216" s="98">
        <v>2</v>
      </c>
      <c r="AG216" s="98">
        <v>0</v>
      </c>
      <c r="AH216" s="98">
        <v>1</v>
      </c>
      <c r="AI216" s="98">
        <v>3</v>
      </c>
      <c r="AJ216" s="98">
        <v>0</v>
      </c>
      <c r="AK216" s="98">
        <v>1</v>
      </c>
      <c r="AL216" s="98">
        <v>2</v>
      </c>
      <c r="AM216" s="98">
        <v>0</v>
      </c>
      <c r="AN216" s="98">
        <v>0</v>
      </c>
      <c r="AO216" s="98">
        <v>2</v>
      </c>
      <c r="AP216" s="98">
        <v>1</v>
      </c>
      <c r="AQ216" s="98">
        <v>0</v>
      </c>
      <c r="AR216" s="98">
        <v>0</v>
      </c>
      <c r="AS216" s="98">
        <v>0</v>
      </c>
      <c r="AT216" s="98">
        <v>0</v>
      </c>
      <c r="AU216" s="98">
        <v>2</v>
      </c>
      <c r="AV216" s="98">
        <v>1</v>
      </c>
      <c r="AW216" s="98">
        <v>7</v>
      </c>
      <c r="AX216" s="98">
        <v>0</v>
      </c>
      <c r="AY216" s="98">
        <v>0</v>
      </c>
      <c r="AZ216" s="98">
        <v>1</v>
      </c>
      <c r="BA216" s="98">
        <v>0</v>
      </c>
      <c r="BB216" s="98">
        <v>1</v>
      </c>
      <c r="BC216" s="98">
        <v>2</v>
      </c>
      <c r="BD216" s="98">
        <v>1</v>
      </c>
      <c r="BE216" s="98">
        <v>1</v>
      </c>
      <c r="BF216" s="98">
        <v>0</v>
      </c>
      <c r="BG216" s="98">
        <v>2</v>
      </c>
      <c r="BH216" s="98">
        <v>1</v>
      </c>
      <c r="BI216" s="98">
        <v>5</v>
      </c>
      <c r="BJ216" s="98">
        <v>2</v>
      </c>
      <c r="BK216" s="98">
        <v>0</v>
      </c>
      <c r="BL216" s="98">
        <v>2</v>
      </c>
      <c r="BM216" s="98">
        <v>4</v>
      </c>
      <c r="BN216" s="98">
        <v>0</v>
      </c>
      <c r="BO216" s="98">
        <v>0</v>
      </c>
      <c r="BP216" s="98">
        <v>3</v>
      </c>
      <c r="BQ216" s="98">
        <v>1</v>
      </c>
      <c r="BR216" s="98">
        <v>0</v>
      </c>
      <c r="BS216" s="98">
        <v>0</v>
      </c>
      <c r="BT216" s="98">
        <v>0</v>
      </c>
      <c r="BU216" s="98">
        <v>3</v>
      </c>
      <c r="BV216" s="98">
        <v>1</v>
      </c>
      <c r="BW216" s="98">
        <v>1</v>
      </c>
      <c r="BX216" s="98">
        <v>3</v>
      </c>
      <c r="BY216" s="98">
        <v>3</v>
      </c>
      <c r="BZ216" s="98">
        <v>1</v>
      </c>
      <c r="CA216" s="98">
        <v>1</v>
      </c>
      <c r="CB216" s="98">
        <v>2</v>
      </c>
      <c r="CC216" s="98">
        <v>6</v>
      </c>
      <c r="CD216" s="98">
        <v>1</v>
      </c>
      <c r="CE216" s="98">
        <v>0</v>
      </c>
      <c r="CF216" s="98">
        <v>3</v>
      </c>
      <c r="CG216" s="98">
        <v>1</v>
      </c>
      <c r="CH216" s="98">
        <v>1</v>
      </c>
      <c r="CI216" s="98">
        <v>0</v>
      </c>
      <c r="CJ216" s="98">
        <v>1</v>
      </c>
      <c r="CK216" s="98">
        <v>0</v>
      </c>
      <c r="CL216" s="98">
        <v>0</v>
      </c>
      <c r="CM216" s="98">
        <v>1</v>
      </c>
      <c r="CN216" s="98">
        <v>1</v>
      </c>
      <c r="CO216" s="98">
        <v>0</v>
      </c>
      <c r="CP216" s="98">
        <v>1</v>
      </c>
      <c r="CQ216" s="98">
        <v>1</v>
      </c>
      <c r="CR216" s="98">
        <v>2</v>
      </c>
      <c r="CS216" s="98">
        <v>2</v>
      </c>
    </row>
    <row r="217" spans="2:97" x14ac:dyDescent="0.3">
      <c r="B217" s="83" t="s">
        <v>72</v>
      </c>
      <c r="C217" s="98">
        <v>4</v>
      </c>
      <c r="D217" s="98">
        <v>6</v>
      </c>
      <c r="E217" s="98">
        <v>5</v>
      </c>
      <c r="F217" s="98">
        <v>4</v>
      </c>
      <c r="G217" s="98">
        <v>4</v>
      </c>
      <c r="H217" s="98">
        <v>6</v>
      </c>
      <c r="I217" s="98">
        <v>5</v>
      </c>
      <c r="J217" s="98">
        <v>3</v>
      </c>
      <c r="K217" s="98">
        <v>3</v>
      </c>
      <c r="L217" s="98">
        <v>4</v>
      </c>
      <c r="M217" s="98">
        <v>3</v>
      </c>
      <c r="N217" s="98">
        <v>3</v>
      </c>
      <c r="O217" s="98">
        <v>3</v>
      </c>
      <c r="P217" s="98">
        <v>3</v>
      </c>
      <c r="Q217" s="98">
        <v>4</v>
      </c>
      <c r="R217" s="98">
        <v>4</v>
      </c>
      <c r="S217" s="98">
        <v>3</v>
      </c>
      <c r="T217" s="98">
        <v>4</v>
      </c>
      <c r="U217" s="98">
        <v>11</v>
      </c>
      <c r="V217" s="98">
        <v>4</v>
      </c>
      <c r="W217" s="98">
        <v>4</v>
      </c>
      <c r="X217" s="98">
        <v>7</v>
      </c>
      <c r="Y217" s="98">
        <v>4</v>
      </c>
      <c r="Z217" s="98">
        <v>3</v>
      </c>
      <c r="AA217" s="98">
        <v>4</v>
      </c>
      <c r="AB217" s="98">
        <v>6</v>
      </c>
      <c r="AC217" s="98">
        <v>4</v>
      </c>
      <c r="AD217" s="98">
        <v>4</v>
      </c>
      <c r="AE217" s="98">
        <v>4</v>
      </c>
      <c r="AF217" s="98">
        <v>5</v>
      </c>
      <c r="AG217" s="98">
        <v>3</v>
      </c>
      <c r="AH217" s="98">
        <v>4</v>
      </c>
      <c r="AI217" s="98">
        <v>6</v>
      </c>
      <c r="AJ217" s="98">
        <v>3</v>
      </c>
      <c r="AK217" s="98">
        <v>4</v>
      </c>
      <c r="AL217" s="98">
        <v>5</v>
      </c>
      <c r="AM217" s="98">
        <v>3</v>
      </c>
      <c r="AN217" s="98">
        <v>3</v>
      </c>
      <c r="AO217" s="98">
        <v>5</v>
      </c>
      <c r="AP217" s="98">
        <v>4</v>
      </c>
      <c r="AQ217" s="98">
        <v>3</v>
      </c>
      <c r="AR217" s="98">
        <v>3</v>
      </c>
      <c r="AS217" s="98">
        <v>3</v>
      </c>
      <c r="AT217" s="98">
        <v>3</v>
      </c>
      <c r="AU217" s="98">
        <v>5</v>
      </c>
      <c r="AV217" s="98">
        <v>4</v>
      </c>
      <c r="AW217" s="98">
        <v>10</v>
      </c>
      <c r="AX217" s="98">
        <v>3</v>
      </c>
      <c r="AY217" s="98">
        <v>3</v>
      </c>
      <c r="AZ217" s="98">
        <v>4</v>
      </c>
      <c r="BA217" s="98">
        <v>3</v>
      </c>
      <c r="BB217" s="98">
        <v>4</v>
      </c>
      <c r="BC217" s="98">
        <v>5</v>
      </c>
      <c r="BD217" s="98">
        <v>4</v>
      </c>
      <c r="BE217" s="98">
        <v>4</v>
      </c>
      <c r="BF217" s="98">
        <v>3</v>
      </c>
      <c r="BG217" s="98">
        <v>5</v>
      </c>
      <c r="BH217" s="98">
        <v>4</v>
      </c>
      <c r="BI217" s="98">
        <v>8</v>
      </c>
      <c r="BJ217" s="98">
        <v>5</v>
      </c>
      <c r="BK217" s="98">
        <v>3</v>
      </c>
      <c r="BL217" s="98">
        <v>5</v>
      </c>
      <c r="BM217" s="98">
        <v>7</v>
      </c>
      <c r="BN217" s="98">
        <v>3</v>
      </c>
      <c r="BO217" s="98">
        <v>3</v>
      </c>
      <c r="BP217" s="98">
        <v>6</v>
      </c>
      <c r="BQ217" s="98">
        <v>4</v>
      </c>
      <c r="BR217" s="98">
        <v>3</v>
      </c>
      <c r="BS217" s="98">
        <v>3</v>
      </c>
      <c r="BT217" s="98">
        <v>3</v>
      </c>
      <c r="BU217" s="98">
        <v>6</v>
      </c>
      <c r="BV217" s="98">
        <v>4</v>
      </c>
      <c r="BW217" s="98">
        <v>4</v>
      </c>
      <c r="BX217" s="98">
        <v>6</v>
      </c>
      <c r="BY217" s="98">
        <v>6</v>
      </c>
      <c r="BZ217" s="98">
        <v>4</v>
      </c>
      <c r="CA217" s="98">
        <v>4</v>
      </c>
      <c r="CB217" s="98">
        <v>5</v>
      </c>
      <c r="CC217" s="98">
        <v>9</v>
      </c>
      <c r="CD217" s="98">
        <v>4</v>
      </c>
      <c r="CE217" s="98">
        <v>3</v>
      </c>
      <c r="CF217" s="98">
        <v>6</v>
      </c>
      <c r="CG217" s="98">
        <v>4</v>
      </c>
      <c r="CH217" s="98">
        <v>4</v>
      </c>
      <c r="CI217" s="98">
        <v>3</v>
      </c>
      <c r="CJ217" s="98">
        <v>4</v>
      </c>
      <c r="CK217" s="98">
        <v>3</v>
      </c>
      <c r="CL217" s="98">
        <v>3</v>
      </c>
      <c r="CM217" s="98">
        <v>4</v>
      </c>
      <c r="CN217" s="98">
        <v>4</v>
      </c>
      <c r="CO217" s="98">
        <v>3</v>
      </c>
      <c r="CP217" s="98">
        <v>4</v>
      </c>
      <c r="CQ217" s="98">
        <v>4</v>
      </c>
      <c r="CR217" s="98">
        <v>5</v>
      </c>
      <c r="CS217" s="98">
        <v>5</v>
      </c>
    </row>
    <row r="218" spans="2:97" x14ac:dyDescent="0.3">
      <c r="B218" s="83" t="s">
        <v>73</v>
      </c>
      <c r="C218" s="98">
        <v>1</v>
      </c>
      <c r="D218" s="98">
        <v>3</v>
      </c>
      <c r="E218" s="98">
        <v>2</v>
      </c>
      <c r="F218" s="98">
        <v>1</v>
      </c>
      <c r="G218" s="98">
        <v>1</v>
      </c>
      <c r="H218" s="98">
        <v>3</v>
      </c>
      <c r="I218" s="98">
        <v>2</v>
      </c>
      <c r="J218" s="98">
        <v>0</v>
      </c>
      <c r="K218" s="98">
        <v>0</v>
      </c>
      <c r="L218" s="98">
        <v>1</v>
      </c>
      <c r="M218" s="98">
        <v>0</v>
      </c>
      <c r="N218" s="98">
        <v>0</v>
      </c>
      <c r="O218" s="98">
        <v>3</v>
      </c>
      <c r="P218" s="98">
        <v>0</v>
      </c>
      <c r="Q218" s="98">
        <v>1</v>
      </c>
      <c r="R218" s="98">
        <v>1</v>
      </c>
      <c r="S218" s="98">
        <v>0</v>
      </c>
      <c r="T218" s="98">
        <v>1</v>
      </c>
      <c r="U218" s="98">
        <v>8</v>
      </c>
      <c r="V218" s="98">
        <v>1</v>
      </c>
      <c r="W218" s="98">
        <v>1</v>
      </c>
      <c r="X218" s="98">
        <v>4</v>
      </c>
      <c r="Y218" s="98">
        <v>1</v>
      </c>
      <c r="Z218" s="98">
        <v>0</v>
      </c>
      <c r="AA218" s="98">
        <v>1</v>
      </c>
      <c r="AB218" s="98">
        <v>3</v>
      </c>
      <c r="AC218" s="98">
        <v>1</v>
      </c>
      <c r="AD218" s="98">
        <v>1</v>
      </c>
      <c r="AE218" s="98">
        <v>1</v>
      </c>
      <c r="AF218" s="98">
        <v>2</v>
      </c>
      <c r="AG218" s="98">
        <v>0</v>
      </c>
      <c r="AH218" s="98">
        <v>1</v>
      </c>
      <c r="AI218" s="98">
        <v>3</v>
      </c>
      <c r="AJ218" s="98">
        <v>0</v>
      </c>
      <c r="AK218" s="98">
        <v>1</v>
      </c>
      <c r="AL218" s="98">
        <v>2</v>
      </c>
      <c r="AM218" s="98">
        <v>0</v>
      </c>
      <c r="AN218" s="98">
        <v>0</v>
      </c>
      <c r="AO218" s="98">
        <v>2</v>
      </c>
      <c r="AP218" s="98">
        <v>1</v>
      </c>
      <c r="AQ218" s="98">
        <v>0</v>
      </c>
      <c r="AR218" s="98">
        <v>0</v>
      </c>
      <c r="AS218" s="98">
        <v>0</v>
      </c>
      <c r="AT218" s="98">
        <v>0</v>
      </c>
      <c r="AU218" s="98">
        <v>2</v>
      </c>
      <c r="AV218" s="98">
        <v>1</v>
      </c>
      <c r="AW218" s="98">
        <v>7</v>
      </c>
      <c r="AX218" s="98">
        <v>0</v>
      </c>
      <c r="AY218" s="98">
        <v>0</v>
      </c>
      <c r="AZ218" s="98">
        <v>1</v>
      </c>
      <c r="BA218" s="98">
        <v>0</v>
      </c>
      <c r="BB218" s="98">
        <v>1</v>
      </c>
      <c r="BC218" s="98">
        <v>2</v>
      </c>
      <c r="BD218" s="98">
        <v>1</v>
      </c>
      <c r="BE218" s="98">
        <v>1</v>
      </c>
      <c r="BF218" s="98">
        <v>0</v>
      </c>
      <c r="BG218" s="98">
        <v>2</v>
      </c>
      <c r="BH218" s="98">
        <v>1</v>
      </c>
      <c r="BI218" s="98">
        <v>5</v>
      </c>
      <c r="BJ218" s="98">
        <v>2</v>
      </c>
      <c r="BK218" s="98">
        <v>0</v>
      </c>
      <c r="BL218" s="98">
        <v>2</v>
      </c>
      <c r="BM218" s="98">
        <v>4</v>
      </c>
      <c r="BN218" s="98">
        <v>0</v>
      </c>
      <c r="BO218" s="98">
        <v>0</v>
      </c>
      <c r="BP218" s="98">
        <v>3</v>
      </c>
      <c r="BQ218" s="98">
        <v>1</v>
      </c>
      <c r="BR218" s="98">
        <v>0</v>
      </c>
      <c r="BS218" s="98">
        <v>0</v>
      </c>
      <c r="BT218" s="98">
        <v>0</v>
      </c>
      <c r="BU218" s="98">
        <v>3</v>
      </c>
      <c r="BV218" s="98">
        <v>1</v>
      </c>
      <c r="BW218" s="98">
        <v>1</v>
      </c>
      <c r="BX218" s="98">
        <v>3</v>
      </c>
      <c r="BY218" s="98">
        <v>3</v>
      </c>
      <c r="BZ218" s="98">
        <v>1</v>
      </c>
      <c r="CA218" s="98">
        <v>1</v>
      </c>
      <c r="CB218" s="98">
        <v>2</v>
      </c>
      <c r="CC218" s="98">
        <v>6</v>
      </c>
      <c r="CD218" s="98">
        <v>1</v>
      </c>
      <c r="CE218" s="98">
        <v>0</v>
      </c>
      <c r="CF218" s="98">
        <v>3</v>
      </c>
      <c r="CG218" s="98">
        <v>1</v>
      </c>
      <c r="CH218" s="98">
        <v>1</v>
      </c>
      <c r="CI218" s="98">
        <v>0</v>
      </c>
      <c r="CJ218" s="98">
        <v>1</v>
      </c>
      <c r="CK218" s="98">
        <v>0</v>
      </c>
      <c r="CL218" s="98">
        <v>0</v>
      </c>
      <c r="CM218" s="98">
        <v>1</v>
      </c>
      <c r="CN218" s="98">
        <v>1</v>
      </c>
      <c r="CO218" s="98">
        <v>0</v>
      </c>
      <c r="CP218" s="98">
        <v>1</v>
      </c>
      <c r="CQ218" s="98">
        <v>1</v>
      </c>
      <c r="CR218" s="98">
        <v>2</v>
      </c>
      <c r="CS218" s="98">
        <v>2</v>
      </c>
    </row>
    <row r="219" spans="2:97" x14ac:dyDescent="0.3">
      <c r="B219" s="83" t="s">
        <v>74</v>
      </c>
      <c r="C219" s="98">
        <v>2</v>
      </c>
      <c r="D219" s="98">
        <v>4</v>
      </c>
      <c r="E219" s="98">
        <v>3</v>
      </c>
      <c r="F219" s="98">
        <v>2</v>
      </c>
      <c r="G219" s="98">
        <v>2</v>
      </c>
      <c r="H219" s="98">
        <v>4</v>
      </c>
      <c r="I219" s="98">
        <v>3</v>
      </c>
      <c r="J219" s="98">
        <v>1</v>
      </c>
      <c r="K219" s="98">
        <v>1</v>
      </c>
      <c r="L219" s="98">
        <v>2</v>
      </c>
      <c r="M219" s="98">
        <v>1</v>
      </c>
      <c r="N219" s="98">
        <v>1</v>
      </c>
      <c r="O219" s="98">
        <v>4</v>
      </c>
      <c r="P219" s="98">
        <v>1</v>
      </c>
      <c r="Q219" s="98">
        <v>1</v>
      </c>
      <c r="R219" s="98">
        <v>2</v>
      </c>
      <c r="S219" s="98">
        <v>1</v>
      </c>
      <c r="T219" s="98">
        <v>2</v>
      </c>
      <c r="U219" s="98">
        <v>9</v>
      </c>
      <c r="V219" s="98">
        <v>2</v>
      </c>
      <c r="W219" s="98">
        <v>2</v>
      </c>
      <c r="X219" s="98">
        <v>5</v>
      </c>
      <c r="Y219" s="98">
        <v>2</v>
      </c>
      <c r="Z219" s="98">
        <v>1</v>
      </c>
      <c r="AA219" s="98">
        <v>2</v>
      </c>
      <c r="AB219" s="98">
        <v>4</v>
      </c>
      <c r="AC219" s="98">
        <v>2</v>
      </c>
      <c r="AD219" s="98">
        <v>2</v>
      </c>
      <c r="AE219" s="98">
        <v>2</v>
      </c>
      <c r="AF219" s="98">
        <v>3</v>
      </c>
      <c r="AG219" s="98">
        <v>1</v>
      </c>
      <c r="AH219" s="98">
        <v>2</v>
      </c>
      <c r="AI219" s="98">
        <v>4</v>
      </c>
      <c r="AJ219" s="98">
        <v>1</v>
      </c>
      <c r="AK219" s="98">
        <v>2</v>
      </c>
      <c r="AL219" s="98">
        <v>3</v>
      </c>
      <c r="AM219" s="98">
        <v>1</v>
      </c>
      <c r="AN219" s="98">
        <v>1</v>
      </c>
      <c r="AO219" s="98">
        <v>3</v>
      </c>
      <c r="AP219" s="98">
        <v>2</v>
      </c>
      <c r="AQ219" s="98">
        <v>1</v>
      </c>
      <c r="AR219" s="98">
        <v>1</v>
      </c>
      <c r="AS219" s="98">
        <v>1</v>
      </c>
      <c r="AT219" s="98">
        <v>1</v>
      </c>
      <c r="AU219" s="98">
        <v>3</v>
      </c>
      <c r="AV219" s="98">
        <v>2</v>
      </c>
      <c r="AW219" s="98">
        <v>8</v>
      </c>
      <c r="AX219" s="98">
        <v>1</v>
      </c>
      <c r="AY219" s="98">
        <v>1</v>
      </c>
      <c r="AZ219" s="98">
        <v>2</v>
      </c>
      <c r="BA219" s="98">
        <v>1</v>
      </c>
      <c r="BB219" s="98">
        <v>2</v>
      </c>
      <c r="BC219" s="98">
        <v>3</v>
      </c>
      <c r="BD219" s="98">
        <v>2</v>
      </c>
      <c r="BE219" s="98">
        <v>2</v>
      </c>
      <c r="BF219" s="98">
        <v>1</v>
      </c>
      <c r="BG219" s="98">
        <v>3</v>
      </c>
      <c r="BH219" s="98">
        <v>2</v>
      </c>
      <c r="BI219" s="98">
        <v>6</v>
      </c>
      <c r="BJ219" s="98">
        <v>3</v>
      </c>
      <c r="BK219" s="98">
        <v>1</v>
      </c>
      <c r="BL219" s="98">
        <v>3</v>
      </c>
      <c r="BM219" s="98">
        <v>5</v>
      </c>
      <c r="BN219" s="98">
        <v>1</v>
      </c>
      <c r="BO219" s="98">
        <v>1</v>
      </c>
      <c r="BP219" s="98">
        <v>4</v>
      </c>
      <c r="BQ219" s="98">
        <v>2</v>
      </c>
      <c r="BR219" s="98">
        <v>1</v>
      </c>
      <c r="BS219" s="98">
        <v>1</v>
      </c>
      <c r="BT219" s="98">
        <v>1</v>
      </c>
      <c r="BU219" s="98">
        <v>4</v>
      </c>
      <c r="BV219" s="98">
        <v>2</v>
      </c>
      <c r="BW219" s="98">
        <v>2</v>
      </c>
      <c r="BX219" s="98">
        <v>4</v>
      </c>
      <c r="BY219" s="98">
        <v>4</v>
      </c>
      <c r="BZ219" s="98">
        <v>2</v>
      </c>
      <c r="CA219" s="98">
        <v>2</v>
      </c>
      <c r="CB219" s="98">
        <v>3</v>
      </c>
      <c r="CC219" s="98">
        <v>7</v>
      </c>
      <c r="CD219" s="98">
        <v>2</v>
      </c>
      <c r="CE219" s="98">
        <v>1</v>
      </c>
      <c r="CF219" s="98">
        <v>4</v>
      </c>
      <c r="CG219" s="98">
        <v>2</v>
      </c>
      <c r="CH219" s="98">
        <v>2</v>
      </c>
      <c r="CI219" s="98">
        <v>1</v>
      </c>
      <c r="CJ219" s="98">
        <v>2</v>
      </c>
      <c r="CK219" s="98">
        <v>1</v>
      </c>
      <c r="CL219" s="98">
        <v>1</v>
      </c>
      <c r="CM219" s="98">
        <v>2</v>
      </c>
      <c r="CN219" s="98">
        <v>2</v>
      </c>
      <c r="CO219" s="98">
        <v>1</v>
      </c>
      <c r="CP219" s="98">
        <v>2</v>
      </c>
      <c r="CQ219" s="98">
        <v>2</v>
      </c>
      <c r="CR219" s="98">
        <v>3</v>
      </c>
      <c r="CS219" s="98">
        <v>3</v>
      </c>
    </row>
    <row r="220" spans="2:97" x14ac:dyDescent="0.3">
      <c r="B220" s="83" t="s">
        <v>75</v>
      </c>
      <c r="C220" s="98">
        <v>2</v>
      </c>
      <c r="D220" s="98">
        <v>4</v>
      </c>
      <c r="E220" s="98">
        <v>3</v>
      </c>
      <c r="F220" s="98">
        <v>2</v>
      </c>
      <c r="G220" s="98">
        <v>2</v>
      </c>
      <c r="H220" s="98">
        <v>4</v>
      </c>
      <c r="I220" s="98">
        <v>3</v>
      </c>
      <c r="J220" s="98">
        <v>1</v>
      </c>
      <c r="K220" s="98">
        <v>1</v>
      </c>
      <c r="L220" s="98">
        <v>2</v>
      </c>
      <c r="M220" s="98">
        <v>1</v>
      </c>
      <c r="N220" s="98">
        <v>1</v>
      </c>
      <c r="O220" s="98">
        <v>4</v>
      </c>
      <c r="P220" s="98">
        <v>1</v>
      </c>
      <c r="Q220" s="98">
        <v>2</v>
      </c>
      <c r="R220" s="98">
        <v>1</v>
      </c>
      <c r="S220" s="98">
        <v>1</v>
      </c>
      <c r="T220" s="98">
        <v>2</v>
      </c>
      <c r="U220" s="98">
        <v>9</v>
      </c>
      <c r="V220" s="98">
        <v>2</v>
      </c>
      <c r="W220" s="98">
        <v>2</v>
      </c>
      <c r="X220" s="98">
        <v>5</v>
      </c>
      <c r="Y220" s="98">
        <v>2</v>
      </c>
      <c r="Z220" s="98">
        <v>1</v>
      </c>
      <c r="AA220" s="98">
        <v>2</v>
      </c>
      <c r="AB220" s="98">
        <v>4</v>
      </c>
      <c r="AC220" s="98">
        <v>2</v>
      </c>
      <c r="AD220" s="98">
        <v>2</v>
      </c>
      <c r="AE220" s="98">
        <v>2</v>
      </c>
      <c r="AF220" s="98">
        <v>3</v>
      </c>
      <c r="AG220" s="98">
        <v>1</v>
      </c>
      <c r="AH220" s="98">
        <v>2</v>
      </c>
      <c r="AI220" s="98">
        <v>4</v>
      </c>
      <c r="AJ220" s="98">
        <v>1</v>
      </c>
      <c r="AK220" s="98">
        <v>2</v>
      </c>
      <c r="AL220" s="98">
        <v>3</v>
      </c>
      <c r="AM220" s="98">
        <v>1</v>
      </c>
      <c r="AN220" s="98">
        <v>1</v>
      </c>
      <c r="AO220" s="98">
        <v>3</v>
      </c>
      <c r="AP220" s="98">
        <v>2</v>
      </c>
      <c r="AQ220" s="98">
        <v>1</v>
      </c>
      <c r="AR220" s="98">
        <v>1</v>
      </c>
      <c r="AS220" s="98">
        <v>1</v>
      </c>
      <c r="AT220" s="98">
        <v>1</v>
      </c>
      <c r="AU220" s="98">
        <v>3</v>
      </c>
      <c r="AV220" s="98">
        <v>2</v>
      </c>
      <c r="AW220" s="98">
        <v>8</v>
      </c>
      <c r="AX220" s="98">
        <v>1</v>
      </c>
      <c r="AY220" s="98">
        <v>1</v>
      </c>
      <c r="AZ220" s="98">
        <v>2</v>
      </c>
      <c r="BA220" s="98">
        <v>1</v>
      </c>
      <c r="BB220" s="98">
        <v>2</v>
      </c>
      <c r="BC220" s="98">
        <v>3</v>
      </c>
      <c r="BD220" s="98">
        <v>2</v>
      </c>
      <c r="BE220" s="98">
        <v>2</v>
      </c>
      <c r="BF220" s="98">
        <v>1</v>
      </c>
      <c r="BG220" s="98">
        <v>3</v>
      </c>
      <c r="BH220" s="98">
        <v>2</v>
      </c>
      <c r="BI220" s="98">
        <v>6</v>
      </c>
      <c r="BJ220" s="98">
        <v>3</v>
      </c>
      <c r="BK220" s="98">
        <v>1</v>
      </c>
      <c r="BL220" s="98">
        <v>3</v>
      </c>
      <c r="BM220" s="98">
        <v>5</v>
      </c>
      <c r="BN220" s="98">
        <v>1</v>
      </c>
      <c r="BO220" s="98">
        <v>1</v>
      </c>
      <c r="BP220" s="98">
        <v>4</v>
      </c>
      <c r="BQ220" s="98">
        <v>2</v>
      </c>
      <c r="BR220" s="98">
        <v>1</v>
      </c>
      <c r="BS220" s="98">
        <v>1</v>
      </c>
      <c r="BT220" s="98">
        <v>1</v>
      </c>
      <c r="BU220" s="98">
        <v>4</v>
      </c>
      <c r="BV220" s="98">
        <v>2</v>
      </c>
      <c r="BW220" s="98">
        <v>2</v>
      </c>
      <c r="BX220" s="98">
        <v>4</v>
      </c>
      <c r="BY220" s="98">
        <v>4</v>
      </c>
      <c r="BZ220" s="98">
        <v>2</v>
      </c>
      <c r="CA220" s="98">
        <v>2</v>
      </c>
      <c r="CB220" s="98">
        <v>3</v>
      </c>
      <c r="CC220" s="98">
        <v>7</v>
      </c>
      <c r="CD220" s="98">
        <v>2</v>
      </c>
      <c r="CE220" s="98">
        <v>1</v>
      </c>
      <c r="CF220" s="98">
        <v>4</v>
      </c>
      <c r="CG220" s="98">
        <v>2</v>
      </c>
      <c r="CH220" s="98">
        <v>2</v>
      </c>
      <c r="CI220" s="98">
        <v>1</v>
      </c>
      <c r="CJ220" s="98">
        <v>2</v>
      </c>
      <c r="CK220" s="98">
        <v>1</v>
      </c>
      <c r="CL220" s="98">
        <v>1</v>
      </c>
      <c r="CM220" s="98">
        <v>2</v>
      </c>
      <c r="CN220" s="98">
        <v>2</v>
      </c>
      <c r="CO220" s="98">
        <v>1</v>
      </c>
      <c r="CP220" s="98">
        <v>2</v>
      </c>
      <c r="CQ220" s="98">
        <v>2</v>
      </c>
      <c r="CR220" s="98">
        <v>3</v>
      </c>
      <c r="CS220" s="98">
        <v>3</v>
      </c>
    </row>
    <row r="221" spans="2:97" x14ac:dyDescent="0.3">
      <c r="B221" s="83" t="s">
        <v>76</v>
      </c>
      <c r="C221" s="98">
        <v>1</v>
      </c>
      <c r="D221" s="98">
        <v>3</v>
      </c>
      <c r="E221" s="98">
        <v>2</v>
      </c>
      <c r="F221" s="98">
        <v>1</v>
      </c>
      <c r="G221" s="98">
        <v>1</v>
      </c>
      <c r="H221" s="98">
        <v>3</v>
      </c>
      <c r="I221" s="98">
        <v>2</v>
      </c>
      <c r="J221" s="98">
        <v>0</v>
      </c>
      <c r="K221" s="98">
        <v>0</v>
      </c>
      <c r="L221" s="98">
        <v>1</v>
      </c>
      <c r="M221" s="98">
        <v>0</v>
      </c>
      <c r="N221" s="98">
        <v>0</v>
      </c>
      <c r="O221" s="98">
        <v>3</v>
      </c>
      <c r="P221" s="98">
        <v>0</v>
      </c>
      <c r="Q221" s="98">
        <v>1</v>
      </c>
      <c r="R221" s="98">
        <v>1</v>
      </c>
      <c r="S221" s="98">
        <v>0</v>
      </c>
      <c r="T221" s="98">
        <v>1</v>
      </c>
      <c r="U221" s="98">
        <v>8</v>
      </c>
      <c r="V221" s="98">
        <v>1</v>
      </c>
      <c r="W221" s="98">
        <v>1</v>
      </c>
      <c r="X221" s="98">
        <v>4</v>
      </c>
      <c r="Y221" s="98">
        <v>1</v>
      </c>
      <c r="Z221" s="98">
        <v>0</v>
      </c>
      <c r="AA221" s="98">
        <v>1</v>
      </c>
      <c r="AB221" s="98">
        <v>3</v>
      </c>
      <c r="AC221" s="98">
        <v>1</v>
      </c>
      <c r="AD221" s="98">
        <v>1</v>
      </c>
      <c r="AE221" s="98">
        <v>1</v>
      </c>
      <c r="AF221" s="98">
        <v>2</v>
      </c>
      <c r="AG221" s="98">
        <v>0</v>
      </c>
      <c r="AH221" s="98">
        <v>1</v>
      </c>
      <c r="AI221" s="98">
        <v>3</v>
      </c>
      <c r="AJ221" s="98">
        <v>0</v>
      </c>
      <c r="AK221" s="98">
        <v>1</v>
      </c>
      <c r="AL221" s="98">
        <v>2</v>
      </c>
      <c r="AM221" s="98">
        <v>0</v>
      </c>
      <c r="AN221" s="98">
        <v>0</v>
      </c>
      <c r="AO221" s="98">
        <v>2</v>
      </c>
      <c r="AP221" s="98">
        <v>1</v>
      </c>
      <c r="AQ221" s="98">
        <v>0</v>
      </c>
      <c r="AR221" s="98">
        <v>0</v>
      </c>
      <c r="AS221" s="98">
        <v>0</v>
      </c>
      <c r="AT221" s="98">
        <v>0</v>
      </c>
      <c r="AU221" s="98">
        <v>2</v>
      </c>
      <c r="AV221" s="98">
        <v>1</v>
      </c>
      <c r="AW221" s="98">
        <v>7</v>
      </c>
      <c r="AX221" s="98">
        <v>0</v>
      </c>
      <c r="AY221" s="98">
        <v>0</v>
      </c>
      <c r="AZ221" s="98">
        <v>1</v>
      </c>
      <c r="BA221" s="98">
        <v>0</v>
      </c>
      <c r="BB221" s="98">
        <v>1</v>
      </c>
      <c r="BC221" s="98">
        <v>2</v>
      </c>
      <c r="BD221" s="98">
        <v>1</v>
      </c>
      <c r="BE221" s="98">
        <v>1</v>
      </c>
      <c r="BF221" s="98">
        <v>0</v>
      </c>
      <c r="BG221" s="98">
        <v>2</v>
      </c>
      <c r="BH221" s="98">
        <v>1</v>
      </c>
      <c r="BI221" s="98">
        <v>5</v>
      </c>
      <c r="BJ221" s="98">
        <v>2</v>
      </c>
      <c r="BK221" s="98">
        <v>0</v>
      </c>
      <c r="BL221" s="98">
        <v>2</v>
      </c>
      <c r="BM221" s="98">
        <v>4</v>
      </c>
      <c r="BN221" s="98">
        <v>0</v>
      </c>
      <c r="BO221" s="98">
        <v>0</v>
      </c>
      <c r="BP221" s="98">
        <v>3</v>
      </c>
      <c r="BQ221" s="98">
        <v>1</v>
      </c>
      <c r="BR221" s="98">
        <v>0</v>
      </c>
      <c r="BS221" s="98">
        <v>0</v>
      </c>
      <c r="BT221" s="98">
        <v>0</v>
      </c>
      <c r="BU221" s="98">
        <v>3</v>
      </c>
      <c r="BV221" s="98">
        <v>1</v>
      </c>
      <c r="BW221" s="98">
        <v>1</v>
      </c>
      <c r="BX221" s="98">
        <v>3</v>
      </c>
      <c r="BY221" s="98">
        <v>3</v>
      </c>
      <c r="BZ221" s="98">
        <v>1</v>
      </c>
      <c r="CA221" s="98">
        <v>1</v>
      </c>
      <c r="CB221" s="98">
        <v>2</v>
      </c>
      <c r="CC221" s="98">
        <v>6</v>
      </c>
      <c r="CD221" s="98">
        <v>1</v>
      </c>
      <c r="CE221" s="98">
        <v>0</v>
      </c>
      <c r="CF221" s="98">
        <v>3</v>
      </c>
      <c r="CG221" s="98">
        <v>1</v>
      </c>
      <c r="CH221" s="98">
        <v>1</v>
      </c>
      <c r="CI221" s="98">
        <v>0</v>
      </c>
      <c r="CJ221" s="98">
        <v>1</v>
      </c>
      <c r="CK221" s="98">
        <v>0</v>
      </c>
      <c r="CL221" s="98">
        <v>0</v>
      </c>
      <c r="CM221" s="98">
        <v>1</v>
      </c>
      <c r="CN221" s="98">
        <v>1</v>
      </c>
      <c r="CO221" s="98">
        <v>0</v>
      </c>
      <c r="CP221" s="98">
        <v>1</v>
      </c>
      <c r="CQ221" s="98">
        <v>1</v>
      </c>
      <c r="CR221" s="98">
        <v>2</v>
      </c>
      <c r="CS221" s="98">
        <v>2</v>
      </c>
    </row>
    <row r="222" spans="2:97" x14ac:dyDescent="0.3">
      <c r="B222" s="83" t="s">
        <v>77</v>
      </c>
      <c r="C222" s="98">
        <v>2</v>
      </c>
      <c r="D222" s="98">
        <v>4</v>
      </c>
      <c r="E222" s="98">
        <v>3</v>
      </c>
      <c r="F222" s="98">
        <v>2</v>
      </c>
      <c r="G222" s="98">
        <v>2</v>
      </c>
      <c r="H222" s="98">
        <v>4</v>
      </c>
      <c r="I222" s="98">
        <v>3</v>
      </c>
      <c r="J222" s="98">
        <v>1</v>
      </c>
      <c r="K222" s="98">
        <v>1</v>
      </c>
      <c r="L222" s="98">
        <v>2</v>
      </c>
      <c r="M222" s="98">
        <v>1</v>
      </c>
      <c r="N222" s="98">
        <v>1</v>
      </c>
      <c r="O222" s="98">
        <v>4</v>
      </c>
      <c r="P222" s="98">
        <v>1</v>
      </c>
      <c r="Q222" s="98">
        <v>2</v>
      </c>
      <c r="R222" s="98">
        <v>2</v>
      </c>
      <c r="S222" s="98">
        <v>1</v>
      </c>
      <c r="T222" s="98">
        <v>1</v>
      </c>
      <c r="U222" s="98">
        <v>9</v>
      </c>
      <c r="V222" s="98">
        <v>2</v>
      </c>
      <c r="W222" s="98">
        <v>2</v>
      </c>
      <c r="X222" s="98">
        <v>5</v>
      </c>
      <c r="Y222" s="98">
        <v>2</v>
      </c>
      <c r="Z222" s="98">
        <v>1</v>
      </c>
      <c r="AA222" s="98">
        <v>2</v>
      </c>
      <c r="AB222" s="98">
        <v>4</v>
      </c>
      <c r="AC222" s="98">
        <v>2</v>
      </c>
      <c r="AD222" s="98">
        <v>2</v>
      </c>
      <c r="AE222" s="98">
        <v>2</v>
      </c>
      <c r="AF222" s="98">
        <v>3</v>
      </c>
      <c r="AG222" s="98">
        <v>1</v>
      </c>
      <c r="AH222" s="98">
        <v>2</v>
      </c>
      <c r="AI222" s="98">
        <v>4</v>
      </c>
      <c r="AJ222" s="98">
        <v>1</v>
      </c>
      <c r="AK222" s="98">
        <v>2</v>
      </c>
      <c r="AL222" s="98">
        <v>3</v>
      </c>
      <c r="AM222" s="98">
        <v>1</v>
      </c>
      <c r="AN222" s="98">
        <v>1</v>
      </c>
      <c r="AO222" s="98">
        <v>3</v>
      </c>
      <c r="AP222" s="98">
        <v>2</v>
      </c>
      <c r="AQ222" s="98">
        <v>1</v>
      </c>
      <c r="AR222" s="98">
        <v>1</v>
      </c>
      <c r="AS222" s="98">
        <v>1</v>
      </c>
      <c r="AT222" s="98">
        <v>1</v>
      </c>
      <c r="AU222" s="98">
        <v>3</v>
      </c>
      <c r="AV222" s="98">
        <v>2</v>
      </c>
      <c r="AW222" s="98">
        <v>8</v>
      </c>
      <c r="AX222" s="98">
        <v>1</v>
      </c>
      <c r="AY222" s="98">
        <v>1</v>
      </c>
      <c r="AZ222" s="98">
        <v>2</v>
      </c>
      <c r="BA222" s="98">
        <v>1</v>
      </c>
      <c r="BB222" s="98">
        <v>2</v>
      </c>
      <c r="BC222" s="98">
        <v>3</v>
      </c>
      <c r="BD222" s="98">
        <v>2</v>
      </c>
      <c r="BE222" s="98">
        <v>2</v>
      </c>
      <c r="BF222" s="98">
        <v>1</v>
      </c>
      <c r="BG222" s="98">
        <v>3</v>
      </c>
      <c r="BH222" s="98">
        <v>2</v>
      </c>
      <c r="BI222" s="98">
        <v>6</v>
      </c>
      <c r="BJ222" s="98">
        <v>3</v>
      </c>
      <c r="BK222" s="98">
        <v>1</v>
      </c>
      <c r="BL222" s="98">
        <v>3</v>
      </c>
      <c r="BM222" s="98">
        <v>5</v>
      </c>
      <c r="BN222" s="98">
        <v>1</v>
      </c>
      <c r="BO222" s="98">
        <v>1</v>
      </c>
      <c r="BP222" s="98">
        <v>4</v>
      </c>
      <c r="BQ222" s="98">
        <v>2</v>
      </c>
      <c r="BR222" s="98">
        <v>1</v>
      </c>
      <c r="BS222" s="98">
        <v>1</v>
      </c>
      <c r="BT222" s="98">
        <v>1</v>
      </c>
      <c r="BU222" s="98">
        <v>4</v>
      </c>
      <c r="BV222" s="98">
        <v>2</v>
      </c>
      <c r="BW222" s="98">
        <v>2</v>
      </c>
      <c r="BX222" s="98">
        <v>4</v>
      </c>
      <c r="BY222" s="98">
        <v>4</v>
      </c>
      <c r="BZ222" s="98">
        <v>2</v>
      </c>
      <c r="CA222" s="98">
        <v>2</v>
      </c>
      <c r="CB222" s="98">
        <v>3</v>
      </c>
      <c r="CC222" s="98">
        <v>7</v>
      </c>
      <c r="CD222" s="98">
        <v>2</v>
      </c>
      <c r="CE222" s="98">
        <v>1</v>
      </c>
      <c r="CF222" s="98">
        <v>4</v>
      </c>
      <c r="CG222" s="98">
        <v>2</v>
      </c>
      <c r="CH222" s="98">
        <v>2</v>
      </c>
      <c r="CI222" s="98">
        <v>1</v>
      </c>
      <c r="CJ222" s="98">
        <v>2</v>
      </c>
      <c r="CK222" s="98">
        <v>1</v>
      </c>
      <c r="CL222" s="98">
        <v>1</v>
      </c>
      <c r="CM222" s="98">
        <v>2</v>
      </c>
      <c r="CN222" s="98">
        <v>2</v>
      </c>
      <c r="CO222" s="98">
        <v>1</v>
      </c>
      <c r="CP222" s="98">
        <v>2</v>
      </c>
      <c r="CQ222" s="98">
        <v>2</v>
      </c>
      <c r="CR222" s="98">
        <v>3</v>
      </c>
      <c r="CS222" s="98">
        <v>3</v>
      </c>
    </row>
    <row r="223" spans="2:97" x14ac:dyDescent="0.3">
      <c r="B223" s="83" t="s">
        <v>78</v>
      </c>
      <c r="C223" s="98">
        <v>9</v>
      </c>
      <c r="D223" s="98">
        <v>11</v>
      </c>
      <c r="E223" s="98">
        <v>10</v>
      </c>
      <c r="F223" s="98">
        <v>9</v>
      </c>
      <c r="G223" s="98">
        <v>9</v>
      </c>
      <c r="H223" s="98">
        <v>11</v>
      </c>
      <c r="I223" s="98">
        <v>10</v>
      </c>
      <c r="J223" s="98">
        <v>8</v>
      </c>
      <c r="K223" s="98">
        <v>8</v>
      </c>
      <c r="L223" s="98">
        <v>9</v>
      </c>
      <c r="M223" s="98">
        <v>8</v>
      </c>
      <c r="N223" s="98">
        <v>8</v>
      </c>
      <c r="O223" s="98">
        <v>11</v>
      </c>
      <c r="P223" s="98">
        <v>8</v>
      </c>
      <c r="Q223" s="98">
        <v>9</v>
      </c>
      <c r="R223" s="98">
        <v>9</v>
      </c>
      <c r="S223" s="98">
        <v>8</v>
      </c>
      <c r="T223" s="98">
        <v>9</v>
      </c>
      <c r="U223" s="98">
        <v>8</v>
      </c>
      <c r="V223" s="98">
        <v>9</v>
      </c>
      <c r="W223" s="98">
        <v>9</v>
      </c>
      <c r="X223" s="98">
        <v>12</v>
      </c>
      <c r="Y223" s="98">
        <v>9</v>
      </c>
      <c r="Z223" s="98">
        <v>8</v>
      </c>
      <c r="AA223" s="98">
        <v>9</v>
      </c>
      <c r="AB223" s="98">
        <v>11</v>
      </c>
      <c r="AC223" s="98">
        <v>9</v>
      </c>
      <c r="AD223" s="98">
        <v>9</v>
      </c>
      <c r="AE223" s="98">
        <v>9</v>
      </c>
      <c r="AF223" s="98">
        <v>10</v>
      </c>
      <c r="AG223" s="98">
        <v>8</v>
      </c>
      <c r="AH223" s="98">
        <v>9</v>
      </c>
      <c r="AI223" s="98">
        <v>11</v>
      </c>
      <c r="AJ223" s="98">
        <v>8</v>
      </c>
      <c r="AK223" s="98">
        <v>9</v>
      </c>
      <c r="AL223" s="98">
        <v>10</v>
      </c>
      <c r="AM223" s="98">
        <v>8</v>
      </c>
      <c r="AN223" s="98">
        <v>8</v>
      </c>
      <c r="AO223" s="98">
        <v>10</v>
      </c>
      <c r="AP223" s="98">
        <v>9</v>
      </c>
      <c r="AQ223" s="98">
        <v>8</v>
      </c>
      <c r="AR223" s="98">
        <v>8</v>
      </c>
      <c r="AS223" s="98">
        <v>8</v>
      </c>
      <c r="AT223" s="98">
        <v>8</v>
      </c>
      <c r="AU223" s="98">
        <v>10</v>
      </c>
      <c r="AV223" s="98">
        <v>9</v>
      </c>
      <c r="AW223" s="98">
        <v>15</v>
      </c>
      <c r="AX223" s="98">
        <v>8</v>
      </c>
      <c r="AY223" s="98">
        <v>8</v>
      </c>
      <c r="AZ223" s="98">
        <v>9</v>
      </c>
      <c r="BA223" s="98">
        <v>8</v>
      </c>
      <c r="BB223" s="98">
        <v>9</v>
      </c>
      <c r="BC223" s="98">
        <v>10</v>
      </c>
      <c r="BD223" s="98">
        <v>9</v>
      </c>
      <c r="BE223" s="98">
        <v>9</v>
      </c>
      <c r="BF223" s="98">
        <v>8</v>
      </c>
      <c r="BG223" s="98">
        <v>10</v>
      </c>
      <c r="BH223" s="98">
        <v>9</v>
      </c>
      <c r="BI223" s="98">
        <v>13</v>
      </c>
      <c r="BJ223" s="98">
        <v>10</v>
      </c>
      <c r="BK223" s="98">
        <v>8</v>
      </c>
      <c r="BL223" s="98">
        <v>10</v>
      </c>
      <c r="BM223" s="98">
        <v>12</v>
      </c>
      <c r="BN223" s="98">
        <v>8</v>
      </c>
      <c r="BO223" s="98">
        <v>8</v>
      </c>
      <c r="BP223" s="98">
        <v>11</v>
      </c>
      <c r="BQ223" s="98">
        <v>9</v>
      </c>
      <c r="BR223" s="98">
        <v>8</v>
      </c>
      <c r="BS223" s="98">
        <v>8</v>
      </c>
      <c r="BT223" s="98">
        <v>8</v>
      </c>
      <c r="BU223" s="98">
        <v>11</v>
      </c>
      <c r="BV223" s="98">
        <v>9</v>
      </c>
      <c r="BW223" s="98">
        <v>9</v>
      </c>
      <c r="BX223" s="98">
        <v>11</v>
      </c>
      <c r="BY223" s="98">
        <v>11</v>
      </c>
      <c r="BZ223" s="98">
        <v>9</v>
      </c>
      <c r="CA223" s="98">
        <v>9</v>
      </c>
      <c r="CB223" s="98">
        <v>10</v>
      </c>
      <c r="CC223" s="98">
        <v>14</v>
      </c>
      <c r="CD223" s="98">
        <v>9</v>
      </c>
      <c r="CE223" s="98">
        <v>8</v>
      </c>
      <c r="CF223" s="98">
        <v>11</v>
      </c>
      <c r="CG223" s="98">
        <v>9</v>
      </c>
      <c r="CH223" s="98">
        <v>9</v>
      </c>
      <c r="CI223" s="98">
        <v>8</v>
      </c>
      <c r="CJ223" s="98">
        <v>9</v>
      </c>
      <c r="CK223" s="98">
        <v>8</v>
      </c>
      <c r="CL223" s="98">
        <v>8</v>
      </c>
      <c r="CM223" s="98">
        <v>9</v>
      </c>
      <c r="CN223" s="98">
        <v>9</v>
      </c>
      <c r="CO223" s="98">
        <v>8</v>
      </c>
      <c r="CP223" s="98">
        <v>9</v>
      </c>
      <c r="CQ223" s="98">
        <v>9</v>
      </c>
      <c r="CR223" s="98">
        <v>10</v>
      </c>
      <c r="CS223" s="98">
        <v>10</v>
      </c>
    </row>
    <row r="224" spans="2:97" x14ac:dyDescent="0.3">
      <c r="B224" s="83" t="s">
        <v>79</v>
      </c>
      <c r="C224" s="98">
        <v>2</v>
      </c>
      <c r="D224" s="98">
        <v>4</v>
      </c>
      <c r="E224" s="98">
        <v>3</v>
      </c>
      <c r="F224" s="98">
        <v>2</v>
      </c>
      <c r="G224" s="98">
        <v>2</v>
      </c>
      <c r="H224" s="98">
        <v>4</v>
      </c>
      <c r="I224" s="98">
        <v>3</v>
      </c>
      <c r="J224" s="98">
        <v>1</v>
      </c>
      <c r="K224" s="98">
        <v>1</v>
      </c>
      <c r="L224" s="98">
        <v>2</v>
      </c>
      <c r="M224" s="98">
        <v>1</v>
      </c>
      <c r="N224" s="98">
        <v>1</v>
      </c>
      <c r="O224" s="98">
        <v>4</v>
      </c>
      <c r="P224" s="98">
        <v>1</v>
      </c>
      <c r="Q224" s="98">
        <v>2</v>
      </c>
      <c r="R224" s="98">
        <v>2</v>
      </c>
      <c r="S224" s="98">
        <v>1</v>
      </c>
      <c r="T224" s="98">
        <v>2</v>
      </c>
      <c r="U224" s="98">
        <v>9</v>
      </c>
      <c r="V224" s="98">
        <v>1</v>
      </c>
      <c r="W224" s="98">
        <v>2</v>
      </c>
      <c r="X224" s="98">
        <v>5</v>
      </c>
      <c r="Y224" s="98">
        <v>2</v>
      </c>
      <c r="Z224" s="98">
        <v>1</v>
      </c>
      <c r="AA224" s="98">
        <v>2</v>
      </c>
      <c r="AB224" s="98">
        <v>4</v>
      </c>
      <c r="AC224" s="98">
        <v>2</v>
      </c>
      <c r="AD224" s="98">
        <v>2</v>
      </c>
      <c r="AE224" s="98">
        <v>2</v>
      </c>
      <c r="AF224" s="98">
        <v>3</v>
      </c>
      <c r="AG224" s="98">
        <v>1</v>
      </c>
      <c r="AH224" s="98">
        <v>2</v>
      </c>
      <c r="AI224" s="98">
        <v>4</v>
      </c>
      <c r="AJ224" s="98">
        <v>1</v>
      </c>
      <c r="AK224" s="98">
        <v>2</v>
      </c>
      <c r="AL224" s="98">
        <v>3</v>
      </c>
      <c r="AM224" s="98">
        <v>1</v>
      </c>
      <c r="AN224" s="98">
        <v>1</v>
      </c>
      <c r="AO224" s="98">
        <v>3</v>
      </c>
      <c r="AP224" s="98">
        <v>2</v>
      </c>
      <c r="AQ224" s="98">
        <v>1</v>
      </c>
      <c r="AR224" s="98">
        <v>1</v>
      </c>
      <c r="AS224" s="98">
        <v>1</v>
      </c>
      <c r="AT224" s="98">
        <v>1</v>
      </c>
      <c r="AU224" s="98">
        <v>3</v>
      </c>
      <c r="AV224" s="98">
        <v>2</v>
      </c>
      <c r="AW224" s="98">
        <v>8</v>
      </c>
      <c r="AX224" s="98">
        <v>1</v>
      </c>
      <c r="AY224" s="98">
        <v>1</v>
      </c>
      <c r="AZ224" s="98">
        <v>2</v>
      </c>
      <c r="BA224" s="98">
        <v>1</v>
      </c>
      <c r="BB224" s="98">
        <v>2</v>
      </c>
      <c r="BC224" s="98">
        <v>3</v>
      </c>
      <c r="BD224" s="98">
        <v>2</v>
      </c>
      <c r="BE224" s="98">
        <v>2</v>
      </c>
      <c r="BF224" s="98">
        <v>1</v>
      </c>
      <c r="BG224" s="98">
        <v>3</v>
      </c>
      <c r="BH224" s="98">
        <v>2</v>
      </c>
      <c r="BI224" s="98">
        <v>6</v>
      </c>
      <c r="BJ224" s="98">
        <v>3</v>
      </c>
      <c r="BK224" s="98">
        <v>1</v>
      </c>
      <c r="BL224" s="98">
        <v>3</v>
      </c>
      <c r="BM224" s="98">
        <v>5</v>
      </c>
      <c r="BN224" s="98">
        <v>1</v>
      </c>
      <c r="BO224" s="98">
        <v>1</v>
      </c>
      <c r="BP224" s="98">
        <v>4</v>
      </c>
      <c r="BQ224" s="98">
        <v>2</v>
      </c>
      <c r="BR224" s="98">
        <v>1</v>
      </c>
      <c r="BS224" s="98">
        <v>1</v>
      </c>
      <c r="BT224" s="98">
        <v>1</v>
      </c>
      <c r="BU224" s="98">
        <v>4</v>
      </c>
      <c r="BV224" s="98">
        <v>2</v>
      </c>
      <c r="BW224" s="98">
        <v>2</v>
      </c>
      <c r="BX224" s="98">
        <v>4</v>
      </c>
      <c r="BY224" s="98">
        <v>4</v>
      </c>
      <c r="BZ224" s="98">
        <v>2</v>
      </c>
      <c r="CA224" s="98">
        <v>2</v>
      </c>
      <c r="CB224" s="98">
        <v>3</v>
      </c>
      <c r="CC224" s="98">
        <v>7</v>
      </c>
      <c r="CD224" s="98">
        <v>2</v>
      </c>
      <c r="CE224" s="98">
        <v>1</v>
      </c>
      <c r="CF224" s="98">
        <v>4</v>
      </c>
      <c r="CG224" s="98">
        <v>2</v>
      </c>
      <c r="CH224" s="98">
        <v>2</v>
      </c>
      <c r="CI224" s="98">
        <v>1</v>
      </c>
      <c r="CJ224" s="98">
        <v>2</v>
      </c>
      <c r="CK224" s="98">
        <v>1</v>
      </c>
      <c r="CL224" s="98">
        <v>1</v>
      </c>
      <c r="CM224" s="98">
        <v>2</v>
      </c>
      <c r="CN224" s="98">
        <v>2</v>
      </c>
      <c r="CO224" s="98">
        <v>1</v>
      </c>
      <c r="CP224" s="98">
        <v>2</v>
      </c>
      <c r="CQ224" s="98">
        <v>2</v>
      </c>
      <c r="CR224" s="98">
        <v>3</v>
      </c>
      <c r="CS224" s="98">
        <v>3</v>
      </c>
    </row>
    <row r="225" spans="2:97" x14ac:dyDescent="0.3">
      <c r="B225" s="83" t="s">
        <v>80</v>
      </c>
      <c r="C225" s="98">
        <v>2</v>
      </c>
      <c r="D225" s="98">
        <v>4</v>
      </c>
      <c r="E225" s="98">
        <v>3</v>
      </c>
      <c r="F225" s="98">
        <v>2</v>
      </c>
      <c r="G225" s="98">
        <v>2</v>
      </c>
      <c r="H225" s="98">
        <v>4</v>
      </c>
      <c r="I225" s="98">
        <v>3</v>
      </c>
      <c r="J225" s="98">
        <v>1</v>
      </c>
      <c r="K225" s="98">
        <v>1</v>
      </c>
      <c r="L225" s="98">
        <v>2</v>
      </c>
      <c r="M225" s="98">
        <v>1</v>
      </c>
      <c r="N225" s="98">
        <v>1</v>
      </c>
      <c r="O225" s="98">
        <v>4</v>
      </c>
      <c r="P225" s="98">
        <v>1</v>
      </c>
      <c r="Q225" s="98">
        <v>2</v>
      </c>
      <c r="R225" s="98">
        <v>2</v>
      </c>
      <c r="S225" s="98">
        <v>1</v>
      </c>
      <c r="T225" s="98">
        <v>2</v>
      </c>
      <c r="U225" s="98">
        <v>9</v>
      </c>
      <c r="V225" s="98">
        <v>2</v>
      </c>
      <c r="W225" s="98">
        <v>1</v>
      </c>
      <c r="X225" s="98">
        <v>5</v>
      </c>
      <c r="Y225" s="98">
        <v>2</v>
      </c>
      <c r="Z225" s="98">
        <v>1</v>
      </c>
      <c r="AA225" s="98">
        <v>2</v>
      </c>
      <c r="AB225" s="98">
        <v>4</v>
      </c>
      <c r="AC225" s="98">
        <v>2</v>
      </c>
      <c r="AD225" s="98">
        <v>2</v>
      </c>
      <c r="AE225" s="98">
        <v>2</v>
      </c>
      <c r="AF225" s="98">
        <v>3</v>
      </c>
      <c r="AG225" s="98">
        <v>1</v>
      </c>
      <c r="AH225" s="98">
        <v>2</v>
      </c>
      <c r="AI225" s="98">
        <v>4</v>
      </c>
      <c r="AJ225" s="98">
        <v>1</v>
      </c>
      <c r="AK225" s="98">
        <v>2</v>
      </c>
      <c r="AL225" s="98">
        <v>3</v>
      </c>
      <c r="AM225" s="98">
        <v>1</v>
      </c>
      <c r="AN225" s="98">
        <v>1</v>
      </c>
      <c r="AO225" s="98">
        <v>3</v>
      </c>
      <c r="AP225" s="98">
        <v>2</v>
      </c>
      <c r="AQ225" s="98">
        <v>1</v>
      </c>
      <c r="AR225" s="98">
        <v>1</v>
      </c>
      <c r="AS225" s="98">
        <v>1</v>
      </c>
      <c r="AT225" s="98">
        <v>1</v>
      </c>
      <c r="AU225" s="98">
        <v>3</v>
      </c>
      <c r="AV225" s="98">
        <v>2</v>
      </c>
      <c r="AW225" s="98">
        <v>8</v>
      </c>
      <c r="AX225" s="98">
        <v>1</v>
      </c>
      <c r="AY225" s="98">
        <v>1</v>
      </c>
      <c r="AZ225" s="98">
        <v>2</v>
      </c>
      <c r="BA225" s="98">
        <v>1</v>
      </c>
      <c r="BB225" s="98">
        <v>2</v>
      </c>
      <c r="BC225" s="98">
        <v>3</v>
      </c>
      <c r="BD225" s="98">
        <v>2</v>
      </c>
      <c r="BE225" s="98">
        <v>2</v>
      </c>
      <c r="BF225" s="98">
        <v>1</v>
      </c>
      <c r="BG225" s="98">
        <v>3</v>
      </c>
      <c r="BH225" s="98">
        <v>2</v>
      </c>
      <c r="BI225" s="98">
        <v>6</v>
      </c>
      <c r="BJ225" s="98">
        <v>3</v>
      </c>
      <c r="BK225" s="98">
        <v>1</v>
      </c>
      <c r="BL225" s="98">
        <v>3</v>
      </c>
      <c r="BM225" s="98">
        <v>5</v>
      </c>
      <c r="BN225" s="98">
        <v>1</v>
      </c>
      <c r="BO225" s="98">
        <v>1</v>
      </c>
      <c r="BP225" s="98">
        <v>4</v>
      </c>
      <c r="BQ225" s="98">
        <v>2</v>
      </c>
      <c r="BR225" s="98">
        <v>1</v>
      </c>
      <c r="BS225" s="98">
        <v>1</v>
      </c>
      <c r="BT225" s="98">
        <v>1</v>
      </c>
      <c r="BU225" s="98">
        <v>4</v>
      </c>
      <c r="BV225" s="98">
        <v>2</v>
      </c>
      <c r="BW225" s="98">
        <v>2</v>
      </c>
      <c r="BX225" s="98">
        <v>4</v>
      </c>
      <c r="BY225" s="98">
        <v>4</v>
      </c>
      <c r="BZ225" s="98">
        <v>2</v>
      </c>
      <c r="CA225" s="98">
        <v>2</v>
      </c>
      <c r="CB225" s="98">
        <v>3</v>
      </c>
      <c r="CC225" s="98">
        <v>7</v>
      </c>
      <c r="CD225" s="98">
        <v>2</v>
      </c>
      <c r="CE225" s="98">
        <v>1</v>
      </c>
      <c r="CF225" s="98">
        <v>4</v>
      </c>
      <c r="CG225" s="98">
        <v>2</v>
      </c>
      <c r="CH225" s="98">
        <v>2</v>
      </c>
      <c r="CI225" s="98">
        <v>1</v>
      </c>
      <c r="CJ225" s="98">
        <v>2</v>
      </c>
      <c r="CK225" s="98">
        <v>1</v>
      </c>
      <c r="CL225" s="98">
        <v>1</v>
      </c>
      <c r="CM225" s="98">
        <v>2</v>
      </c>
      <c r="CN225" s="98">
        <v>2</v>
      </c>
      <c r="CO225" s="98">
        <v>1</v>
      </c>
      <c r="CP225" s="98">
        <v>2</v>
      </c>
      <c r="CQ225" s="98">
        <v>2</v>
      </c>
      <c r="CR225" s="98">
        <v>3</v>
      </c>
      <c r="CS225" s="98">
        <v>3</v>
      </c>
    </row>
    <row r="226" spans="2:97" x14ac:dyDescent="0.3">
      <c r="B226" s="83" t="s">
        <v>81</v>
      </c>
      <c r="C226" s="98">
        <v>5</v>
      </c>
      <c r="D226" s="98">
        <v>7</v>
      </c>
      <c r="E226" s="98">
        <v>6</v>
      </c>
      <c r="F226" s="98">
        <v>5</v>
      </c>
      <c r="G226" s="98">
        <v>5</v>
      </c>
      <c r="H226" s="98">
        <v>7</v>
      </c>
      <c r="I226" s="98">
        <v>6</v>
      </c>
      <c r="J226" s="98">
        <v>4</v>
      </c>
      <c r="K226" s="98">
        <v>4</v>
      </c>
      <c r="L226" s="98">
        <v>5</v>
      </c>
      <c r="M226" s="98">
        <v>4</v>
      </c>
      <c r="N226" s="98">
        <v>4</v>
      </c>
      <c r="O226" s="98">
        <v>7</v>
      </c>
      <c r="P226" s="98">
        <v>4</v>
      </c>
      <c r="Q226" s="98">
        <v>5</v>
      </c>
      <c r="R226" s="98">
        <v>5</v>
      </c>
      <c r="S226" s="98">
        <v>4</v>
      </c>
      <c r="T226" s="98">
        <v>5</v>
      </c>
      <c r="U226" s="98">
        <v>12</v>
      </c>
      <c r="V226" s="98">
        <v>5</v>
      </c>
      <c r="W226" s="98">
        <v>5</v>
      </c>
      <c r="X226" s="98">
        <v>4</v>
      </c>
      <c r="Y226" s="98">
        <v>5</v>
      </c>
      <c r="Z226" s="98">
        <v>4</v>
      </c>
      <c r="AA226" s="98">
        <v>5</v>
      </c>
      <c r="AB226" s="98">
        <v>7</v>
      </c>
      <c r="AC226" s="98">
        <v>5</v>
      </c>
      <c r="AD226" s="98">
        <v>5</v>
      </c>
      <c r="AE226" s="98">
        <v>5</v>
      </c>
      <c r="AF226" s="98">
        <v>6</v>
      </c>
      <c r="AG226" s="98">
        <v>4</v>
      </c>
      <c r="AH226" s="98">
        <v>5</v>
      </c>
      <c r="AI226" s="98">
        <v>7</v>
      </c>
      <c r="AJ226" s="98">
        <v>4</v>
      </c>
      <c r="AK226" s="98">
        <v>5</v>
      </c>
      <c r="AL226" s="98">
        <v>6</v>
      </c>
      <c r="AM226" s="98">
        <v>4</v>
      </c>
      <c r="AN226" s="98">
        <v>4</v>
      </c>
      <c r="AO226" s="98">
        <v>6</v>
      </c>
      <c r="AP226" s="98">
        <v>5</v>
      </c>
      <c r="AQ226" s="98">
        <v>4</v>
      </c>
      <c r="AR226" s="98">
        <v>4</v>
      </c>
      <c r="AS226" s="98">
        <v>4</v>
      </c>
      <c r="AT226" s="98">
        <v>4</v>
      </c>
      <c r="AU226" s="98">
        <v>6</v>
      </c>
      <c r="AV226" s="98">
        <v>5</v>
      </c>
      <c r="AW226" s="98">
        <v>11</v>
      </c>
      <c r="AX226" s="98">
        <v>4</v>
      </c>
      <c r="AY226" s="98">
        <v>4</v>
      </c>
      <c r="AZ226" s="98">
        <v>5</v>
      </c>
      <c r="BA226" s="98">
        <v>4</v>
      </c>
      <c r="BB226" s="98">
        <v>5</v>
      </c>
      <c r="BC226" s="98">
        <v>6</v>
      </c>
      <c r="BD226" s="98">
        <v>5</v>
      </c>
      <c r="BE226" s="98">
        <v>5</v>
      </c>
      <c r="BF226" s="98">
        <v>4</v>
      </c>
      <c r="BG226" s="98">
        <v>6</v>
      </c>
      <c r="BH226" s="98">
        <v>5</v>
      </c>
      <c r="BI226" s="98">
        <v>9</v>
      </c>
      <c r="BJ226" s="98">
        <v>6</v>
      </c>
      <c r="BK226" s="98">
        <v>4</v>
      </c>
      <c r="BL226" s="98">
        <v>6</v>
      </c>
      <c r="BM226" s="98">
        <v>8</v>
      </c>
      <c r="BN226" s="98">
        <v>4</v>
      </c>
      <c r="BO226" s="98">
        <v>4</v>
      </c>
      <c r="BP226" s="98">
        <v>7</v>
      </c>
      <c r="BQ226" s="98">
        <v>5</v>
      </c>
      <c r="BR226" s="98">
        <v>4</v>
      </c>
      <c r="BS226" s="98">
        <v>4</v>
      </c>
      <c r="BT226" s="98">
        <v>4</v>
      </c>
      <c r="BU226" s="98">
        <v>7</v>
      </c>
      <c r="BV226" s="98">
        <v>5</v>
      </c>
      <c r="BW226" s="98">
        <v>5</v>
      </c>
      <c r="BX226" s="98">
        <v>7</v>
      </c>
      <c r="BY226" s="98">
        <v>7</v>
      </c>
      <c r="BZ226" s="98">
        <v>5</v>
      </c>
      <c r="CA226" s="98">
        <v>5</v>
      </c>
      <c r="CB226" s="98">
        <v>6</v>
      </c>
      <c r="CC226" s="98">
        <v>10</v>
      </c>
      <c r="CD226" s="98">
        <v>5</v>
      </c>
      <c r="CE226" s="98">
        <v>4</v>
      </c>
      <c r="CF226" s="98">
        <v>7</v>
      </c>
      <c r="CG226" s="98">
        <v>5</v>
      </c>
      <c r="CH226" s="98">
        <v>5</v>
      </c>
      <c r="CI226" s="98">
        <v>4</v>
      </c>
      <c r="CJ226" s="98">
        <v>5</v>
      </c>
      <c r="CK226" s="98">
        <v>4</v>
      </c>
      <c r="CL226" s="98">
        <v>4</v>
      </c>
      <c r="CM226" s="98">
        <v>5</v>
      </c>
      <c r="CN226" s="98">
        <v>5</v>
      </c>
      <c r="CO226" s="98">
        <v>4</v>
      </c>
      <c r="CP226" s="98">
        <v>5</v>
      </c>
      <c r="CQ226" s="98">
        <v>5</v>
      </c>
      <c r="CR226" s="98">
        <v>6</v>
      </c>
      <c r="CS226" s="98">
        <v>6</v>
      </c>
    </row>
    <row r="227" spans="2:97" x14ac:dyDescent="0.3">
      <c r="B227" s="83" t="s">
        <v>82</v>
      </c>
      <c r="C227" s="98">
        <v>2</v>
      </c>
      <c r="D227" s="98">
        <v>4</v>
      </c>
      <c r="E227" s="98">
        <v>3</v>
      </c>
      <c r="F227" s="98">
        <v>2</v>
      </c>
      <c r="G227" s="98">
        <v>2</v>
      </c>
      <c r="H227" s="98">
        <v>4</v>
      </c>
      <c r="I227" s="98">
        <v>3</v>
      </c>
      <c r="J227" s="98">
        <v>1</v>
      </c>
      <c r="K227" s="98">
        <v>1</v>
      </c>
      <c r="L227" s="98">
        <v>2</v>
      </c>
      <c r="M227" s="98">
        <v>1</v>
      </c>
      <c r="N227" s="98">
        <v>1</v>
      </c>
      <c r="O227" s="98">
        <v>4</v>
      </c>
      <c r="P227" s="98">
        <v>1</v>
      </c>
      <c r="Q227" s="98">
        <v>2</v>
      </c>
      <c r="R227" s="98">
        <v>2</v>
      </c>
      <c r="S227" s="98">
        <v>1</v>
      </c>
      <c r="T227" s="98">
        <v>2</v>
      </c>
      <c r="U227" s="98">
        <v>9</v>
      </c>
      <c r="V227" s="98">
        <v>2</v>
      </c>
      <c r="W227" s="98">
        <v>2</v>
      </c>
      <c r="X227" s="98">
        <v>5</v>
      </c>
      <c r="Y227" s="98">
        <v>1</v>
      </c>
      <c r="Z227" s="98">
        <v>1</v>
      </c>
      <c r="AA227" s="98">
        <v>2</v>
      </c>
      <c r="AB227" s="98">
        <v>4</v>
      </c>
      <c r="AC227" s="98">
        <v>2</v>
      </c>
      <c r="AD227" s="98">
        <v>2</v>
      </c>
      <c r="AE227" s="98">
        <v>2</v>
      </c>
      <c r="AF227" s="98">
        <v>3</v>
      </c>
      <c r="AG227" s="98">
        <v>1</v>
      </c>
      <c r="AH227" s="98">
        <v>2</v>
      </c>
      <c r="AI227" s="98">
        <v>4</v>
      </c>
      <c r="AJ227" s="98">
        <v>1</v>
      </c>
      <c r="AK227" s="98">
        <v>2</v>
      </c>
      <c r="AL227" s="98">
        <v>3</v>
      </c>
      <c r="AM227" s="98">
        <v>1</v>
      </c>
      <c r="AN227" s="98">
        <v>1</v>
      </c>
      <c r="AO227" s="98">
        <v>3</v>
      </c>
      <c r="AP227" s="98">
        <v>2</v>
      </c>
      <c r="AQ227" s="98">
        <v>1</v>
      </c>
      <c r="AR227" s="98">
        <v>1</v>
      </c>
      <c r="AS227" s="98">
        <v>1</v>
      </c>
      <c r="AT227" s="98">
        <v>1</v>
      </c>
      <c r="AU227" s="98">
        <v>3</v>
      </c>
      <c r="AV227" s="98">
        <v>2</v>
      </c>
      <c r="AW227" s="98">
        <v>8</v>
      </c>
      <c r="AX227" s="98">
        <v>1</v>
      </c>
      <c r="AY227" s="98">
        <v>1</v>
      </c>
      <c r="AZ227" s="98">
        <v>2</v>
      </c>
      <c r="BA227" s="98">
        <v>1</v>
      </c>
      <c r="BB227" s="98">
        <v>2</v>
      </c>
      <c r="BC227" s="98">
        <v>3</v>
      </c>
      <c r="BD227" s="98">
        <v>2</v>
      </c>
      <c r="BE227" s="98">
        <v>2</v>
      </c>
      <c r="BF227" s="98">
        <v>1</v>
      </c>
      <c r="BG227" s="98">
        <v>3</v>
      </c>
      <c r="BH227" s="98">
        <v>2</v>
      </c>
      <c r="BI227" s="98">
        <v>6</v>
      </c>
      <c r="BJ227" s="98">
        <v>3</v>
      </c>
      <c r="BK227" s="98">
        <v>1</v>
      </c>
      <c r="BL227" s="98">
        <v>3</v>
      </c>
      <c r="BM227" s="98">
        <v>5</v>
      </c>
      <c r="BN227" s="98">
        <v>1</v>
      </c>
      <c r="BO227" s="98">
        <v>1</v>
      </c>
      <c r="BP227" s="98">
        <v>4</v>
      </c>
      <c r="BQ227" s="98">
        <v>2</v>
      </c>
      <c r="BR227" s="98">
        <v>1</v>
      </c>
      <c r="BS227" s="98">
        <v>1</v>
      </c>
      <c r="BT227" s="98">
        <v>1</v>
      </c>
      <c r="BU227" s="98">
        <v>4</v>
      </c>
      <c r="BV227" s="98">
        <v>2</v>
      </c>
      <c r="BW227" s="98">
        <v>2</v>
      </c>
      <c r="BX227" s="98">
        <v>4</v>
      </c>
      <c r="BY227" s="98">
        <v>4</v>
      </c>
      <c r="BZ227" s="98">
        <v>2</v>
      </c>
      <c r="CA227" s="98">
        <v>2</v>
      </c>
      <c r="CB227" s="98">
        <v>3</v>
      </c>
      <c r="CC227" s="98">
        <v>7</v>
      </c>
      <c r="CD227" s="98">
        <v>2</v>
      </c>
      <c r="CE227" s="98">
        <v>1</v>
      </c>
      <c r="CF227" s="98">
        <v>4</v>
      </c>
      <c r="CG227" s="98">
        <v>2</v>
      </c>
      <c r="CH227" s="98">
        <v>2</v>
      </c>
      <c r="CI227" s="98">
        <v>1</v>
      </c>
      <c r="CJ227" s="98">
        <v>2</v>
      </c>
      <c r="CK227" s="98">
        <v>1</v>
      </c>
      <c r="CL227" s="98">
        <v>1</v>
      </c>
      <c r="CM227" s="98">
        <v>2</v>
      </c>
      <c r="CN227" s="98">
        <v>2</v>
      </c>
      <c r="CO227" s="98">
        <v>1</v>
      </c>
      <c r="CP227" s="98">
        <v>2</v>
      </c>
      <c r="CQ227" s="98">
        <v>2</v>
      </c>
      <c r="CR227" s="98">
        <v>3</v>
      </c>
      <c r="CS227" s="98">
        <v>3</v>
      </c>
    </row>
    <row r="228" spans="2:97" x14ac:dyDescent="0.3">
      <c r="B228" s="83" t="s">
        <v>83</v>
      </c>
      <c r="C228" s="98">
        <v>1</v>
      </c>
      <c r="D228" s="98">
        <v>3</v>
      </c>
      <c r="E228" s="98">
        <v>2</v>
      </c>
      <c r="F228" s="98">
        <v>1</v>
      </c>
      <c r="G228" s="98">
        <v>1</v>
      </c>
      <c r="H228" s="98">
        <v>3</v>
      </c>
      <c r="I228" s="98">
        <v>2</v>
      </c>
      <c r="J228" s="98">
        <v>0</v>
      </c>
      <c r="K228" s="98">
        <v>0</v>
      </c>
      <c r="L228" s="98">
        <v>1</v>
      </c>
      <c r="M228" s="98">
        <v>0</v>
      </c>
      <c r="N228" s="98">
        <v>0</v>
      </c>
      <c r="O228" s="98">
        <v>3</v>
      </c>
      <c r="P228" s="98">
        <v>0</v>
      </c>
      <c r="Q228" s="98">
        <v>1</v>
      </c>
      <c r="R228" s="98">
        <v>1</v>
      </c>
      <c r="S228" s="98">
        <v>0</v>
      </c>
      <c r="T228" s="98">
        <v>1</v>
      </c>
      <c r="U228" s="98">
        <v>8</v>
      </c>
      <c r="V228" s="98">
        <v>1</v>
      </c>
      <c r="W228" s="98">
        <v>1</v>
      </c>
      <c r="X228" s="98">
        <v>4</v>
      </c>
      <c r="Y228" s="98">
        <v>1</v>
      </c>
      <c r="Z228" s="98">
        <v>0</v>
      </c>
      <c r="AA228" s="98">
        <v>1</v>
      </c>
      <c r="AB228" s="98">
        <v>3</v>
      </c>
      <c r="AC228" s="98">
        <v>1</v>
      </c>
      <c r="AD228" s="98">
        <v>1</v>
      </c>
      <c r="AE228" s="98">
        <v>1</v>
      </c>
      <c r="AF228" s="98">
        <v>2</v>
      </c>
      <c r="AG228" s="98">
        <v>0</v>
      </c>
      <c r="AH228" s="98">
        <v>1</v>
      </c>
      <c r="AI228" s="98">
        <v>3</v>
      </c>
      <c r="AJ228" s="98">
        <v>0</v>
      </c>
      <c r="AK228" s="98">
        <v>1</v>
      </c>
      <c r="AL228" s="98">
        <v>2</v>
      </c>
      <c r="AM228" s="98">
        <v>0</v>
      </c>
      <c r="AN228" s="98">
        <v>0</v>
      </c>
      <c r="AO228" s="98">
        <v>2</v>
      </c>
      <c r="AP228" s="98">
        <v>1</v>
      </c>
      <c r="AQ228" s="98">
        <v>0</v>
      </c>
      <c r="AR228" s="98">
        <v>0</v>
      </c>
      <c r="AS228" s="98">
        <v>0</v>
      </c>
      <c r="AT228" s="98">
        <v>0</v>
      </c>
      <c r="AU228" s="98">
        <v>2</v>
      </c>
      <c r="AV228" s="98">
        <v>1</v>
      </c>
      <c r="AW228" s="98">
        <v>7</v>
      </c>
      <c r="AX228" s="98">
        <v>0</v>
      </c>
      <c r="AY228" s="98">
        <v>0</v>
      </c>
      <c r="AZ228" s="98">
        <v>1</v>
      </c>
      <c r="BA228" s="98">
        <v>0</v>
      </c>
      <c r="BB228" s="98">
        <v>1</v>
      </c>
      <c r="BC228" s="98">
        <v>2</v>
      </c>
      <c r="BD228" s="98">
        <v>1</v>
      </c>
      <c r="BE228" s="98">
        <v>1</v>
      </c>
      <c r="BF228" s="98">
        <v>0</v>
      </c>
      <c r="BG228" s="98">
        <v>2</v>
      </c>
      <c r="BH228" s="98">
        <v>1</v>
      </c>
      <c r="BI228" s="98">
        <v>5</v>
      </c>
      <c r="BJ228" s="98">
        <v>2</v>
      </c>
      <c r="BK228" s="98">
        <v>0</v>
      </c>
      <c r="BL228" s="98">
        <v>2</v>
      </c>
      <c r="BM228" s="98">
        <v>4</v>
      </c>
      <c r="BN228" s="98">
        <v>0</v>
      </c>
      <c r="BO228" s="98">
        <v>0</v>
      </c>
      <c r="BP228" s="98">
        <v>3</v>
      </c>
      <c r="BQ228" s="98">
        <v>1</v>
      </c>
      <c r="BR228" s="98">
        <v>0</v>
      </c>
      <c r="BS228" s="98">
        <v>0</v>
      </c>
      <c r="BT228" s="98">
        <v>0</v>
      </c>
      <c r="BU228" s="98">
        <v>3</v>
      </c>
      <c r="BV228" s="98">
        <v>1</v>
      </c>
      <c r="BW228" s="98">
        <v>1</v>
      </c>
      <c r="BX228" s="98">
        <v>3</v>
      </c>
      <c r="BY228" s="98">
        <v>3</v>
      </c>
      <c r="BZ228" s="98">
        <v>1</v>
      </c>
      <c r="CA228" s="98">
        <v>1</v>
      </c>
      <c r="CB228" s="98">
        <v>2</v>
      </c>
      <c r="CC228" s="98">
        <v>6</v>
      </c>
      <c r="CD228" s="98">
        <v>1</v>
      </c>
      <c r="CE228" s="98">
        <v>0</v>
      </c>
      <c r="CF228" s="98">
        <v>3</v>
      </c>
      <c r="CG228" s="98">
        <v>1</v>
      </c>
      <c r="CH228" s="98">
        <v>1</v>
      </c>
      <c r="CI228" s="98">
        <v>0</v>
      </c>
      <c r="CJ228" s="98">
        <v>1</v>
      </c>
      <c r="CK228" s="98">
        <v>0</v>
      </c>
      <c r="CL228" s="98">
        <v>0</v>
      </c>
      <c r="CM228" s="98">
        <v>1</v>
      </c>
      <c r="CN228" s="98">
        <v>1</v>
      </c>
      <c r="CO228" s="98">
        <v>0</v>
      </c>
      <c r="CP228" s="98">
        <v>1</v>
      </c>
      <c r="CQ228" s="98">
        <v>1</v>
      </c>
      <c r="CR228" s="98">
        <v>2</v>
      </c>
      <c r="CS228" s="98">
        <v>2</v>
      </c>
    </row>
    <row r="229" spans="2:97" x14ac:dyDescent="0.3">
      <c r="B229" s="83" t="s">
        <v>84</v>
      </c>
      <c r="C229" s="98">
        <v>2</v>
      </c>
      <c r="D229" s="98">
        <v>4</v>
      </c>
      <c r="E229" s="98">
        <v>3</v>
      </c>
      <c r="F229" s="98">
        <v>2</v>
      </c>
      <c r="G229" s="98">
        <v>2</v>
      </c>
      <c r="H229" s="98">
        <v>4</v>
      </c>
      <c r="I229" s="98">
        <v>3</v>
      </c>
      <c r="J229" s="98">
        <v>1</v>
      </c>
      <c r="K229" s="98">
        <v>1</v>
      </c>
      <c r="L229" s="98">
        <v>2</v>
      </c>
      <c r="M229" s="98">
        <v>1</v>
      </c>
      <c r="N229" s="98">
        <v>1</v>
      </c>
      <c r="O229" s="98">
        <v>4</v>
      </c>
      <c r="P229" s="98">
        <v>1</v>
      </c>
      <c r="Q229" s="98">
        <v>2</v>
      </c>
      <c r="R229" s="98">
        <v>2</v>
      </c>
      <c r="S229" s="98">
        <v>1</v>
      </c>
      <c r="T229" s="98">
        <v>2</v>
      </c>
      <c r="U229" s="98">
        <v>9</v>
      </c>
      <c r="V229" s="98">
        <v>2</v>
      </c>
      <c r="W229" s="98">
        <v>2</v>
      </c>
      <c r="X229" s="98">
        <v>5</v>
      </c>
      <c r="Y229" s="98">
        <v>2</v>
      </c>
      <c r="Z229" s="98">
        <v>1</v>
      </c>
      <c r="AA229" s="98">
        <v>1</v>
      </c>
      <c r="AB229" s="98">
        <v>4</v>
      </c>
      <c r="AC229" s="98">
        <v>2</v>
      </c>
      <c r="AD229" s="98">
        <v>2</v>
      </c>
      <c r="AE229" s="98">
        <v>2</v>
      </c>
      <c r="AF229" s="98">
        <v>3</v>
      </c>
      <c r="AG229" s="98">
        <v>1</v>
      </c>
      <c r="AH229" s="98">
        <v>2</v>
      </c>
      <c r="AI229" s="98">
        <v>4</v>
      </c>
      <c r="AJ229" s="98">
        <v>1</v>
      </c>
      <c r="AK229" s="98">
        <v>2</v>
      </c>
      <c r="AL229" s="98">
        <v>3</v>
      </c>
      <c r="AM229" s="98">
        <v>1</v>
      </c>
      <c r="AN229" s="98">
        <v>1</v>
      </c>
      <c r="AO229" s="98">
        <v>3</v>
      </c>
      <c r="AP229" s="98">
        <v>2</v>
      </c>
      <c r="AQ229" s="98">
        <v>1</v>
      </c>
      <c r="AR229" s="98">
        <v>1</v>
      </c>
      <c r="AS229" s="98">
        <v>1</v>
      </c>
      <c r="AT229" s="98">
        <v>1</v>
      </c>
      <c r="AU229" s="98">
        <v>3</v>
      </c>
      <c r="AV229" s="98">
        <v>2</v>
      </c>
      <c r="AW229" s="98">
        <v>8</v>
      </c>
      <c r="AX229" s="98">
        <v>1</v>
      </c>
      <c r="AY229" s="98">
        <v>1</v>
      </c>
      <c r="AZ229" s="98">
        <v>2</v>
      </c>
      <c r="BA229" s="98">
        <v>1</v>
      </c>
      <c r="BB229" s="98">
        <v>2</v>
      </c>
      <c r="BC229" s="98">
        <v>3</v>
      </c>
      <c r="BD229" s="98">
        <v>2</v>
      </c>
      <c r="BE229" s="98">
        <v>2</v>
      </c>
      <c r="BF229" s="98">
        <v>1</v>
      </c>
      <c r="BG229" s="98">
        <v>3</v>
      </c>
      <c r="BH229" s="98">
        <v>2</v>
      </c>
      <c r="BI229" s="98">
        <v>6</v>
      </c>
      <c r="BJ229" s="98">
        <v>3</v>
      </c>
      <c r="BK229" s="98">
        <v>1</v>
      </c>
      <c r="BL229" s="98">
        <v>3</v>
      </c>
      <c r="BM229" s="98">
        <v>5</v>
      </c>
      <c r="BN229" s="98">
        <v>1</v>
      </c>
      <c r="BO229" s="98">
        <v>1</v>
      </c>
      <c r="BP229" s="98">
        <v>4</v>
      </c>
      <c r="BQ229" s="98">
        <v>2</v>
      </c>
      <c r="BR229" s="98">
        <v>1</v>
      </c>
      <c r="BS229" s="98">
        <v>1</v>
      </c>
      <c r="BT229" s="98">
        <v>1</v>
      </c>
      <c r="BU229" s="98">
        <v>4</v>
      </c>
      <c r="BV229" s="98">
        <v>2</v>
      </c>
      <c r="BW229" s="98">
        <v>2</v>
      </c>
      <c r="BX229" s="98">
        <v>4</v>
      </c>
      <c r="BY229" s="98">
        <v>4</v>
      </c>
      <c r="BZ229" s="98">
        <v>2</v>
      </c>
      <c r="CA229" s="98">
        <v>2</v>
      </c>
      <c r="CB229" s="98">
        <v>3</v>
      </c>
      <c r="CC229" s="98">
        <v>7</v>
      </c>
      <c r="CD229" s="98">
        <v>2</v>
      </c>
      <c r="CE229" s="98">
        <v>1</v>
      </c>
      <c r="CF229" s="98">
        <v>4</v>
      </c>
      <c r="CG229" s="98">
        <v>2</v>
      </c>
      <c r="CH229" s="98">
        <v>2</v>
      </c>
      <c r="CI229" s="98">
        <v>1</v>
      </c>
      <c r="CJ229" s="98">
        <v>2</v>
      </c>
      <c r="CK229" s="98">
        <v>1</v>
      </c>
      <c r="CL229" s="98">
        <v>1</v>
      </c>
      <c r="CM229" s="98">
        <v>2</v>
      </c>
      <c r="CN229" s="98">
        <v>2</v>
      </c>
      <c r="CO229" s="98">
        <v>1</v>
      </c>
      <c r="CP229" s="98">
        <v>2</v>
      </c>
      <c r="CQ229" s="98">
        <v>2</v>
      </c>
      <c r="CR229" s="98">
        <v>3</v>
      </c>
      <c r="CS229" s="98">
        <v>3</v>
      </c>
    </row>
    <row r="230" spans="2:97" x14ac:dyDescent="0.3">
      <c r="B230" s="83" t="s">
        <v>85</v>
      </c>
      <c r="C230" s="98">
        <v>4</v>
      </c>
      <c r="D230" s="98">
        <v>6</v>
      </c>
      <c r="E230" s="98">
        <v>5</v>
      </c>
      <c r="F230" s="98">
        <v>4</v>
      </c>
      <c r="G230" s="98">
        <v>4</v>
      </c>
      <c r="H230" s="98">
        <v>6</v>
      </c>
      <c r="I230" s="98">
        <v>5</v>
      </c>
      <c r="J230" s="98">
        <v>3</v>
      </c>
      <c r="K230" s="98">
        <v>3</v>
      </c>
      <c r="L230" s="98">
        <v>4</v>
      </c>
      <c r="M230" s="98">
        <v>3</v>
      </c>
      <c r="N230" s="98">
        <v>3</v>
      </c>
      <c r="O230" s="98">
        <v>6</v>
      </c>
      <c r="P230" s="98">
        <v>3</v>
      </c>
      <c r="Q230" s="98">
        <v>4</v>
      </c>
      <c r="R230" s="98">
        <v>4</v>
      </c>
      <c r="S230" s="98">
        <v>3</v>
      </c>
      <c r="T230" s="98">
        <v>4</v>
      </c>
      <c r="U230" s="98">
        <v>11</v>
      </c>
      <c r="V230" s="98">
        <v>4</v>
      </c>
      <c r="W230" s="98">
        <v>4</v>
      </c>
      <c r="X230" s="98">
        <v>7</v>
      </c>
      <c r="Y230" s="98">
        <v>4</v>
      </c>
      <c r="Z230" s="98">
        <v>3</v>
      </c>
      <c r="AA230" s="98">
        <v>4</v>
      </c>
      <c r="AB230" s="98">
        <v>3</v>
      </c>
      <c r="AC230" s="98">
        <v>4</v>
      </c>
      <c r="AD230" s="98">
        <v>4</v>
      </c>
      <c r="AE230" s="98">
        <v>4</v>
      </c>
      <c r="AF230" s="98">
        <v>5</v>
      </c>
      <c r="AG230" s="98">
        <v>3</v>
      </c>
      <c r="AH230" s="98">
        <v>4</v>
      </c>
      <c r="AI230" s="98">
        <v>6</v>
      </c>
      <c r="AJ230" s="98">
        <v>3</v>
      </c>
      <c r="AK230" s="98">
        <v>4</v>
      </c>
      <c r="AL230" s="98">
        <v>5</v>
      </c>
      <c r="AM230" s="98">
        <v>3</v>
      </c>
      <c r="AN230" s="98">
        <v>3</v>
      </c>
      <c r="AO230" s="98">
        <v>5</v>
      </c>
      <c r="AP230" s="98">
        <v>4</v>
      </c>
      <c r="AQ230" s="98">
        <v>3</v>
      </c>
      <c r="AR230" s="98">
        <v>3</v>
      </c>
      <c r="AS230" s="98">
        <v>3</v>
      </c>
      <c r="AT230" s="98">
        <v>3</v>
      </c>
      <c r="AU230" s="98">
        <v>5</v>
      </c>
      <c r="AV230" s="98">
        <v>4</v>
      </c>
      <c r="AW230" s="98">
        <v>10</v>
      </c>
      <c r="AX230" s="98">
        <v>3</v>
      </c>
      <c r="AY230" s="98">
        <v>3</v>
      </c>
      <c r="AZ230" s="98">
        <v>4</v>
      </c>
      <c r="BA230" s="98">
        <v>3</v>
      </c>
      <c r="BB230" s="98">
        <v>4</v>
      </c>
      <c r="BC230" s="98">
        <v>5</v>
      </c>
      <c r="BD230" s="98">
        <v>4</v>
      </c>
      <c r="BE230" s="98">
        <v>4</v>
      </c>
      <c r="BF230" s="98">
        <v>3</v>
      </c>
      <c r="BG230" s="98">
        <v>5</v>
      </c>
      <c r="BH230" s="98">
        <v>4</v>
      </c>
      <c r="BI230" s="98">
        <v>8</v>
      </c>
      <c r="BJ230" s="98">
        <v>5</v>
      </c>
      <c r="BK230" s="98">
        <v>3</v>
      </c>
      <c r="BL230" s="98">
        <v>5</v>
      </c>
      <c r="BM230" s="98">
        <v>7</v>
      </c>
      <c r="BN230" s="98">
        <v>3</v>
      </c>
      <c r="BO230" s="98">
        <v>3</v>
      </c>
      <c r="BP230" s="98">
        <v>6</v>
      </c>
      <c r="BQ230" s="98">
        <v>4</v>
      </c>
      <c r="BR230" s="98">
        <v>3</v>
      </c>
      <c r="BS230" s="98">
        <v>3</v>
      </c>
      <c r="BT230" s="98">
        <v>3</v>
      </c>
      <c r="BU230" s="98">
        <v>6</v>
      </c>
      <c r="BV230" s="98">
        <v>4</v>
      </c>
      <c r="BW230" s="98">
        <v>4</v>
      </c>
      <c r="BX230" s="98">
        <v>6</v>
      </c>
      <c r="BY230" s="98">
        <v>6</v>
      </c>
      <c r="BZ230" s="98">
        <v>4</v>
      </c>
      <c r="CA230" s="98">
        <v>4</v>
      </c>
      <c r="CB230" s="98">
        <v>5</v>
      </c>
      <c r="CC230" s="98">
        <v>9</v>
      </c>
      <c r="CD230" s="98">
        <v>4</v>
      </c>
      <c r="CE230" s="98">
        <v>3</v>
      </c>
      <c r="CF230" s="98">
        <v>6</v>
      </c>
      <c r="CG230" s="98">
        <v>4</v>
      </c>
      <c r="CH230" s="98">
        <v>4</v>
      </c>
      <c r="CI230" s="98">
        <v>3</v>
      </c>
      <c r="CJ230" s="98">
        <v>4</v>
      </c>
      <c r="CK230" s="98">
        <v>3</v>
      </c>
      <c r="CL230" s="98">
        <v>3</v>
      </c>
      <c r="CM230" s="98">
        <v>4</v>
      </c>
      <c r="CN230" s="98">
        <v>4</v>
      </c>
      <c r="CO230" s="98">
        <v>3</v>
      </c>
      <c r="CP230" s="98">
        <v>4</v>
      </c>
      <c r="CQ230" s="98">
        <v>4</v>
      </c>
      <c r="CR230" s="98">
        <v>5</v>
      </c>
      <c r="CS230" s="98">
        <v>5</v>
      </c>
    </row>
    <row r="231" spans="2:97" x14ac:dyDescent="0.3">
      <c r="B231" s="83" t="s">
        <v>86</v>
      </c>
      <c r="C231" s="98">
        <v>2</v>
      </c>
      <c r="D231" s="98">
        <v>4</v>
      </c>
      <c r="E231" s="98">
        <v>3</v>
      </c>
      <c r="F231" s="98">
        <v>2</v>
      </c>
      <c r="G231" s="98">
        <v>2</v>
      </c>
      <c r="H231" s="98">
        <v>4</v>
      </c>
      <c r="I231" s="98">
        <v>3</v>
      </c>
      <c r="J231" s="98">
        <v>1</v>
      </c>
      <c r="K231" s="98">
        <v>1</v>
      </c>
      <c r="L231" s="98">
        <v>2</v>
      </c>
      <c r="M231" s="98">
        <v>1</v>
      </c>
      <c r="N231" s="98">
        <v>1</v>
      </c>
      <c r="O231" s="98">
        <v>4</v>
      </c>
      <c r="P231" s="98">
        <v>1</v>
      </c>
      <c r="Q231" s="98">
        <v>2</v>
      </c>
      <c r="R231" s="98">
        <v>2</v>
      </c>
      <c r="S231" s="98">
        <v>1</v>
      </c>
      <c r="T231" s="98">
        <v>2</v>
      </c>
      <c r="U231" s="98">
        <v>9</v>
      </c>
      <c r="V231" s="98">
        <v>2</v>
      </c>
      <c r="W231" s="98">
        <v>2</v>
      </c>
      <c r="X231" s="98">
        <v>5</v>
      </c>
      <c r="Y231" s="98">
        <v>2</v>
      </c>
      <c r="Z231" s="98">
        <v>1</v>
      </c>
      <c r="AA231" s="98">
        <v>2</v>
      </c>
      <c r="AB231" s="98">
        <v>4</v>
      </c>
      <c r="AC231" s="98">
        <v>1</v>
      </c>
      <c r="AD231" s="98">
        <v>2</v>
      </c>
      <c r="AE231" s="98">
        <v>2</v>
      </c>
      <c r="AF231" s="98">
        <v>3</v>
      </c>
      <c r="AG231" s="98">
        <v>1</v>
      </c>
      <c r="AH231" s="98">
        <v>2</v>
      </c>
      <c r="AI231" s="98">
        <v>4</v>
      </c>
      <c r="AJ231" s="98">
        <v>1</v>
      </c>
      <c r="AK231" s="98">
        <v>2</v>
      </c>
      <c r="AL231" s="98">
        <v>3</v>
      </c>
      <c r="AM231" s="98">
        <v>1</v>
      </c>
      <c r="AN231" s="98">
        <v>1</v>
      </c>
      <c r="AO231" s="98">
        <v>3</v>
      </c>
      <c r="AP231" s="98">
        <v>2</v>
      </c>
      <c r="AQ231" s="98">
        <v>1</v>
      </c>
      <c r="AR231" s="98">
        <v>1</v>
      </c>
      <c r="AS231" s="98">
        <v>1</v>
      </c>
      <c r="AT231" s="98">
        <v>1</v>
      </c>
      <c r="AU231" s="98">
        <v>3</v>
      </c>
      <c r="AV231" s="98">
        <v>2</v>
      </c>
      <c r="AW231" s="98">
        <v>8</v>
      </c>
      <c r="AX231" s="98">
        <v>1</v>
      </c>
      <c r="AY231" s="98">
        <v>1</v>
      </c>
      <c r="AZ231" s="98">
        <v>2</v>
      </c>
      <c r="BA231" s="98">
        <v>1</v>
      </c>
      <c r="BB231" s="98">
        <v>2</v>
      </c>
      <c r="BC231" s="98">
        <v>3</v>
      </c>
      <c r="BD231" s="98">
        <v>2</v>
      </c>
      <c r="BE231" s="98">
        <v>2</v>
      </c>
      <c r="BF231" s="98">
        <v>1</v>
      </c>
      <c r="BG231" s="98">
        <v>3</v>
      </c>
      <c r="BH231" s="98">
        <v>2</v>
      </c>
      <c r="BI231" s="98">
        <v>6</v>
      </c>
      <c r="BJ231" s="98">
        <v>3</v>
      </c>
      <c r="BK231" s="98">
        <v>1</v>
      </c>
      <c r="BL231" s="98">
        <v>3</v>
      </c>
      <c r="BM231" s="98">
        <v>5</v>
      </c>
      <c r="BN231" s="98">
        <v>1</v>
      </c>
      <c r="BO231" s="98">
        <v>1</v>
      </c>
      <c r="BP231" s="98">
        <v>4</v>
      </c>
      <c r="BQ231" s="98">
        <v>2</v>
      </c>
      <c r="BR231" s="98">
        <v>1</v>
      </c>
      <c r="BS231" s="98">
        <v>1</v>
      </c>
      <c r="BT231" s="98">
        <v>1</v>
      </c>
      <c r="BU231" s="98">
        <v>4</v>
      </c>
      <c r="BV231" s="98">
        <v>2</v>
      </c>
      <c r="BW231" s="98">
        <v>2</v>
      </c>
      <c r="BX231" s="98">
        <v>4</v>
      </c>
      <c r="BY231" s="98">
        <v>4</v>
      </c>
      <c r="BZ231" s="98">
        <v>2</v>
      </c>
      <c r="CA231" s="98">
        <v>2</v>
      </c>
      <c r="CB231" s="98">
        <v>3</v>
      </c>
      <c r="CC231" s="98">
        <v>7</v>
      </c>
      <c r="CD231" s="98">
        <v>2</v>
      </c>
      <c r="CE231" s="98">
        <v>1</v>
      </c>
      <c r="CF231" s="98">
        <v>4</v>
      </c>
      <c r="CG231" s="98">
        <v>2</v>
      </c>
      <c r="CH231" s="98">
        <v>2</v>
      </c>
      <c r="CI231" s="98">
        <v>1</v>
      </c>
      <c r="CJ231" s="98">
        <v>2</v>
      </c>
      <c r="CK231" s="98">
        <v>1</v>
      </c>
      <c r="CL231" s="98">
        <v>1</v>
      </c>
      <c r="CM231" s="98">
        <v>2</v>
      </c>
      <c r="CN231" s="98">
        <v>2</v>
      </c>
      <c r="CO231" s="98">
        <v>1</v>
      </c>
      <c r="CP231" s="98">
        <v>2</v>
      </c>
      <c r="CQ231" s="98">
        <v>2</v>
      </c>
      <c r="CR231" s="98">
        <v>3</v>
      </c>
      <c r="CS231" s="98">
        <v>3</v>
      </c>
    </row>
    <row r="232" spans="2:97" x14ac:dyDescent="0.3">
      <c r="B232" s="83" t="s">
        <v>87</v>
      </c>
      <c r="C232" s="98">
        <v>2</v>
      </c>
      <c r="D232" s="98">
        <v>4</v>
      </c>
      <c r="E232" s="98">
        <v>3</v>
      </c>
      <c r="F232" s="98">
        <v>2</v>
      </c>
      <c r="G232" s="98">
        <v>2</v>
      </c>
      <c r="H232" s="98">
        <v>4</v>
      </c>
      <c r="I232" s="98">
        <v>3</v>
      </c>
      <c r="J232" s="98">
        <v>1</v>
      </c>
      <c r="K232" s="98">
        <v>1</v>
      </c>
      <c r="L232" s="98">
        <v>2</v>
      </c>
      <c r="M232" s="98">
        <v>1</v>
      </c>
      <c r="N232" s="98">
        <v>1</v>
      </c>
      <c r="O232" s="98">
        <v>4</v>
      </c>
      <c r="P232" s="98">
        <v>1</v>
      </c>
      <c r="Q232" s="98">
        <v>2</v>
      </c>
      <c r="R232" s="98">
        <v>2</v>
      </c>
      <c r="S232" s="98">
        <v>1</v>
      </c>
      <c r="T232" s="98">
        <v>2</v>
      </c>
      <c r="U232" s="98">
        <v>9</v>
      </c>
      <c r="V232" s="98">
        <v>2</v>
      </c>
      <c r="W232" s="98">
        <v>2</v>
      </c>
      <c r="X232" s="98">
        <v>5</v>
      </c>
      <c r="Y232" s="98">
        <v>2</v>
      </c>
      <c r="Z232" s="98">
        <v>1</v>
      </c>
      <c r="AA232" s="98">
        <v>2</v>
      </c>
      <c r="AB232" s="98">
        <v>4</v>
      </c>
      <c r="AC232" s="98">
        <v>2</v>
      </c>
      <c r="AD232" s="98">
        <v>1</v>
      </c>
      <c r="AE232" s="98">
        <v>2</v>
      </c>
      <c r="AF232" s="98">
        <v>3</v>
      </c>
      <c r="AG232" s="98">
        <v>1</v>
      </c>
      <c r="AH232" s="98">
        <v>2</v>
      </c>
      <c r="AI232" s="98">
        <v>4</v>
      </c>
      <c r="AJ232" s="98">
        <v>1</v>
      </c>
      <c r="AK232" s="98">
        <v>2</v>
      </c>
      <c r="AL232" s="98">
        <v>3</v>
      </c>
      <c r="AM232" s="98">
        <v>1</v>
      </c>
      <c r="AN232" s="98">
        <v>1</v>
      </c>
      <c r="AO232" s="98">
        <v>3</v>
      </c>
      <c r="AP232" s="98">
        <v>2</v>
      </c>
      <c r="AQ232" s="98">
        <v>1</v>
      </c>
      <c r="AR232" s="98">
        <v>1</v>
      </c>
      <c r="AS232" s="98">
        <v>1</v>
      </c>
      <c r="AT232" s="98">
        <v>1</v>
      </c>
      <c r="AU232" s="98">
        <v>3</v>
      </c>
      <c r="AV232" s="98">
        <v>2</v>
      </c>
      <c r="AW232" s="98">
        <v>8</v>
      </c>
      <c r="AX232" s="98">
        <v>1</v>
      </c>
      <c r="AY232" s="98">
        <v>1</v>
      </c>
      <c r="AZ232" s="98">
        <v>2</v>
      </c>
      <c r="BA232" s="98">
        <v>1</v>
      </c>
      <c r="BB232" s="98">
        <v>2</v>
      </c>
      <c r="BC232" s="98">
        <v>3</v>
      </c>
      <c r="BD232" s="98">
        <v>2</v>
      </c>
      <c r="BE232" s="98">
        <v>2</v>
      </c>
      <c r="BF232" s="98">
        <v>1</v>
      </c>
      <c r="BG232" s="98">
        <v>3</v>
      </c>
      <c r="BH232" s="98">
        <v>2</v>
      </c>
      <c r="BI232" s="98">
        <v>6</v>
      </c>
      <c r="BJ232" s="98">
        <v>3</v>
      </c>
      <c r="BK232" s="98">
        <v>1</v>
      </c>
      <c r="BL232" s="98">
        <v>3</v>
      </c>
      <c r="BM232" s="98">
        <v>5</v>
      </c>
      <c r="BN232" s="98">
        <v>1</v>
      </c>
      <c r="BO232" s="98">
        <v>1</v>
      </c>
      <c r="BP232" s="98">
        <v>4</v>
      </c>
      <c r="BQ232" s="98">
        <v>2</v>
      </c>
      <c r="BR232" s="98">
        <v>1</v>
      </c>
      <c r="BS232" s="98">
        <v>1</v>
      </c>
      <c r="BT232" s="98">
        <v>1</v>
      </c>
      <c r="BU232" s="98">
        <v>4</v>
      </c>
      <c r="BV232" s="98">
        <v>2</v>
      </c>
      <c r="BW232" s="98">
        <v>2</v>
      </c>
      <c r="BX232" s="98">
        <v>4</v>
      </c>
      <c r="BY232" s="98">
        <v>4</v>
      </c>
      <c r="BZ232" s="98">
        <v>2</v>
      </c>
      <c r="CA232" s="98">
        <v>2</v>
      </c>
      <c r="CB232" s="98">
        <v>3</v>
      </c>
      <c r="CC232" s="98">
        <v>7</v>
      </c>
      <c r="CD232" s="98">
        <v>2</v>
      </c>
      <c r="CE232" s="98">
        <v>1</v>
      </c>
      <c r="CF232" s="98">
        <v>4</v>
      </c>
      <c r="CG232" s="98">
        <v>2</v>
      </c>
      <c r="CH232" s="98">
        <v>2</v>
      </c>
      <c r="CI232" s="98">
        <v>1</v>
      </c>
      <c r="CJ232" s="98">
        <v>2</v>
      </c>
      <c r="CK232" s="98">
        <v>1</v>
      </c>
      <c r="CL232" s="98">
        <v>1</v>
      </c>
      <c r="CM232" s="98">
        <v>2</v>
      </c>
      <c r="CN232" s="98">
        <v>2</v>
      </c>
      <c r="CO232" s="98">
        <v>1</v>
      </c>
      <c r="CP232" s="98">
        <v>2</v>
      </c>
      <c r="CQ232" s="98">
        <v>2</v>
      </c>
      <c r="CR232" s="98">
        <v>3</v>
      </c>
      <c r="CS232" s="98">
        <v>3</v>
      </c>
    </row>
    <row r="233" spans="2:97" x14ac:dyDescent="0.3">
      <c r="B233" s="83" t="s">
        <v>88</v>
      </c>
      <c r="C233" s="98">
        <v>2</v>
      </c>
      <c r="D233" s="98">
        <v>4</v>
      </c>
      <c r="E233" s="98">
        <v>3</v>
      </c>
      <c r="F233" s="98">
        <v>2</v>
      </c>
      <c r="G233" s="98">
        <v>2</v>
      </c>
      <c r="H233" s="98">
        <v>4</v>
      </c>
      <c r="I233" s="98">
        <v>3</v>
      </c>
      <c r="J233" s="98">
        <v>1</v>
      </c>
      <c r="K233" s="98">
        <v>1</v>
      </c>
      <c r="L233" s="98">
        <v>2</v>
      </c>
      <c r="M233" s="98">
        <v>1</v>
      </c>
      <c r="N233" s="98">
        <v>1</v>
      </c>
      <c r="O233" s="98">
        <v>4</v>
      </c>
      <c r="P233" s="98">
        <v>1</v>
      </c>
      <c r="Q233" s="98">
        <v>2</v>
      </c>
      <c r="R233" s="98">
        <v>2</v>
      </c>
      <c r="S233" s="98">
        <v>1</v>
      </c>
      <c r="T233" s="98">
        <v>2</v>
      </c>
      <c r="U233" s="98">
        <v>9</v>
      </c>
      <c r="V233" s="98">
        <v>2</v>
      </c>
      <c r="W233" s="98">
        <v>2</v>
      </c>
      <c r="X233" s="98">
        <v>5</v>
      </c>
      <c r="Y233" s="98">
        <v>2</v>
      </c>
      <c r="Z233" s="98">
        <v>1</v>
      </c>
      <c r="AA233" s="98">
        <v>2</v>
      </c>
      <c r="AB233" s="98">
        <v>4</v>
      </c>
      <c r="AC233" s="98">
        <v>2</v>
      </c>
      <c r="AD233" s="98">
        <v>2</v>
      </c>
      <c r="AE233" s="98">
        <v>1</v>
      </c>
      <c r="AF233" s="98">
        <v>3</v>
      </c>
      <c r="AG233" s="98">
        <v>1</v>
      </c>
      <c r="AH233" s="98">
        <v>2</v>
      </c>
      <c r="AI233" s="98">
        <v>4</v>
      </c>
      <c r="AJ233" s="98">
        <v>1</v>
      </c>
      <c r="AK233" s="98">
        <v>2</v>
      </c>
      <c r="AL233" s="98">
        <v>3</v>
      </c>
      <c r="AM233" s="98">
        <v>1</v>
      </c>
      <c r="AN233" s="98">
        <v>1</v>
      </c>
      <c r="AO233" s="98">
        <v>3</v>
      </c>
      <c r="AP233" s="98">
        <v>2</v>
      </c>
      <c r="AQ233" s="98">
        <v>1</v>
      </c>
      <c r="AR233" s="98">
        <v>1</v>
      </c>
      <c r="AS233" s="98">
        <v>1</v>
      </c>
      <c r="AT233" s="98">
        <v>1</v>
      </c>
      <c r="AU233" s="98">
        <v>3</v>
      </c>
      <c r="AV233" s="98">
        <v>2</v>
      </c>
      <c r="AW233" s="98">
        <v>8</v>
      </c>
      <c r="AX233" s="98">
        <v>1</v>
      </c>
      <c r="AY233" s="98">
        <v>1</v>
      </c>
      <c r="AZ233" s="98">
        <v>2</v>
      </c>
      <c r="BA233" s="98">
        <v>1</v>
      </c>
      <c r="BB233" s="98">
        <v>2</v>
      </c>
      <c r="BC233" s="98">
        <v>3</v>
      </c>
      <c r="BD233" s="98">
        <v>2</v>
      </c>
      <c r="BE233" s="98">
        <v>2</v>
      </c>
      <c r="BF233" s="98">
        <v>1</v>
      </c>
      <c r="BG233" s="98">
        <v>3</v>
      </c>
      <c r="BH233" s="98">
        <v>2</v>
      </c>
      <c r="BI233" s="98">
        <v>6</v>
      </c>
      <c r="BJ233" s="98">
        <v>3</v>
      </c>
      <c r="BK233" s="98">
        <v>1</v>
      </c>
      <c r="BL233" s="98">
        <v>3</v>
      </c>
      <c r="BM233" s="98">
        <v>5</v>
      </c>
      <c r="BN233" s="98">
        <v>1</v>
      </c>
      <c r="BO233" s="98">
        <v>1</v>
      </c>
      <c r="BP233" s="98">
        <v>4</v>
      </c>
      <c r="BQ233" s="98">
        <v>2</v>
      </c>
      <c r="BR233" s="98">
        <v>1</v>
      </c>
      <c r="BS233" s="98">
        <v>1</v>
      </c>
      <c r="BT233" s="98">
        <v>1</v>
      </c>
      <c r="BU233" s="98">
        <v>4</v>
      </c>
      <c r="BV233" s="98">
        <v>2</v>
      </c>
      <c r="BW233" s="98">
        <v>2</v>
      </c>
      <c r="BX233" s="98">
        <v>4</v>
      </c>
      <c r="BY233" s="98">
        <v>4</v>
      </c>
      <c r="BZ233" s="98">
        <v>2</v>
      </c>
      <c r="CA233" s="98">
        <v>2</v>
      </c>
      <c r="CB233" s="98">
        <v>3</v>
      </c>
      <c r="CC233" s="98">
        <v>7</v>
      </c>
      <c r="CD233" s="98">
        <v>2</v>
      </c>
      <c r="CE233" s="98">
        <v>1</v>
      </c>
      <c r="CF233" s="98">
        <v>4</v>
      </c>
      <c r="CG233" s="98">
        <v>2</v>
      </c>
      <c r="CH233" s="98">
        <v>2</v>
      </c>
      <c r="CI233" s="98">
        <v>1</v>
      </c>
      <c r="CJ233" s="98">
        <v>2</v>
      </c>
      <c r="CK233" s="98">
        <v>1</v>
      </c>
      <c r="CL233" s="98">
        <v>1</v>
      </c>
      <c r="CM233" s="98">
        <v>2</v>
      </c>
      <c r="CN233" s="98">
        <v>2</v>
      </c>
      <c r="CO233" s="98">
        <v>1</v>
      </c>
      <c r="CP233" s="98">
        <v>2</v>
      </c>
      <c r="CQ233" s="98">
        <v>2</v>
      </c>
      <c r="CR233" s="98">
        <v>3</v>
      </c>
      <c r="CS233" s="98">
        <v>3</v>
      </c>
    </row>
    <row r="234" spans="2:97" x14ac:dyDescent="0.3">
      <c r="B234" s="83" t="s">
        <v>89</v>
      </c>
      <c r="C234" s="98">
        <v>3</v>
      </c>
      <c r="D234" s="98">
        <v>5</v>
      </c>
      <c r="E234" s="98">
        <v>4</v>
      </c>
      <c r="F234" s="98">
        <v>3</v>
      </c>
      <c r="G234" s="98">
        <v>3</v>
      </c>
      <c r="H234" s="98">
        <v>5</v>
      </c>
      <c r="I234" s="98">
        <v>4</v>
      </c>
      <c r="J234" s="98">
        <v>2</v>
      </c>
      <c r="K234" s="98">
        <v>2</v>
      </c>
      <c r="L234" s="98">
        <v>3</v>
      </c>
      <c r="M234" s="98">
        <v>2</v>
      </c>
      <c r="N234" s="98">
        <v>2</v>
      </c>
      <c r="O234" s="98">
        <v>5</v>
      </c>
      <c r="P234" s="98">
        <v>2</v>
      </c>
      <c r="Q234" s="98">
        <v>3</v>
      </c>
      <c r="R234" s="98">
        <v>3</v>
      </c>
      <c r="S234" s="98">
        <v>2</v>
      </c>
      <c r="T234" s="98">
        <v>3</v>
      </c>
      <c r="U234" s="98">
        <v>10</v>
      </c>
      <c r="V234" s="98">
        <v>3</v>
      </c>
      <c r="W234" s="98">
        <v>3</v>
      </c>
      <c r="X234" s="98">
        <v>6</v>
      </c>
      <c r="Y234" s="98">
        <v>3</v>
      </c>
      <c r="Z234" s="98">
        <v>2</v>
      </c>
      <c r="AA234" s="98">
        <v>3</v>
      </c>
      <c r="AB234" s="98">
        <v>5</v>
      </c>
      <c r="AC234" s="98">
        <v>3</v>
      </c>
      <c r="AD234" s="98">
        <v>3</v>
      </c>
      <c r="AE234" s="98">
        <v>3</v>
      </c>
      <c r="AF234" s="98">
        <v>2</v>
      </c>
      <c r="AG234" s="98">
        <v>2</v>
      </c>
      <c r="AH234" s="98">
        <v>3</v>
      </c>
      <c r="AI234" s="98">
        <v>5</v>
      </c>
      <c r="AJ234" s="98">
        <v>2</v>
      </c>
      <c r="AK234" s="98">
        <v>3</v>
      </c>
      <c r="AL234" s="98">
        <v>4</v>
      </c>
      <c r="AM234" s="98">
        <v>2</v>
      </c>
      <c r="AN234" s="98">
        <v>2</v>
      </c>
      <c r="AO234" s="98">
        <v>4</v>
      </c>
      <c r="AP234" s="98">
        <v>3</v>
      </c>
      <c r="AQ234" s="98">
        <v>2</v>
      </c>
      <c r="AR234" s="98">
        <v>2</v>
      </c>
      <c r="AS234" s="98">
        <v>2</v>
      </c>
      <c r="AT234" s="98">
        <v>2</v>
      </c>
      <c r="AU234" s="98">
        <v>4</v>
      </c>
      <c r="AV234" s="98">
        <v>3</v>
      </c>
      <c r="AW234" s="98">
        <v>9</v>
      </c>
      <c r="AX234" s="98">
        <v>2</v>
      </c>
      <c r="AY234" s="98">
        <v>2</v>
      </c>
      <c r="AZ234" s="98">
        <v>3</v>
      </c>
      <c r="BA234" s="98">
        <v>2</v>
      </c>
      <c r="BB234" s="98">
        <v>3</v>
      </c>
      <c r="BC234" s="98">
        <v>4</v>
      </c>
      <c r="BD234" s="98">
        <v>3</v>
      </c>
      <c r="BE234" s="98">
        <v>3</v>
      </c>
      <c r="BF234" s="98">
        <v>2</v>
      </c>
      <c r="BG234" s="98">
        <v>4</v>
      </c>
      <c r="BH234" s="98">
        <v>3</v>
      </c>
      <c r="BI234" s="98">
        <v>7</v>
      </c>
      <c r="BJ234" s="98">
        <v>4</v>
      </c>
      <c r="BK234" s="98">
        <v>2</v>
      </c>
      <c r="BL234" s="98">
        <v>4</v>
      </c>
      <c r="BM234" s="98">
        <v>6</v>
      </c>
      <c r="BN234" s="98">
        <v>2</v>
      </c>
      <c r="BO234" s="98">
        <v>2</v>
      </c>
      <c r="BP234" s="98">
        <v>5</v>
      </c>
      <c r="BQ234" s="98">
        <v>3</v>
      </c>
      <c r="BR234" s="98">
        <v>2</v>
      </c>
      <c r="BS234" s="98">
        <v>2</v>
      </c>
      <c r="BT234" s="98">
        <v>2</v>
      </c>
      <c r="BU234" s="98">
        <v>5</v>
      </c>
      <c r="BV234" s="98">
        <v>3</v>
      </c>
      <c r="BW234" s="98">
        <v>3</v>
      </c>
      <c r="BX234" s="98">
        <v>5</v>
      </c>
      <c r="BY234" s="98">
        <v>5</v>
      </c>
      <c r="BZ234" s="98">
        <v>3</v>
      </c>
      <c r="CA234" s="98">
        <v>3</v>
      </c>
      <c r="CB234" s="98">
        <v>4</v>
      </c>
      <c r="CC234" s="98">
        <v>8</v>
      </c>
      <c r="CD234" s="98">
        <v>3</v>
      </c>
      <c r="CE234" s="98">
        <v>2</v>
      </c>
      <c r="CF234" s="98">
        <v>5</v>
      </c>
      <c r="CG234" s="98">
        <v>3</v>
      </c>
      <c r="CH234" s="98">
        <v>3</v>
      </c>
      <c r="CI234" s="98">
        <v>2</v>
      </c>
      <c r="CJ234" s="98">
        <v>3</v>
      </c>
      <c r="CK234" s="98">
        <v>2</v>
      </c>
      <c r="CL234" s="98">
        <v>2</v>
      </c>
      <c r="CM234" s="98">
        <v>3</v>
      </c>
      <c r="CN234" s="98">
        <v>3</v>
      </c>
      <c r="CO234" s="98">
        <v>2</v>
      </c>
      <c r="CP234" s="98">
        <v>3</v>
      </c>
      <c r="CQ234" s="98">
        <v>3</v>
      </c>
      <c r="CR234" s="98">
        <v>4</v>
      </c>
      <c r="CS234" s="98">
        <v>4</v>
      </c>
    </row>
    <row r="235" spans="2:97" x14ac:dyDescent="0.3">
      <c r="B235" s="83" t="s">
        <v>90</v>
      </c>
      <c r="C235" s="98">
        <v>1</v>
      </c>
      <c r="D235" s="98">
        <v>3</v>
      </c>
      <c r="E235" s="98">
        <v>2</v>
      </c>
      <c r="F235" s="98">
        <v>1</v>
      </c>
      <c r="G235" s="98">
        <v>1</v>
      </c>
      <c r="H235" s="98">
        <v>3</v>
      </c>
      <c r="I235" s="98">
        <v>2</v>
      </c>
      <c r="J235" s="98">
        <v>0</v>
      </c>
      <c r="K235" s="98">
        <v>0</v>
      </c>
      <c r="L235" s="98">
        <v>1</v>
      </c>
      <c r="M235" s="98">
        <v>0</v>
      </c>
      <c r="N235" s="98">
        <v>0</v>
      </c>
      <c r="O235" s="98">
        <v>3</v>
      </c>
      <c r="P235" s="98">
        <v>0</v>
      </c>
      <c r="Q235" s="98">
        <v>1</v>
      </c>
      <c r="R235" s="98">
        <v>1</v>
      </c>
      <c r="S235" s="98">
        <v>0</v>
      </c>
      <c r="T235" s="98">
        <v>1</v>
      </c>
      <c r="U235" s="98">
        <v>8</v>
      </c>
      <c r="V235" s="98">
        <v>1</v>
      </c>
      <c r="W235" s="98">
        <v>1</v>
      </c>
      <c r="X235" s="98">
        <v>4</v>
      </c>
      <c r="Y235" s="98">
        <v>1</v>
      </c>
      <c r="Z235" s="98">
        <v>0</v>
      </c>
      <c r="AA235" s="98">
        <v>1</v>
      </c>
      <c r="AB235" s="98">
        <v>3</v>
      </c>
      <c r="AC235" s="98">
        <v>1</v>
      </c>
      <c r="AD235" s="98">
        <v>1</v>
      </c>
      <c r="AE235" s="98">
        <v>1</v>
      </c>
      <c r="AF235" s="98">
        <v>2</v>
      </c>
      <c r="AG235" s="98">
        <v>0</v>
      </c>
      <c r="AH235" s="98">
        <v>1</v>
      </c>
      <c r="AI235" s="98">
        <v>3</v>
      </c>
      <c r="AJ235" s="98">
        <v>0</v>
      </c>
      <c r="AK235" s="98">
        <v>1</v>
      </c>
      <c r="AL235" s="98">
        <v>2</v>
      </c>
      <c r="AM235" s="98">
        <v>0</v>
      </c>
      <c r="AN235" s="98">
        <v>0</v>
      </c>
      <c r="AO235" s="98">
        <v>2</v>
      </c>
      <c r="AP235" s="98">
        <v>1</v>
      </c>
      <c r="AQ235" s="98">
        <v>0</v>
      </c>
      <c r="AR235" s="98">
        <v>0</v>
      </c>
      <c r="AS235" s="98">
        <v>0</v>
      </c>
      <c r="AT235" s="98">
        <v>0</v>
      </c>
      <c r="AU235" s="98">
        <v>2</v>
      </c>
      <c r="AV235" s="98">
        <v>1</v>
      </c>
      <c r="AW235" s="98">
        <v>7</v>
      </c>
      <c r="AX235" s="98">
        <v>0</v>
      </c>
      <c r="AY235" s="98">
        <v>0</v>
      </c>
      <c r="AZ235" s="98">
        <v>1</v>
      </c>
      <c r="BA235" s="98">
        <v>0</v>
      </c>
      <c r="BB235" s="98">
        <v>1</v>
      </c>
      <c r="BC235" s="98">
        <v>2</v>
      </c>
      <c r="BD235" s="98">
        <v>1</v>
      </c>
      <c r="BE235" s="98">
        <v>1</v>
      </c>
      <c r="BF235" s="98">
        <v>0</v>
      </c>
      <c r="BG235" s="98">
        <v>2</v>
      </c>
      <c r="BH235" s="98">
        <v>1</v>
      </c>
      <c r="BI235" s="98">
        <v>5</v>
      </c>
      <c r="BJ235" s="98">
        <v>2</v>
      </c>
      <c r="BK235" s="98">
        <v>0</v>
      </c>
      <c r="BL235" s="98">
        <v>2</v>
      </c>
      <c r="BM235" s="98">
        <v>4</v>
      </c>
      <c r="BN235" s="98">
        <v>0</v>
      </c>
      <c r="BO235" s="98">
        <v>0</v>
      </c>
      <c r="BP235" s="98">
        <v>3</v>
      </c>
      <c r="BQ235" s="98">
        <v>1</v>
      </c>
      <c r="BR235" s="98">
        <v>0</v>
      </c>
      <c r="BS235" s="98">
        <v>0</v>
      </c>
      <c r="BT235" s="98">
        <v>0</v>
      </c>
      <c r="BU235" s="98">
        <v>3</v>
      </c>
      <c r="BV235" s="98">
        <v>1</v>
      </c>
      <c r="BW235" s="98">
        <v>1</v>
      </c>
      <c r="BX235" s="98">
        <v>3</v>
      </c>
      <c r="BY235" s="98">
        <v>3</v>
      </c>
      <c r="BZ235" s="98">
        <v>1</v>
      </c>
      <c r="CA235" s="98">
        <v>1</v>
      </c>
      <c r="CB235" s="98">
        <v>2</v>
      </c>
      <c r="CC235" s="98">
        <v>6</v>
      </c>
      <c r="CD235" s="98">
        <v>1</v>
      </c>
      <c r="CE235" s="98">
        <v>0</v>
      </c>
      <c r="CF235" s="98">
        <v>3</v>
      </c>
      <c r="CG235" s="98">
        <v>1</v>
      </c>
      <c r="CH235" s="98">
        <v>1</v>
      </c>
      <c r="CI235" s="98">
        <v>0</v>
      </c>
      <c r="CJ235" s="98">
        <v>1</v>
      </c>
      <c r="CK235" s="98">
        <v>0</v>
      </c>
      <c r="CL235" s="98">
        <v>0</v>
      </c>
      <c r="CM235" s="98">
        <v>1</v>
      </c>
      <c r="CN235" s="98">
        <v>1</v>
      </c>
      <c r="CO235" s="98">
        <v>0</v>
      </c>
      <c r="CP235" s="98">
        <v>1</v>
      </c>
      <c r="CQ235" s="98">
        <v>1</v>
      </c>
      <c r="CR235" s="98">
        <v>2</v>
      </c>
      <c r="CS235" s="98">
        <v>2</v>
      </c>
    </row>
    <row r="236" spans="2:97" x14ac:dyDescent="0.3">
      <c r="B236" s="83" t="s">
        <v>91</v>
      </c>
      <c r="C236" s="98">
        <v>2</v>
      </c>
      <c r="D236" s="98">
        <v>4</v>
      </c>
      <c r="E236" s="98">
        <v>3</v>
      </c>
      <c r="F236" s="98">
        <v>2</v>
      </c>
      <c r="G236" s="98">
        <v>2</v>
      </c>
      <c r="H236" s="98">
        <v>4</v>
      </c>
      <c r="I236" s="98">
        <v>3</v>
      </c>
      <c r="J236" s="98">
        <v>1</v>
      </c>
      <c r="K236" s="98">
        <v>1</v>
      </c>
      <c r="L236" s="98">
        <v>2</v>
      </c>
      <c r="M236" s="98">
        <v>1</v>
      </c>
      <c r="N236" s="98">
        <v>1</v>
      </c>
      <c r="O236" s="98">
        <v>4</v>
      </c>
      <c r="P236" s="98">
        <v>1</v>
      </c>
      <c r="Q236" s="98">
        <v>2</v>
      </c>
      <c r="R236" s="98">
        <v>2</v>
      </c>
      <c r="S236" s="98">
        <v>1</v>
      </c>
      <c r="T236" s="98">
        <v>2</v>
      </c>
      <c r="U236" s="98">
        <v>9</v>
      </c>
      <c r="V236" s="98">
        <v>2</v>
      </c>
      <c r="W236" s="98">
        <v>2</v>
      </c>
      <c r="X236" s="98">
        <v>5</v>
      </c>
      <c r="Y236" s="98">
        <v>2</v>
      </c>
      <c r="Z236" s="98">
        <v>1</v>
      </c>
      <c r="AA236" s="98">
        <v>2</v>
      </c>
      <c r="AB236" s="98">
        <v>4</v>
      </c>
      <c r="AC236" s="98">
        <v>2</v>
      </c>
      <c r="AD236" s="98">
        <v>2</v>
      </c>
      <c r="AE236" s="98">
        <v>2</v>
      </c>
      <c r="AF236" s="98">
        <v>3</v>
      </c>
      <c r="AG236" s="98">
        <v>1</v>
      </c>
      <c r="AH236" s="98">
        <v>1</v>
      </c>
      <c r="AI236" s="98">
        <v>4</v>
      </c>
      <c r="AJ236" s="98">
        <v>1</v>
      </c>
      <c r="AK236" s="98">
        <v>2</v>
      </c>
      <c r="AL236" s="98">
        <v>3</v>
      </c>
      <c r="AM236" s="98">
        <v>1</v>
      </c>
      <c r="AN236" s="98">
        <v>1</v>
      </c>
      <c r="AO236" s="98">
        <v>3</v>
      </c>
      <c r="AP236" s="98">
        <v>2</v>
      </c>
      <c r="AQ236" s="98">
        <v>1</v>
      </c>
      <c r="AR236" s="98">
        <v>1</v>
      </c>
      <c r="AS236" s="98">
        <v>1</v>
      </c>
      <c r="AT236" s="98">
        <v>1</v>
      </c>
      <c r="AU236" s="98">
        <v>3</v>
      </c>
      <c r="AV236" s="98">
        <v>2</v>
      </c>
      <c r="AW236" s="98">
        <v>8</v>
      </c>
      <c r="AX236" s="98">
        <v>1</v>
      </c>
      <c r="AY236" s="98">
        <v>1</v>
      </c>
      <c r="AZ236" s="98">
        <v>2</v>
      </c>
      <c r="BA236" s="98">
        <v>1</v>
      </c>
      <c r="BB236" s="98">
        <v>2</v>
      </c>
      <c r="BC236" s="98">
        <v>3</v>
      </c>
      <c r="BD236" s="98">
        <v>2</v>
      </c>
      <c r="BE236" s="98">
        <v>2</v>
      </c>
      <c r="BF236" s="98">
        <v>1</v>
      </c>
      <c r="BG236" s="98">
        <v>3</v>
      </c>
      <c r="BH236" s="98">
        <v>2</v>
      </c>
      <c r="BI236" s="98">
        <v>6</v>
      </c>
      <c r="BJ236" s="98">
        <v>3</v>
      </c>
      <c r="BK236" s="98">
        <v>1</v>
      </c>
      <c r="BL236" s="98">
        <v>3</v>
      </c>
      <c r="BM236" s="98">
        <v>5</v>
      </c>
      <c r="BN236" s="98">
        <v>1</v>
      </c>
      <c r="BO236" s="98">
        <v>1</v>
      </c>
      <c r="BP236" s="98">
        <v>4</v>
      </c>
      <c r="BQ236" s="98">
        <v>2</v>
      </c>
      <c r="BR236" s="98">
        <v>1</v>
      </c>
      <c r="BS236" s="98">
        <v>1</v>
      </c>
      <c r="BT236" s="98">
        <v>1</v>
      </c>
      <c r="BU236" s="98">
        <v>4</v>
      </c>
      <c r="BV236" s="98">
        <v>2</v>
      </c>
      <c r="BW236" s="98">
        <v>2</v>
      </c>
      <c r="BX236" s="98">
        <v>4</v>
      </c>
      <c r="BY236" s="98">
        <v>4</v>
      </c>
      <c r="BZ236" s="98">
        <v>2</v>
      </c>
      <c r="CA236" s="98">
        <v>2</v>
      </c>
      <c r="CB236" s="98">
        <v>3</v>
      </c>
      <c r="CC236" s="98">
        <v>7</v>
      </c>
      <c r="CD236" s="98">
        <v>2</v>
      </c>
      <c r="CE236" s="98">
        <v>1</v>
      </c>
      <c r="CF236" s="98">
        <v>4</v>
      </c>
      <c r="CG236" s="98">
        <v>2</v>
      </c>
      <c r="CH236" s="98">
        <v>2</v>
      </c>
      <c r="CI236" s="98">
        <v>1</v>
      </c>
      <c r="CJ236" s="98">
        <v>2</v>
      </c>
      <c r="CK236" s="98">
        <v>1</v>
      </c>
      <c r="CL236" s="98">
        <v>1</v>
      </c>
      <c r="CM236" s="98">
        <v>2</v>
      </c>
      <c r="CN236" s="98">
        <v>2</v>
      </c>
      <c r="CO236" s="98">
        <v>1</v>
      </c>
      <c r="CP236" s="98">
        <v>2</v>
      </c>
      <c r="CQ236" s="98">
        <v>2</v>
      </c>
      <c r="CR236" s="98">
        <v>3</v>
      </c>
      <c r="CS236" s="98">
        <v>3</v>
      </c>
    </row>
    <row r="237" spans="2:97" x14ac:dyDescent="0.3">
      <c r="B237" s="83" t="s">
        <v>92</v>
      </c>
      <c r="C237" s="98">
        <v>4</v>
      </c>
      <c r="D237" s="98">
        <v>6</v>
      </c>
      <c r="E237" s="98">
        <v>5</v>
      </c>
      <c r="F237" s="98">
        <v>4</v>
      </c>
      <c r="G237" s="98">
        <v>4</v>
      </c>
      <c r="H237" s="98">
        <v>6</v>
      </c>
      <c r="I237" s="98">
        <v>5</v>
      </c>
      <c r="J237" s="98">
        <v>3</v>
      </c>
      <c r="K237" s="98">
        <v>3</v>
      </c>
      <c r="L237" s="98">
        <v>4</v>
      </c>
      <c r="M237" s="98">
        <v>3</v>
      </c>
      <c r="N237" s="98">
        <v>3</v>
      </c>
      <c r="O237" s="98">
        <v>6</v>
      </c>
      <c r="P237" s="98">
        <v>3</v>
      </c>
      <c r="Q237" s="98">
        <v>4</v>
      </c>
      <c r="R237" s="98">
        <v>4</v>
      </c>
      <c r="S237" s="98">
        <v>3</v>
      </c>
      <c r="T237" s="98">
        <v>4</v>
      </c>
      <c r="U237" s="98">
        <v>11</v>
      </c>
      <c r="V237" s="98">
        <v>4</v>
      </c>
      <c r="W237" s="98">
        <v>4</v>
      </c>
      <c r="X237" s="98">
        <v>7</v>
      </c>
      <c r="Y237" s="98">
        <v>4</v>
      </c>
      <c r="Z237" s="98">
        <v>3</v>
      </c>
      <c r="AA237" s="98">
        <v>4</v>
      </c>
      <c r="AB237" s="98">
        <v>6</v>
      </c>
      <c r="AC237" s="98">
        <v>4</v>
      </c>
      <c r="AD237" s="98">
        <v>4</v>
      </c>
      <c r="AE237" s="98">
        <v>4</v>
      </c>
      <c r="AF237" s="98">
        <v>5</v>
      </c>
      <c r="AG237" s="98">
        <v>3</v>
      </c>
      <c r="AH237" s="98">
        <v>4</v>
      </c>
      <c r="AI237" s="98">
        <v>3</v>
      </c>
      <c r="AJ237" s="98">
        <v>3</v>
      </c>
      <c r="AK237" s="98">
        <v>4</v>
      </c>
      <c r="AL237" s="98">
        <v>5</v>
      </c>
      <c r="AM237" s="98">
        <v>3</v>
      </c>
      <c r="AN237" s="98">
        <v>3</v>
      </c>
      <c r="AO237" s="98">
        <v>5</v>
      </c>
      <c r="AP237" s="98">
        <v>4</v>
      </c>
      <c r="AQ237" s="98">
        <v>3</v>
      </c>
      <c r="AR237" s="98">
        <v>3</v>
      </c>
      <c r="AS237" s="98">
        <v>3</v>
      </c>
      <c r="AT237" s="98">
        <v>3</v>
      </c>
      <c r="AU237" s="98">
        <v>5</v>
      </c>
      <c r="AV237" s="98">
        <v>4</v>
      </c>
      <c r="AW237" s="98">
        <v>10</v>
      </c>
      <c r="AX237" s="98">
        <v>3</v>
      </c>
      <c r="AY237" s="98">
        <v>3</v>
      </c>
      <c r="AZ237" s="98">
        <v>4</v>
      </c>
      <c r="BA237" s="98">
        <v>3</v>
      </c>
      <c r="BB237" s="98">
        <v>4</v>
      </c>
      <c r="BC237" s="98">
        <v>5</v>
      </c>
      <c r="BD237" s="98">
        <v>4</v>
      </c>
      <c r="BE237" s="98">
        <v>4</v>
      </c>
      <c r="BF237" s="98">
        <v>3</v>
      </c>
      <c r="BG237" s="98">
        <v>5</v>
      </c>
      <c r="BH237" s="98">
        <v>4</v>
      </c>
      <c r="BI237" s="98">
        <v>8</v>
      </c>
      <c r="BJ237" s="98">
        <v>5</v>
      </c>
      <c r="BK237" s="98">
        <v>3</v>
      </c>
      <c r="BL237" s="98">
        <v>5</v>
      </c>
      <c r="BM237" s="98">
        <v>7</v>
      </c>
      <c r="BN237" s="98">
        <v>3</v>
      </c>
      <c r="BO237" s="98">
        <v>3</v>
      </c>
      <c r="BP237" s="98">
        <v>6</v>
      </c>
      <c r="BQ237" s="98">
        <v>4</v>
      </c>
      <c r="BR237" s="98">
        <v>3</v>
      </c>
      <c r="BS237" s="98">
        <v>3</v>
      </c>
      <c r="BT237" s="98">
        <v>3</v>
      </c>
      <c r="BU237" s="98">
        <v>6</v>
      </c>
      <c r="BV237" s="98">
        <v>4</v>
      </c>
      <c r="BW237" s="98">
        <v>4</v>
      </c>
      <c r="BX237" s="98">
        <v>6</v>
      </c>
      <c r="BY237" s="98">
        <v>6</v>
      </c>
      <c r="BZ237" s="98">
        <v>4</v>
      </c>
      <c r="CA237" s="98">
        <v>4</v>
      </c>
      <c r="CB237" s="98">
        <v>5</v>
      </c>
      <c r="CC237" s="98">
        <v>9</v>
      </c>
      <c r="CD237" s="98">
        <v>4</v>
      </c>
      <c r="CE237" s="98">
        <v>3</v>
      </c>
      <c r="CF237" s="98">
        <v>6</v>
      </c>
      <c r="CG237" s="98">
        <v>4</v>
      </c>
      <c r="CH237" s="98">
        <v>4</v>
      </c>
      <c r="CI237" s="98">
        <v>3</v>
      </c>
      <c r="CJ237" s="98">
        <v>4</v>
      </c>
      <c r="CK237" s="98">
        <v>3</v>
      </c>
      <c r="CL237" s="98">
        <v>3</v>
      </c>
      <c r="CM237" s="98">
        <v>4</v>
      </c>
      <c r="CN237" s="98">
        <v>4</v>
      </c>
      <c r="CO237" s="98">
        <v>3</v>
      </c>
      <c r="CP237" s="98">
        <v>4</v>
      </c>
      <c r="CQ237" s="98">
        <v>4</v>
      </c>
      <c r="CR237" s="98">
        <v>5</v>
      </c>
      <c r="CS237" s="98">
        <v>5</v>
      </c>
    </row>
    <row r="238" spans="2:97" x14ac:dyDescent="0.3">
      <c r="B238" s="83" t="s">
        <v>93</v>
      </c>
      <c r="C238" s="98">
        <v>1</v>
      </c>
      <c r="D238" s="98">
        <v>3</v>
      </c>
      <c r="E238" s="98">
        <v>2</v>
      </c>
      <c r="F238" s="98">
        <v>1</v>
      </c>
      <c r="G238" s="98">
        <v>1</v>
      </c>
      <c r="H238" s="98">
        <v>3</v>
      </c>
      <c r="I238" s="98">
        <v>2</v>
      </c>
      <c r="J238" s="98">
        <v>0</v>
      </c>
      <c r="K238" s="98">
        <v>0</v>
      </c>
      <c r="L238" s="98">
        <v>1</v>
      </c>
      <c r="M238" s="98">
        <v>0</v>
      </c>
      <c r="N238" s="98">
        <v>0</v>
      </c>
      <c r="O238" s="98">
        <v>3</v>
      </c>
      <c r="P238" s="98">
        <v>0</v>
      </c>
      <c r="Q238" s="98">
        <v>1</v>
      </c>
      <c r="R238" s="98">
        <v>1</v>
      </c>
      <c r="S238" s="98">
        <v>0</v>
      </c>
      <c r="T238" s="98">
        <v>1</v>
      </c>
      <c r="U238" s="98">
        <v>8</v>
      </c>
      <c r="V238" s="98">
        <v>1</v>
      </c>
      <c r="W238" s="98">
        <v>1</v>
      </c>
      <c r="X238" s="98">
        <v>4</v>
      </c>
      <c r="Y238" s="98">
        <v>1</v>
      </c>
      <c r="Z238" s="98">
        <v>0</v>
      </c>
      <c r="AA238" s="98">
        <v>1</v>
      </c>
      <c r="AB238" s="98">
        <v>3</v>
      </c>
      <c r="AC238" s="98">
        <v>1</v>
      </c>
      <c r="AD238" s="98">
        <v>1</v>
      </c>
      <c r="AE238" s="98">
        <v>1</v>
      </c>
      <c r="AF238" s="98">
        <v>2</v>
      </c>
      <c r="AG238" s="98">
        <v>0</v>
      </c>
      <c r="AH238" s="98">
        <v>1</v>
      </c>
      <c r="AI238" s="98">
        <v>3</v>
      </c>
      <c r="AJ238" s="98">
        <v>0</v>
      </c>
      <c r="AK238" s="98">
        <v>1</v>
      </c>
      <c r="AL238" s="98">
        <v>2</v>
      </c>
      <c r="AM238" s="98">
        <v>0</v>
      </c>
      <c r="AN238" s="98">
        <v>0</v>
      </c>
      <c r="AO238" s="98">
        <v>2</v>
      </c>
      <c r="AP238" s="98">
        <v>1</v>
      </c>
      <c r="AQ238" s="98">
        <v>0</v>
      </c>
      <c r="AR238" s="98">
        <v>0</v>
      </c>
      <c r="AS238" s="98">
        <v>0</v>
      </c>
      <c r="AT238" s="98">
        <v>0</v>
      </c>
      <c r="AU238" s="98">
        <v>2</v>
      </c>
      <c r="AV238" s="98">
        <v>1</v>
      </c>
      <c r="AW238" s="98">
        <v>7</v>
      </c>
      <c r="AX238" s="98">
        <v>0</v>
      </c>
      <c r="AY238" s="98">
        <v>0</v>
      </c>
      <c r="AZ238" s="98">
        <v>1</v>
      </c>
      <c r="BA238" s="98">
        <v>0</v>
      </c>
      <c r="BB238" s="98">
        <v>1</v>
      </c>
      <c r="BC238" s="98">
        <v>2</v>
      </c>
      <c r="BD238" s="98">
        <v>1</v>
      </c>
      <c r="BE238" s="98">
        <v>1</v>
      </c>
      <c r="BF238" s="98">
        <v>0</v>
      </c>
      <c r="BG238" s="98">
        <v>2</v>
      </c>
      <c r="BH238" s="98">
        <v>1</v>
      </c>
      <c r="BI238" s="98">
        <v>5</v>
      </c>
      <c r="BJ238" s="98">
        <v>2</v>
      </c>
      <c r="BK238" s="98">
        <v>0</v>
      </c>
      <c r="BL238" s="98">
        <v>2</v>
      </c>
      <c r="BM238" s="98">
        <v>4</v>
      </c>
      <c r="BN238" s="98">
        <v>0</v>
      </c>
      <c r="BO238" s="98">
        <v>0</v>
      </c>
      <c r="BP238" s="98">
        <v>3</v>
      </c>
      <c r="BQ238" s="98">
        <v>1</v>
      </c>
      <c r="BR238" s="98">
        <v>0</v>
      </c>
      <c r="BS238" s="98">
        <v>0</v>
      </c>
      <c r="BT238" s="98">
        <v>0</v>
      </c>
      <c r="BU238" s="98">
        <v>3</v>
      </c>
      <c r="BV238" s="98">
        <v>1</v>
      </c>
      <c r="BW238" s="98">
        <v>1</v>
      </c>
      <c r="BX238" s="98">
        <v>3</v>
      </c>
      <c r="BY238" s="98">
        <v>3</v>
      </c>
      <c r="BZ238" s="98">
        <v>1</v>
      </c>
      <c r="CA238" s="98">
        <v>1</v>
      </c>
      <c r="CB238" s="98">
        <v>2</v>
      </c>
      <c r="CC238" s="98">
        <v>6</v>
      </c>
      <c r="CD238" s="98">
        <v>1</v>
      </c>
      <c r="CE238" s="98">
        <v>0</v>
      </c>
      <c r="CF238" s="98">
        <v>3</v>
      </c>
      <c r="CG238" s="98">
        <v>1</v>
      </c>
      <c r="CH238" s="98">
        <v>1</v>
      </c>
      <c r="CI238" s="98">
        <v>0</v>
      </c>
      <c r="CJ238" s="98">
        <v>1</v>
      </c>
      <c r="CK238" s="98">
        <v>0</v>
      </c>
      <c r="CL238" s="98">
        <v>0</v>
      </c>
      <c r="CM238" s="98">
        <v>1</v>
      </c>
      <c r="CN238" s="98">
        <v>1</v>
      </c>
      <c r="CO238" s="98">
        <v>0</v>
      </c>
      <c r="CP238" s="98">
        <v>1</v>
      </c>
      <c r="CQ238" s="98">
        <v>1</v>
      </c>
      <c r="CR238" s="98">
        <v>2</v>
      </c>
      <c r="CS238" s="98">
        <v>2</v>
      </c>
    </row>
    <row r="239" spans="2:97" x14ac:dyDescent="0.3">
      <c r="B239" s="83" t="s">
        <v>94</v>
      </c>
      <c r="C239" s="98">
        <v>2</v>
      </c>
      <c r="D239" s="98">
        <v>4</v>
      </c>
      <c r="E239" s="98">
        <v>3</v>
      </c>
      <c r="F239" s="98">
        <v>2</v>
      </c>
      <c r="G239" s="98">
        <v>2</v>
      </c>
      <c r="H239" s="98">
        <v>4</v>
      </c>
      <c r="I239" s="98">
        <v>3</v>
      </c>
      <c r="J239" s="98">
        <v>1</v>
      </c>
      <c r="K239" s="98">
        <v>1</v>
      </c>
      <c r="L239" s="98">
        <v>2</v>
      </c>
      <c r="M239" s="98">
        <v>1</v>
      </c>
      <c r="N239" s="98">
        <v>1</v>
      </c>
      <c r="O239" s="98">
        <v>4</v>
      </c>
      <c r="P239" s="98">
        <v>1</v>
      </c>
      <c r="Q239" s="98">
        <v>2</v>
      </c>
      <c r="R239" s="98">
        <v>2</v>
      </c>
      <c r="S239" s="98">
        <v>1</v>
      </c>
      <c r="T239" s="98">
        <v>2</v>
      </c>
      <c r="U239" s="98">
        <v>9</v>
      </c>
      <c r="V239" s="98">
        <v>2</v>
      </c>
      <c r="W239" s="98">
        <v>2</v>
      </c>
      <c r="X239" s="98">
        <v>5</v>
      </c>
      <c r="Y239" s="98">
        <v>2</v>
      </c>
      <c r="Z239" s="98">
        <v>1</v>
      </c>
      <c r="AA239" s="98">
        <v>2</v>
      </c>
      <c r="AB239" s="98">
        <v>4</v>
      </c>
      <c r="AC239" s="98">
        <v>2</v>
      </c>
      <c r="AD239" s="98">
        <v>2</v>
      </c>
      <c r="AE239" s="98">
        <v>2</v>
      </c>
      <c r="AF239" s="98">
        <v>3</v>
      </c>
      <c r="AG239" s="98">
        <v>1</v>
      </c>
      <c r="AH239" s="98">
        <v>2</v>
      </c>
      <c r="AI239" s="98">
        <v>4</v>
      </c>
      <c r="AJ239" s="98">
        <v>1</v>
      </c>
      <c r="AK239" s="98">
        <v>1</v>
      </c>
      <c r="AL239" s="98">
        <v>3</v>
      </c>
      <c r="AM239" s="98">
        <v>1</v>
      </c>
      <c r="AN239" s="98">
        <v>1</v>
      </c>
      <c r="AO239" s="98">
        <v>3</v>
      </c>
      <c r="AP239" s="98">
        <v>2</v>
      </c>
      <c r="AQ239" s="98">
        <v>1</v>
      </c>
      <c r="AR239" s="98">
        <v>1</v>
      </c>
      <c r="AS239" s="98">
        <v>1</v>
      </c>
      <c r="AT239" s="98">
        <v>1</v>
      </c>
      <c r="AU239" s="98">
        <v>3</v>
      </c>
      <c r="AV239" s="98">
        <v>2</v>
      </c>
      <c r="AW239" s="98">
        <v>8</v>
      </c>
      <c r="AX239" s="98">
        <v>1</v>
      </c>
      <c r="AY239" s="98">
        <v>1</v>
      </c>
      <c r="AZ239" s="98">
        <v>2</v>
      </c>
      <c r="BA239" s="98">
        <v>1</v>
      </c>
      <c r="BB239" s="98">
        <v>2</v>
      </c>
      <c r="BC239" s="98">
        <v>3</v>
      </c>
      <c r="BD239" s="98">
        <v>2</v>
      </c>
      <c r="BE239" s="98">
        <v>2</v>
      </c>
      <c r="BF239" s="98">
        <v>1</v>
      </c>
      <c r="BG239" s="98">
        <v>3</v>
      </c>
      <c r="BH239" s="98">
        <v>2</v>
      </c>
      <c r="BI239" s="98">
        <v>6</v>
      </c>
      <c r="BJ239" s="98">
        <v>3</v>
      </c>
      <c r="BK239" s="98">
        <v>1</v>
      </c>
      <c r="BL239" s="98">
        <v>3</v>
      </c>
      <c r="BM239" s="98">
        <v>5</v>
      </c>
      <c r="BN239" s="98">
        <v>1</v>
      </c>
      <c r="BO239" s="98">
        <v>1</v>
      </c>
      <c r="BP239" s="98">
        <v>4</v>
      </c>
      <c r="BQ239" s="98">
        <v>2</v>
      </c>
      <c r="BR239" s="98">
        <v>1</v>
      </c>
      <c r="BS239" s="98">
        <v>1</v>
      </c>
      <c r="BT239" s="98">
        <v>1</v>
      </c>
      <c r="BU239" s="98">
        <v>4</v>
      </c>
      <c r="BV239" s="98">
        <v>2</v>
      </c>
      <c r="BW239" s="98">
        <v>2</v>
      </c>
      <c r="BX239" s="98">
        <v>4</v>
      </c>
      <c r="BY239" s="98">
        <v>4</v>
      </c>
      <c r="BZ239" s="98">
        <v>2</v>
      </c>
      <c r="CA239" s="98">
        <v>2</v>
      </c>
      <c r="CB239" s="98">
        <v>3</v>
      </c>
      <c r="CC239" s="98">
        <v>7</v>
      </c>
      <c r="CD239" s="98">
        <v>2</v>
      </c>
      <c r="CE239" s="98">
        <v>1</v>
      </c>
      <c r="CF239" s="98">
        <v>4</v>
      </c>
      <c r="CG239" s="98">
        <v>2</v>
      </c>
      <c r="CH239" s="98">
        <v>2</v>
      </c>
      <c r="CI239" s="98">
        <v>1</v>
      </c>
      <c r="CJ239" s="98">
        <v>2</v>
      </c>
      <c r="CK239" s="98">
        <v>1</v>
      </c>
      <c r="CL239" s="98">
        <v>1</v>
      </c>
      <c r="CM239" s="98">
        <v>2</v>
      </c>
      <c r="CN239" s="98">
        <v>2</v>
      </c>
      <c r="CO239" s="98">
        <v>1</v>
      </c>
      <c r="CP239" s="98">
        <v>2</v>
      </c>
      <c r="CQ239" s="98">
        <v>2</v>
      </c>
      <c r="CR239" s="98">
        <v>3</v>
      </c>
      <c r="CS239" s="98">
        <v>3</v>
      </c>
    </row>
    <row r="240" spans="2:97" x14ac:dyDescent="0.3">
      <c r="B240" s="83" t="s">
        <v>95</v>
      </c>
      <c r="C240" s="98">
        <v>3</v>
      </c>
      <c r="D240" s="98">
        <v>5</v>
      </c>
      <c r="E240" s="98">
        <v>4</v>
      </c>
      <c r="F240" s="98">
        <v>3</v>
      </c>
      <c r="G240" s="98">
        <v>3</v>
      </c>
      <c r="H240" s="98">
        <v>5</v>
      </c>
      <c r="I240" s="98">
        <v>4</v>
      </c>
      <c r="J240" s="98">
        <v>2</v>
      </c>
      <c r="K240" s="98">
        <v>2</v>
      </c>
      <c r="L240" s="98">
        <v>3</v>
      </c>
      <c r="M240" s="98">
        <v>2</v>
      </c>
      <c r="N240" s="98">
        <v>2</v>
      </c>
      <c r="O240" s="98">
        <v>5</v>
      </c>
      <c r="P240" s="98">
        <v>2</v>
      </c>
      <c r="Q240" s="98">
        <v>3</v>
      </c>
      <c r="R240" s="98">
        <v>3</v>
      </c>
      <c r="S240" s="98">
        <v>2</v>
      </c>
      <c r="T240" s="98">
        <v>3</v>
      </c>
      <c r="U240" s="98">
        <v>10</v>
      </c>
      <c r="V240" s="98">
        <v>3</v>
      </c>
      <c r="W240" s="98">
        <v>3</v>
      </c>
      <c r="X240" s="98">
        <v>6</v>
      </c>
      <c r="Y240" s="98">
        <v>3</v>
      </c>
      <c r="Z240" s="98">
        <v>2</v>
      </c>
      <c r="AA240" s="98">
        <v>3</v>
      </c>
      <c r="AB240" s="98">
        <v>5</v>
      </c>
      <c r="AC240" s="98">
        <v>3</v>
      </c>
      <c r="AD240" s="98">
        <v>3</v>
      </c>
      <c r="AE240" s="98">
        <v>3</v>
      </c>
      <c r="AF240" s="98">
        <v>4</v>
      </c>
      <c r="AG240" s="98">
        <v>2</v>
      </c>
      <c r="AH240" s="98">
        <v>3</v>
      </c>
      <c r="AI240" s="98">
        <v>5</v>
      </c>
      <c r="AJ240" s="98">
        <v>2</v>
      </c>
      <c r="AK240" s="98">
        <v>3</v>
      </c>
      <c r="AL240" s="98">
        <v>2</v>
      </c>
      <c r="AM240" s="98">
        <v>2</v>
      </c>
      <c r="AN240" s="98">
        <v>2</v>
      </c>
      <c r="AO240" s="98">
        <v>4</v>
      </c>
      <c r="AP240" s="98">
        <v>3</v>
      </c>
      <c r="AQ240" s="98">
        <v>2</v>
      </c>
      <c r="AR240" s="98">
        <v>2</v>
      </c>
      <c r="AS240" s="98">
        <v>2</v>
      </c>
      <c r="AT240" s="98">
        <v>2</v>
      </c>
      <c r="AU240" s="98">
        <v>4</v>
      </c>
      <c r="AV240" s="98">
        <v>3</v>
      </c>
      <c r="AW240" s="98">
        <v>9</v>
      </c>
      <c r="AX240" s="98">
        <v>2</v>
      </c>
      <c r="AY240" s="98">
        <v>2</v>
      </c>
      <c r="AZ240" s="98">
        <v>3</v>
      </c>
      <c r="BA240" s="98">
        <v>2</v>
      </c>
      <c r="BB240" s="98">
        <v>3</v>
      </c>
      <c r="BC240" s="98">
        <v>4</v>
      </c>
      <c r="BD240" s="98">
        <v>3</v>
      </c>
      <c r="BE240" s="98">
        <v>3</v>
      </c>
      <c r="BF240" s="98">
        <v>2</v>
      </c>
      <c r="BG240" s="98">
        <v>4</v>
      </c>
      <c r="BH240" s="98">
        <v>3</v>
      </c>
      <c r="BI240" s="98">
        <v>7</v>
      </c>
      <c r="BJ240" s="98">
        <v>4</v>
      </c>
      <c r="BK240" s="98">
        <v>2</v>
      </c>
      <c r="BL240" s="98">
        <v>4</v>
      </c>
      <c r="BM240" s="98">
        <v>6</v>
      </c>
      <c r="BN240" s="98">
        <v>2</v>
      </c>
      <c r="BO240" s="98">
        <v>2</v>
      </c>
      <c r="BP240" s="98">
        <v>5</v>
      </c>
      <c r="BQ240" s="98">
        <v>3</v>
      </c>
      <c r="BR240" s="98">
        <v>2</v>
      </c>
      <c r="BS240" s="98">
        <v>2</v>
      </c>
      <c r="BT240" s="98">
        <v>2</v>
      </c>
      <c r="BU240" s="98">
        <v>5</v>
      </c>
      <c r="BV240" s="98">
        <v>3</v>
      </c>
      <c r="BW240" s="98">
        <v>3</v>
      </c>
      <c r="BX240" s="98">
        <v>5</v>
      </c>
      <c r="BY240" s="98">
        <v>5</v>
      </c>
      <c r="BZ240" s="98">
        <v>3</v>
      </c>
      <c r="CA240" s="98">
        <v>3</v>
      </c>
      <c r="CB240" s="98">
        <v>4</v>
      </c>
      <c r="CC240" s="98">
        <v>8</v>
      </c>
      <c r="CD240" s="98">
        <v>3</v>
      </c>
      <c r="CE240" s="98">
        <v>2</v>
      </c>
      <c r="CF240" s="98">
        <v>5</v>
      </c>
      <c r="CG240" s="98">
        <v>3</v>
      </c>
      <c r="CH240" s="98">
        <v>3</v>
      </c>
      <c r="CI240" s="98">
        <v>2</v>
      </c>
      <c r="CJ240" s="98">
        <v>3</v>
      </c>
      <c r="CK240" s="98">
        <v>2</v>
      </c>
      <c r="CL240" s="98">
        <v>2</v>
      </c>
      <c r="CM240" s="98">
        <v>3</v>
      </c>
      <c r="CN240" s="98">
        <v>3</v>
      </c>
      <c r="CO240" s="98">
        <v>2</v>
      </c>
      <c r="CP240" s="98">
        <v>3</v>
      </c>
      <c r="CQ240" s="98">
        <v>3</v>
      </c>
      <c r="CR240" s="98">
        <v>4</v>
      </c>
      <c r="CS240" s="98">
        <v>4</v>
      </c>
    </row>
    <row r="241" spans="2:97" x14ac:dyDescent="0.3">
      <c r="B241" s="83" t="s">
        <v>96</v>
      </c>
      <c r="C241" s="98">
        <v>1</v>
      </c>
      <c r="D241" s="98">
        <v>3</v>
      </c>
      <c r="E241" s="98">
        <v>2</v>
      </c>
      <c r="F241" s="98">
        <v>1</v>
      </c>
      <c r="G241" s="98">
        <v>1</v>
      </c>
      <c r="H241" s="98">
        <v>3</v>
      </c>
      <c r="I241" s="98">
        <v>2</v>
      </c>
      <c r="J241" s="98">
        <v>0</v>
      </c>
      <c r="K241" s="98">
        <v>0</v>
      </c>
      <c r="L241" s="98">
        <v>1</v>
      </c>
      <c r="M241" s="98">
        <v>0</v>
      </c>
      <c r="N241" s="98">
        <v>0</v>
      </c>
      <c r="O241" s="98">
        <v>3</v>
      </c>
      <c r="P241" s="98">
        <v>0</v>
      </c>
      <c r="Q241" s="98">
        <v>1</v>
      </c>
      <c r="R241" s="98">
        <v>1</v>
      </c>
      <c r="S241" s="98">
        <v>0</v>
      </c>
      <c r="T241" s="98">
        <v>1</v>
      </c>
      <c r="U241" s="98">
        <v>8</v>
      </c>
      <c r="V241" s="98">
        <v>1</v>
      </c>
      <c r="W241" s="98">
        <v>1</v>
      </c>
      <c r="X241" s="98">
        <v>4</v>
      </c>
      <c r="Y241" s="98">
        <v>1</v>
      </c>
      <c r="Z241" s="98">
        <v>0</v>
      </c>
      <c r="AA241" s="98">
        <v>1</v>
      </c>
      <c r="AB241" s="98">
        <v>3</v>
      </c>
      <c r="AC241" s="98">
        <v>1</v>
      </c>
      <c r="AD241" s="98">
        <v>1</v>
      </c>
      <c r="AE241" s="98">
        <v>1</v>
      </c>
      <c r="AF241" s="98">
        <v>2</v>
      </c>
      <c r="AG241" s="98">
        <v>0</v>
      </c>
      <c r="AH241" s="98">
        <v>1</v>
      </c>
      <c r="AI241" s="98">
        <v>3</v>
      </c>
      <c r="AJ241" s="98">
        <v>0</v>
      </c>
      <c r="AK241" s="98">
        <v>1</v>
      </c>
      <c r="AL241" s="98">
        <v>2</v>
      </c>
      <c r="AM241" s="98">
        <v>0</v>
      </c>
      <c r="AN241" s="98">
        <v>0</v>
      </c>
      <c r="AO241" s="98">
        <v>2</v>
      </c>
      <c r="AP241" s="98">
        <v>1</v>
      </c>
      <c r="AQ241" s="98">
        <v>0</v>
      </c>
      <c r="AR241" s="98">
        <v>0</v>
      </c>
      <c r="AS241" s="98">
        <v>0</v>
      </c>
      <c r="AT241" s="98">
        <v>0</v>
      </c>
      <c r="AU241" s="98">
        <v>2</v>
      </c>
      <c r="AV241" s="98">
        <v>1</v>
      </c>
      <c r="AW241" s="98">
        <v>7</v>
      </c>
      <c r="AX241" s="98">
        <v>0</v>
      </c>
      <c r="AY241" s="98">
        <v>0</v>
      </c>
      <c r="AZ241" s="98">
        <v>1</v>
      </c>
      <c r="BA241" s="98">
        <v>0</v>
      </c>
      <c r="BB241" s="98">
        <v>1</v>
      </c>
      <c r="BC241" s="98">
        <v>2</v>
      </c>
      <c r="BD241" s="98">
        <v>1</v>
      </c>
      <c r="BE241" s="98">
        <v>1</v>
      </c>
      <c r="BF241" s="98">
        <v>0</v>
      </c>
      <c r="BG241" s="98">
        <v>2</v>
      </c>
      <c r="BH241" s="98">
        <v>1</v>
      </c>
      <c r="BI241" s="98">
        <v>5</v>
      </c>
      <c r="BJ241" s="98">
        <v>2</v>
      </c>
      <c r="BK241" s="98">
        <v>0</v>
      </c>
      <c r="BL241" s="98">
        <v>2</v>
      </c>
      <c r="BM241" s="98">
        <v>4</v>
      </c>
      <c r="BN241" s="98">
        <v>0</v>
      </c>
      <c r="BO241" s="98">
        <v>0</v>
      </c>
      <c r="BP241" s="98">
        <v>3</v>
      </c>
      <c r="BQ241" s="98">
        <v>1</v>
      </c>
      <c r="BR241" s="98">
        <v>0</v>
      </c>
      <c r="BS241" s="98">
        <v>0</v>
      </c>
      <c r="BT241" s="98">
        <v>0</v>
      </c>
      <c r="BU241" s="98">
        <v>3</v>
      </c>
      <c r="BV241" s="98">
        <v>1</v>
      </c>
      <c r="BW241" s="98">
        <v>1</v>
      </c>
      <c r="BX241" s="98">
        <v>3</v>
      </c>
      <c r="BY241" s="98">
        <v>3</v>
      </c>
      <c r="BZ241" s="98">
        <v>1</v>
      </c>
      <c r="CA241" s="98">
        <v>1</v>
      </c>
      <c r="CB241" s="98">
        <v>2</v>
      </c>
      <c r="CC241" s="98">
        <v>6</v>
      </c>
      <c r="CD241" s="98">
        <v>1</v>
      </c>
      <c r="CE241" s="98">
        <v>0</v>
      </c>
      <c r="CF241" s="98">
        <v>3</v>
      </c>
      <c r="CG241" s="98">
        <v>1</v>
      </c>
      <c r="CH241" s="98">
        <v>1</v>
      </c>
      <c r="CI241" s="98">
        <v>0</v>
      </c>
      <c r="CJ241" s="98">
        <v>1</v>
      </c>
      <c r="CK241" s="98">
        <v>0</v>
      </c>
      <c r="CL241" s="98">
        <v>0</v>
      </c>
      <c r="CM241" s="98">
        <v>1</v>
      </c>
      <c r="CN241" s="98">
        <v>1</v>
      </c>
      <c r="CO241" s="98">
        <v>0</v>
      </c>
      <c r="CP241" s="98">
        <v>1</v>
      </c>
      <c r="CQ241" s="98">
        <v>1</v>
      </c>
      <c r="CR241" s="98">
        <v>2</v>
      </c>
      <c r="CS241" s="98">
        <v>2</v>
      </c>
    </row>
    <row r="242" spans="2:97" x14ac:dyDescent="0.3">
      <c r="B242" s="83" t="s">
        <v>97</v>
      </c>
      <c r="C242" s="98">
        <v>1</v>
      </c>
      <c r="D242" s="98">
        <v>3</v>
      </c>
      <c r="E242" s="98">
        <v>2</v>
      </c>
      <c r="F242" s="98">
        <v>1</v>
      </c>
      <c r="G242" s="98">
        <v>1</v>
      </c>
      <c r="H242" s="98">
        <v>3</v>
      </c>
      <c r="I242" s="98">
        <v>2</v>
      </c>
      <c r="J242" s="98">
        <v>0</v>
      </c>
      <c r="K242" s="98">
        <v>0</v>
      </c>
      <c r="L242" s="98">
        <v>1</v>
      </c>
      <c r="M242" s="98">
        <v>0</v>
      </c>
      <c r="N242" s="98">
        <v>0</v>
      </c>
      <c r="O242" s="98">
        <v>3</v>
      </c>
      <c r="P242" s="98">
        <v>0</v>
      </c>
      <c r="Q242" s="98">
        <v>1</v>
      </c>
      <c r="R242" s="98">
        <v>1</v>
      </c>
      <c r="S242" s="98">
        <v>0</v>
      </c>
      <c r="T242" s="98">
        <v>1</v>
      </c>
      <c r="U242" s="98">
        <v>8</v>
      </c>
      <c r="V242" s="98">
        <v>1</v>
      </c>
      <c r="W242" s="98">
        <v>1</v>
      </c>
      <c r="X242" s="98">
        <v>4</v>
      </c>
      <c r="Y242" s="98">
        <v>1</v>
      </c>
      <c r="Z242" s="98">
        <v>0</v>
      </c>
      <c r="AA242" s="98">
        <v>1</v>
      </c>
      <c r="AB242" s="98">
        <v>3</v>
      </c>
      <c r="AC242" s="98">
        <v>1</v>
      </c>
      <c r="AD242" s="98">
        <v>1</v>
      </c>
      <c r="AE242" s="98">
        <v>1</v>
      </c>
      <c r="AF242" s="98">
        <v>2</v>
      </c>
      <c r="AG242" s="98">
        <v>0</v>
      </c>
      <c r="AH242" s="98">
        <v>1</v>
      </c>
      <c r="AI242" s="98">
        <v>3</v>
      </c>
      <c r="AJ242" s="98">
        <v>0</v>
      </c>
      <c r="AK242" s="98">
        <v>1</v>
      </c>
      <c r="AL242" s="98">
        <v>2</v>
      </c>
      <c r="AM242" s="98">
        <v>0</v>
      </c>
      <c r="AN242" s="98">
        <v>0</v>
      </c>
      <c r="AO242" s="98">
        <v>2</v>
      </c>
      <c r="AP242" s="98">
        <v>1</v>
      </c>
      <c r="AQ242" s="98">
        <v>0</v>
      </c>
      <c r="AR242" s="98">
        <v>0</v>
      </c>
      <c r="AS242" s="98">
        <v>0</v>
      </c>
      <c r="AT242" s="98">
        <v>0</v>
      </c>
      <c r="AU242" s="98">
        <v>2</v>
      </c>
      <c r="AV242" s="98">
        <v>1</v>
      </c>
      <c r="AW242" s="98">
        <v>7</v>
      </c>
      <c r="AX242" s="98">
        <v>0</v>
      </c>
      <c r="AY242" s="98">
        <v>0</v>
      </c>
      <c r="AZ242" s="98">
        <v>1</v>
      </c>
      <c r="BA242" s="98">
        <v>0</v>
      </c>
      <c r="BB242" s="98">
        <v>1</v>
      </c>
      <c r="BC242" s="98">
        <v>2</v>
      </c>
      <c r="BD242" s="98">
        <v>1</v>
      </c>
      <c r="BE242" s="98">
        <v>1</v>
      </c>
      <c r="BF242" s="98">
        <v>0</v>
      </c>
      <c r="BG242" s="98">
        <v>2</v>
      </c>
      <c r="BH242" s="98">
        <v>1</v>
      </c>
      <c r="BI242" s="98">
        <v>5</v>
      </c>
      <c r="BJ242" s="98">
        <v>2</v>
      </c>
      <c r="BK242" s="98">
        <v>0</v>
      </c>
      <c r="BL242" s="98">
        <v>2</v>
      </c>
      <c r="BM242" s="98">
        <v>4</v>
      </c>
      <c r="BN242" s="98">
        <v>0</v>
      </c>
      <c r="BO242" s="98">
        <v>0</v>
      </c>
      <c r="BP242" s="98">
        <v>3</v>
      </c>
      <c r="BQ242" s="98">
        <v>1</v>
      </c>
      <c r="BR242" s="98">
        <v>0</v>
      </c>
      <c r="BS242" s="98">
        <v>0</v>
      </c>
      <c r="BT242" s="98">
        <v>0</v>
      </c>
      <c r="BU242" s="98">
        <v>3</v>
      </c>
      <c r="BV242" s="98">
        <v>1</v>
      </c>
      <c r="BW242" s="98">
        <v>1</v>
      </c>
      <c r="BX242" s="98">
        <v>3</v>
      </c>
      <c r="BY242" s="98">
        <v>3</v>
      </c>
      <c r="BZ242" s="98">
        <v>1</v>
      </c>
      <c r="CA242" s="98">
        <v>1</v>
      </c>
      <c r="CB242" s="98">
        <v>2</v>
      </c>
      <c r="CC242" s="98">
        <v>6</v>
      </c>
      <c r="CD242" s="98">
        <v>1</v>
      </c>
      <c r="CE242" s="98">
        <v>0</v>
      </c>
      <c r="CF242" s="98">
        <v>3</v>
      </c>
      <c r="CG242" s="98">
        <v>1</v>
      </c>
      <c r="CH242" s="98">
        <v>1</v>
      </c>
      <c r="CI242" s="98">
        <v>0</v>
      </c>
      <c r="CJ242" s="98">
        <v>1</v>
      </c>
      <c r="CK242" s="98">
        <v>0</v>
      </c>
      <c r="CL242" s="98">
        <v>0</v>
      </c>
      <c r="CM242" s="98">
        <v>1</v>
      </c>
      <c r="CN242" s="98">
        <v>1</v>
      </c>
      <c r="CO242" s="98">
        <v>0</v>
      </c>
      <c r="CP242" s="98">
        <v>1</v>
      </c>
      <c r="CQ242" s="98">
        <v>1</v>
      </c>
      <c r="CR242" s="98">
        <v>2</v>
      </c>
      <c r="CS242" s="98">
        <v>2</v>
      </c>
    </row>
    <row r="243" spans="2:97" x14ac:dyDescent="0.3">
      <c r="B243" s="83" t="s">
        <v>98</v>
      </c>
      <c r="C243" s="98">
        <v>3</v>
      </c>
      <c r="D243" s="98">
        <v>5</v>
      </c>
      <c r="E243" s="98">
        <v>4</v>
      </c>
      <c r="F243" s="98">
        <v>3</v>
      </c>
      <c r="G243" s="98">
        <v>3</v>
      </c>
      <c r="H243" s="98">
        <v>5</v>
      </c>
      <c r="I243" s="98">
        <v>4</v>
      </c>
      <c r="J243" s="98">
        <v>2</v>
      </c>
      <c r="K243" s="98">
        <v>2</v>
      </c>
      <c r="L243" s="98">
        <v>3</v>
      </c>
      <c r="M243" s="98">
        <v>2</v>
      </c>
      <c r="N243" s="98">
        <v>2</v>
      </c>
      <c r="O243" s="98">
        <v>5</v>
      </c>
      <c r="P243" s="98">
        <v>2</v>
      </c>
      <c r="Q243" s="98">
        <v>3</v>
      </c>
      <c r="R243" s="98">
        <v>3</v>
      </c>
      <c r="S243" s="98">
        <v>2</v>
      </c>
      <c r="T243" s="98">
        <v>3</v>
      </c>
      <c r="U243" s="98">
        <v>10</v>
      </c>
      <c r="V243" s="98">
        <v>3</v>
      </c>
      <c r="W243" s="98">
        <v>3</v>
      </c>
      <c r="X243" s="98">
        <v>6</v>
      </c>
      <c r="Y243" s="98">
        <v>3</v>
      </c>
      <c r="Z243" s="98">
        <v>2</v>
      </c>
      <c r="AA243" s="98">
        <v>3</v>
      </c>
      <c r="AB243" s="98">
        <v>5</v>
      </c>
      <c r="AC243" s="98">
        <v>3</v>
      </c>
      <c r="AD243" s="98">
        <v>3</v>
      </c>
      <c r="AE243" s="98">
        <v>3</v>
      </c>
      <c r="AF243" s="98">
        <v>4</v>
      </c>
      <c r="AG243" s="98">
        <v>2</v>
      </c>
      <c r="AH243" s="98">
        <v>3</v>
      </c>
      <c r="AI243" s="98">
        <v>5</v>
      </c>
      <c r="AJ243" s="98">
        <v>2</v>
      </c>
      <c r="AK243" s="98">
        <v>3</v>
      </c>
      <c r="AL243" s="98">
        <v>4</v>
      </c>
      <c r="AM243" s="98">
        <v>2</v>
      </c>
      <c r="AN243" s="98">
        <v>2</v>
      </c>
      <c r="AO243" s="98">
        <v>2</v>
      </c>
      <c r="AP243" s="98">
        <v>3</v>
      </c>
      <c r="AQ243" s="98">
        <v>2</v>
      </c>
      <c r="AR243" s="98">
        <v>2</v>
      </c>
      <c r="AS243" s="98">
        <v>2</v>
      </c>
      <c r="AT243" s="98">
        <v>2</v>
      </c>
      <c r="AU243" s="98">
        <v>4</v>
      </c>
      <c r="AV243" s="98">
        <v>3</v>
      </c>
      <c r="AW243" s="98">
        <v>9</v>
      </c>
      <c r="AX243" s="98">
        <v>2</v>
      </c>
      <c r="AY243" s="98">
        <v>2</v>
      </c>
      <c r="AZ243" s="98">
        <v>3</v>
      </c>
      <c r="BA243" s="98">
        <v>2</v>
      </c>
      <c r="BB243" s="98">
        <v>3</v>
      </c>
      <c r="BC243" s="98">
        <v>4</v>
      </c>
      <c r="BD243" s="98">
        <v>3</v>
      </c>
      <c r="BE243" s="98">
        <v>3</v>
      </c>
      <c r="BF243" s="98">
        <v>2</v>
      </c>
      <c r="BG243" s="98">
        <v>4</v>
      </c>
      <c r="BH243" s="98">
        <v>3</v>
      </c>
      <c r="BI243" s="98">
        <v>7</v>
      </c>
      <c r="BJ243" s="98">
        <v>4</v>
      </c>
      <c r="BK243" s="98">
        <v>2</v>
      </c>
      <c r="BL243" s="98">
        <v>4</v>
      </c>
      <c r="BM243" s="98">
        <v>6</v>
      </c>
      <c r="BN243" s="98">
        <v>2</v>
      </c>
      <c r="BO243" s="98">
        <v>2</v>
      </c>
      <c r="BP243" s="98">
        <v>5</v>
      </c>
      <c r="BQ243" s="98">
        <v>3</v>
      </c>
      <c r="BR243" s="98">
        <v>2</v>
      </c>
      <c r="BS243" s="98">
        <v>2</v>
      </c>
      <c r="BT243" s="98">
        <v>2</v>
      </c>
      <c r="BU243" s="98">
        <v>5</v>
      </c>
      <c r="BV243" s="98">
        <v>3</v>
      </c>
      <c r="BW243" s="98">
        <v>3</v>
      </c>
      <c r="BX243" s="98">
        <v>5</v>
      </c>
      <c r="BY243" s="98">
        <v>5</v>
      </c>
      <c r="BZ243" s="98">
        <v>3</v>
      </c>
      <c r="CA243" s="98">
        <v>3</v>
      </c>
      <c r="CB243" s="98">
        <v>4</v>
      </c>
      <c r="CC243" s="98">
        <v>8</v>
      </c>
      <c r="CD243" s="98">
        <v>3</v>
      </c>
      <c r="CE243" s="98">
        <v>2</v>
      </c>
      <c r="CF243" s="98">
        <v>5</v>
      </c>
      <c r="CG243" s="98">
        <v>3</v>
      </c>
      <c r="CH243" s="98">
        <v>3</v>
      </c>
      <c r="CI243" s="98">
        <v>2</v>
      </c>
      <c r="CJ243" s="98">
        <v>3</v>
      </c>
      <c r="CK243" s="98">
        <v>2</v>
      </c>
      <c r="CL243" s="98">
        <v>2</v>
      </c>
      <c r="CM243" s="98">
        <v>3</v>
      </c>
      <c r="CN243" s="98">
        <v>3</v>
      </c>
      <c r="CO243" s="98">
        <v>2</v>
      </c>
      <c r="CP243" s="98">
        <v>3</v>
      </c>
      <c r="CQ243" s="98">
        <v>3</v>
      </c>
      <c r="CR243" s="98">
        <v>4</v>
      </c>
      <c r="CS243" s="98">
        <v>4</v>
      </c>
    </row>
    <row r="244" spans="2:97" x14ac:dyDescent="0.3">
      <c r="B244" s="83" t="s">
        <v>99</v>
      </c>
      <c r="C244" s="98">
        <v>2</v>
      </c>
      <c r="D244" s="98">
        <v>4</v>
      </c>
      <c r="E244" s="98">
        <v>3</v>
      </c>
      <c r="F244" s="98">
        <v>2</v>
      </c>
      <c r="G244" s="98">
        <v>2</v>
      </c>
      <c r="H244" s="98">
        <v>4</v>
      </c>
      <c r="I244" s="98">
        <v>3</v>
      </c>
      <c r="J244" s="98">
        <v>1</v>
      </c>
      <c r="K244" s="98">
        <v>1</v>
      </c>
      <c r="L244" s="98">
        <v>2</v>
      </c>
      <c r="M244" s="98">
        <v>1</v>
      </c>
      <c r="N244" s="98">
        <v>1</v>
      </c>
      <c r="O244" s="98">
        <v>4</v>
      </c>
      <c r="P244" s="98">
        <v>1</v>
      </c>
      <c r="Q244" s="98">
        <v>2</v>
      </c>
      <c r="R244" s="98">
        <v>2</v>
      </c>
      <c r="S244" s="98">
        <v>1</v>
      </c>
      <c r="T244" s="98">
        <v>2</v>
      </c>
      <c r="U244" s="98">
        <v>9</v>
      </c>
      <c r="V244" s="98">
        <v>2</v>
      </c>
      <c r="W244" s="98">
        <v>2</v>
      </c>
      <c r="X244" s="98">
        <v>5</v>
      </c>
      <c r="Y244" s="98">
        <v>2</v>
      </c>
      <c r="Z244" s="98">
        <v>1</v>
      </c>
      <c r="AA244" s="98">
        <v>2</v>
      </c>
      <c r="AB244" s="98">
        <v>4</v>
      </c>
      <c r="AC244" s="98">
        <v>2</v>
      </c>
      <c r="AD244" s="98">
        <v>2</v>
      </c>
      <c r="AE244" s="98">
        <v>2</v>
      </c>
      <c r="AF244" s="98">
        <v>3</v>
      </c>
      <c r="AG244" s="98">
        <v>1</v>
      </c>
      <c r="AH244" s="98">
        <v>2</v>
      </c>
      <c r="AI244" s="98">
        <v>4</v>
      </c>
      <c r="AJ244" s="98">
        <v>1</v>
      </c>
      <c r="AK244" s="98">
        <v>2</v>
      </c>
      <c r="AL244" s="98">
        <v>3</v>
      </c>
      <c r="AM244" s="98">
        <v>1</v>
      </c>
      <c r="AN244" s="98">
        <v>1</v>
      </c>
      <c r="AO244" s="98">
        <v>3</v>
      </c>
      <c r="AP244" s="98">
        <v>1</v>
      </c>
      <c r="AQ244" s="98">
        <v>1</v>
      </c>
      <c r="AR244" s="98">
        <v>1</v>
      </c>
      <c r="AS244" s="98">
        <v>1</v>
      </c>
      <c r="AT244" s="98">
        <v>1</v>
      </c>
      <c r="AU244" s="98">
        <v>3</v>
      </c>
      <c r="AV244" s="98">
        <v>2</v>
      </c>
      <c r="AW244" s="98">
        <v>8</v>
      </c>
      <c r="AX244" s="98">
        <v>1</v>
      </c>
      <c r="AY244" s="98">
        <v>1</v>
      </c>
      <c r="AZ244" s="98">
        <v>2</v>
      </c>
      <c r="BA244" s="98">
        <v>1</v>
      </c>
      <c r="BB244" s="98">
        <v>2</v>
      </c>
      <c r="BC244" s="98">
        <v>3</v>
      </c>
      <c r="BD244" s="98">
        <v>2</v>
      </c>
      <c r="BE244" s="98">
        <v>2</v>
      </c>
      <c r="BF244" s="98">
        <v>1</v>
      </c>
      <c r="BG244" s="98">
        <v>3</v>
      </c>
      <c r="BH244" s="98">
        <v>2</v>
      </c>
      <c r="BI244" s="98">
        <v>6</v>
      </c>
      <c r="BJ244" s="98">
        <v>3</v>
      </c>
      <c r="BK244" s="98">
        <v>1</v>
      </c>
      <c r="BL244" s="98">
        <v>3</v>
      </c>
      <c r="BM244" s="98">
        <v>5</v>
      </c>
      <c r="BN244" s="98">
        <v>1</v>
      </c>
      <c r="BO244" s="98">
        <v>1</v>
      </c>
      <c r="BP244" s="98">
        <v>4</v>
      </c>
      <c r="BQ244" s="98">
        <v>2</v>
      </c>
      <c r="BR244" s="98">
        <v>1</v>
      </c>
      <c r="BS244" s="98">
        <v>1</v>
      </c>
      <c r="BT244" s="98">
        <v>1</v>
      </c>
      <c r="BU244" s="98">
        <v>4</v>
      </c>
      <c r="BV244" s="98">
        <v>2</v>
      </c>
      <c r="BW244" s="98">
        <v>2</v>
      </c>
      <c r="BX244" s="98">
        <v>4</v>
      </c>
      <c r="BY244" s="98">
        <v>4</v>
      </c>
      <c r="BZ244" s="98">
        <v>2</v>
      </c>
      <c r="CA244" s="98">
        <v>2</v>
      </c>
      <c r="CB244" s="98">
        <v>3</v>
      </c>
      <c r="CC244" s="98">
        <v>7</v>
      </c>
      <c r="CD244" s="98">
        <v>2</v>
      </c>
      <c r="CE244" s="98">
        <v>1</v>
      </c>
      <c r="CF244" s="98">
        <v>4</v>
      </c>
      <c r="CG244" s="98">
        <v>2</v>
      </c>
      <c r="CH244" s="98">
        <v>2</v>
      </c>
      <c r="CI244" s="98">
        <v>1</v>
      </c>
      <c r="CJ244" s="98">
        <v>2</v>
      </c>
      <c r="CK244" s="98">
        <v>1</v>
      </c>
      <c r="CL244" s="98">
        <v>1</v>
      </c>
      <c r="CM244" s="98">
        <v>2</v>
      </c>
      <c r="CN244" s="98">
        <v>2</v>
      </c>
      <c r="CO244" s="98">
        <v>1</v>
      </c>
      <c r="CP244" s="98">
        <v>2</v>
      </c>
      <c r="CQ244" s="98">
        <v>2</v>
      </c>
      <c r="CR244" s="98">
        <v>3</v>
      </c>
      <c r="CS244" s="98">
        <v>3</v>
      </c>
    </row>
    <row r="245" spans="2:97" x14ac:dyDescent="0.3">
      <c r="B245" s="83" t="s">
        <v>100</v>
      </c>
      <c r="C245" s="98">
        <v>1</v>
      </c>
      <c r="D245" s="98">
        <v>3</v>
      </c>
      <c r="E245" s="98">
        <v>2</v>
      </c>
      <c r="F245" s="98">
        <v>1</v>
      </c>
      <c r="G245" s="98">
        <v>1</v>
      </c>
      <c r="H245" s="98">
        <v>3</v>
      </c>
      <c r="I245" s="98">
        <v>2</v>
      </c>
      <c r="J245" s="98">
        <v>0</v>
      </c>
      <c r="K245" s="98">
        <v>0</v>
      </c>
      <c r="L245" s="98">
        <v>1</v>
      </c>
      <c r="M245" s="98">
        <v>0</v>
      </c>
      <c r="N245" s="98">
        <v>0</v>
      </c>
      <c r="O245" s="98">
        <v>3</v>
      </c>
      <c r="P245" s="98">
        <v>0</v>
      </c>
      <c r="Q245" s="98">
        <v>1</v>
      </c>
      <c r="R245" s="98">
        <v>1</v>
      </c>
      <c r="S245" s="98">
        <v>0</v>
      </c>
      <c r="T245" s="98">
        <v>1</v>
      </c>
      <c r="U245" s="98">
        <v>8</v>
      </c>
      <c r="V245" s="98">
        <v>1</v>
      </c>
      <c r="W245" s="98">
        <v>1</v>
      </c>
      <c r="X245" s="98">
        <v>4</v>
      </c>
      <c r="Y245" s="98">
        <v>1</v>
      </c>
      <c r="Z245" s="98">
        <v>0</v>
      </c>
      <c r="AA245" s="98">
        <v>1</v>
      </c>
      <c r="AB245" s="98">
        <v>3</v>
      </c>
      <c r="AC245" s="98">
        <v>1</v>
      </c>
      <c r="AD245" s="98">
        <v>1</v>
      </c>
      <c r="AE245" s="98">
        <v>1</v>
      </c>
      <c r="AF245" s="98">
        <v>2</v>
      </c>
      <c r="AG245" s="98">
        <v>0</v>
      </c>
      <c r="AH245" s="98">
        <v>1</v>
      </c>
      <c r="AI245" s="98">
        <v>3</v>
      </c>
      <c r="AJ245" s="98">
        <v>0</v>
      </c>
      <c r="AK245" s="98">
        <v>1</v>
      </c>
      <c r="AL245" s="98">
        <v>2</v>
      </c>
      <c r="AM245" s="98">
        <v>0</v>
      </c>
      <c r="AN245" s="98">
        <v>0</v>
      </c>
      <c r="AO245" s="98">
        <v>2</v>
      </c>
      <c r="AP245" s="98">
        <v>1</v>
      </c>
      <c r="AQ245" s="98">
        <v>0</v>
      </c>
      <c r="AR245" s="98">
        <v>0</v>
      </c>
      <c r="AS245" s="98">
        <v>0</v>
      </c>
      <c r="AT245" s="98">
        <v>0</v>
      </c>
      <c r="AU245" s="98">
        <v>2</v>
      </c>
      <c r="AV245" s="98">
        <v>1</v>
      </c>
      <c r="AW245" s="98">
        <v>7</v>
      </c>
      <c r="AX245" s="98">
        <v>0</v>
      </c>
      <c r="AY245" s="98">
        <v>0</v>
      </c>
      <c r="AZ245" s="98">
        <v>1</v>
      </c>
      <c r="BA245" s="98">
        <v>0</v>
      </c>
      <c r="BB245" s="98">
        <v>1</v>
      </c>
      <c r="BC245" s="98">
        <v>2</v>
      </c>
      <c r="BD245" s="98">
        <v>1</v>
      </c>
      <c r="BE245" s="98">
        <v>1</v>
      </c>
      <c r="BF245" s="98">
        <v>0</v>
      </c>
      <c r="BG245" s="98">
        <v>2</v>
      </c>
      <c r="BH245" s="98">
        <v>1</v>
      </c>
      <c r="BI245" s="98">
        <v>5</v>
      </c>
      <c r="BJ245" s="98">
        <v>2</v>
      </c>
      <c r="BK245" s="98">
        <v>0</v>
      </c>
      <c r="BL245" s="98">
        <v>2</v>
      </c>
      <c r="BM245" s="98">
        <v>4</v>
      </c>
      <c r="BN245" s="98">
        <v>0</v>
      </c>
      <c r="BO245" s="98">
        <v>0</v>
      </c>
      <c r="BP245" s="98">
        <v>3</v>
      </c>
      <c r="BQ245" s="98">
        <v>1</v>
      </c>
      <c r="BR245" s="98">
        <v>0</v>
      </c>
      <c r="BS245" s="98">
        <v>0</v>
      </c>
      <c r="BT245" s="98">
        <v>0</v>
      </c>
      <c r="BU245" s="98">
        <v>3</v>
      </c>
      <c r="BV245" s="98">
        <v>1</v>
      </c>
      <c r="BW245" s="98">
        <v>1</v>
      </c>
      <c r="BX245" s="98">
        <v>3</v>
      </c>
      <c r="BY245" s="98">
        <v>3</v>
      </c>
      <c r="BZ245" s="98">
        <v>1</v>
      </c>
      <c r="CA245" s="98">
        <v>1</v>
      </c>
      <c r="CB245" s="98">
        <v>2</v>
      </c>
      <c r="CC245" s="98">
        <v>6</v>
      </c>
      <c r="CD245" s="98">
        <v>1</v>
      </c>
      <c r="CE245" s="98">
        <v>0</v>
      </c>
      <c r="CF245" s="98">
        <v>3</v>
      </c>
      <c r="CG245" s="98">
        <v>1</v>
      </c>
      <c r="CH245" s="98">
        <v>1</v>
      </c>
      <c r="CI245" s="98">
        <v>0</v>
      </c>
      <c r="CJ245" s="98">
        <v>1</v>
      </c>
      <c r="CK245" s="98">
        <v>0</v>
      </c>
      <c r="CL245" s="98">
        <v>0</v>
      </c>
      <c r="CM245" s="98">
        <v>1</v>
      </c>
      <c r="CN245" s="98">
        <v>1</v>
      </c>
      <c r="CO245" s="98">
        <v>0</v>
      </c>
      <c r="CP245" s="98">
        <v>1</v>
      </c>
      <c r="CQ245" s="98">
        <v>1</v>
      </c>
      <c r="CR245" s="98">
        <v>2</v>
      </c>
      <c r="CS245" s="98">
        <v>2</v>
      </c>
    </row>
    <row r="246" spans="2:97" x14ac:dyDescent="0.3">
      <c r="B246" s="83" t="s">
        <v>101</v>
      </c>
      <c r="C246" s="98">
        <v>1</v>
      </c>
      <c r="D246" s="98">
        <v>3</v>
      </c>
      <c r="E246" s="98">
        <v>2</v>
      </c>
      <c r="F246" s="98">
        <v>1</v>
      </c>
      <c r="G246" s="98">
        <v>1</v>
      </c>
      <c r="H246" s="98">
        <v>3</v>
      </c>
      <c r="I246" s="98">
        <v>2</v>
      </c>
      <c r="J246" s="98">
        <v>0</v>
      </c>
      <c r="K246" s="98">
        <v>0</v>
      </c>
      <c r="L246" s="98">
        <v>1</v>
      </c>
      <c r="M246" s="98">
        <v>0</v>
      </c>
      <c r="N246" s="98">
        <v>0</v>
      </c>
      <c r="O246" s="98">
        <v>3</v>
      </c>
      <c r="P246" s="98">
        <v>0</v>
      </c>
      <c r="Q246" s="98">
        <v>1</v>
      </c>
      <c r="R246" s="98">
        <v>1</v>
      </c>
      <c r="S246" s="98">
        <v>0</v>
      </c>
      <c r="T246" s="98">
        <v>1</v>
      </c>
      <c r="U246" s="98">
        <v>8</v>
      </c>
      <c r="V246" s="98">
        <v>1</v>
      </c>
      <c r="W246" s="98">
        <v>1</v>
      </c>
      <c r="X246" s="98">
        <v>4</v>
      </c>
      <c r="Y246" s="98">
        <v>1</v>
      </c>
      <c r="Z246" s="98">
        <v>0</v>
      </c>
      <c r="AA246" s="98">
        <v>1</v>
      </c>
      <c r="AB246" s="98">
        <v>3</v>
      </c>
      <c r="AC246" s="98">
        <v>1</v>
      </c>
      <c r="AD246" s="98">
        <v>1</v>
      </c>
      <c r="AE246" s="98">
        <v>1</v>
      </c>
      <c r="AF246" s="98">
        <v>2</v>
      </c>
      <c r="AG246" s="98">
        <v>0</v>
      </c>
      <c r="AH246" s="98">
        <v>1</v>
      </c>
      <c r="AI246" s="98">
        <v>3</v>
      </c>
      <c r="AJ246" s="98">
        <v>0</v>
      </c>
      <c r="AK246" s="98">
        <v>1</v>
      </c>
      <c r="AL246" s="98">
        <v>2</v>
      </c>
      <c r="AM246" s="98">
        <v>0</v>
      </c>
      <c r="AN246" s="98">
        <v>0</v>
      </c>
      <c r="AO246" s="98">
        <v>2</v>
      </c>
      <c r="AP246" s="98">
        <v>1</v>
      </c>
      <c r="AQ246" s="98">
        <v>0</v>
      </c>
      <c r="AR246" s="98">
        <v>0</v>
      </c>
      <c r="AS246" s="98">
        <v>0</v>
      </c>
      <c r="AT246" s="98">
        <v>0</v>
      </c>
      <c r="AU246" s="98">
        <v>2</v>
      </c>
      <c r="AV246" s="98">
        <v>1</v>
      </c>
      <c r="AW246" s="98">
        <v>7</v>
      </c>
      <c r="AX246" s="98">
        <v>0</v>
      </c>
      <c r="AY246" s="98">
        <v>0</v>
      </c>
      <c r="AZ246" s="98">
        <v>1</v>
      </c>
      <c r="BA246" s="98">
        <v>0</v>
      </c>
      <c r="BB246" s="98">
        <v>1</v>
      </c>
      <c r="BC246" s="98">
        <v>2</v>
      </c>
      <c r="BD246" s="98">
        <v>1</v>
      </c>
      <c r="BE246" s="98">
        <v>1</v>
      </c>
      <c r="BF246" s="98">
        <v>0</v>
      </c>
      <c r="BG246" s="98">
        <v>2</v>
      </c>
      <c r="BH246" s="98">
        <v>1</v>
      </c>
      <c r="BI246" s="98">
        <v>5</v>
      </c>
      <c r="BJ246" s="98">
        <v>2</v>
      </c>
      <c r="BK246" s="98">
        <v>0</v>
      </c>
      <c r="BL246" s="98">
        <v>2</v>
      </c>
      <c r="BM246" s="98">
        <v>4</v>
      </c>
      <c r="BN246" s="98">
        <v>0</v>
      </c>
      <c r="BO246" s="98">
        <v>0</v>
      </c>
      <c r="BP246" s="98">
        <v>3</v>
      </c>
      <c r="BQ246" s="98">
        <v>1</v>
      </c>
      <c r="BR246" s="98">
        <v>0</v>
      </c>
      <c r="BS246" s="98">
        <v>0</v>
      </c>
      <c r="BT246" s="98">
        <v>0</v>
      </c>
      <c r="BU246" s="98">
        <v>3</v>
      </c>
      <c r="BV246" s="98">
        <v>1</v>
      </c>
      <c r="BW246" s="98">
        <v>1</v>
      </c>
      <c r="BX246" s="98">
        <v>3</v>
      </c>
      <c r="BY246" s="98">
        <v>3</v>
      </c>
      <c r="BZ246" s="98">
        <v>1</v>
      </c>
      <c r="CA246" s="98">
        <v>1</v>
      </c>
      <c r="CB246" s="98">
        <v>2</v>
      </c>
      <c r="CC246" s="98">
        <v>6</v>
      </c>
      <c r="CD246" s="98">
        <v>1</v>
      </c>
      <c r="CE246" s="98">
        <v>0</v>
      </c>
      <c r="CF246" s="98">
        <v>3</v>
      </c>
      <c r="CG246" s="98">
        <v>1</v>
      </c>
      <c r="CH246" s="98">
        <v>1</v>
      </c>
      <c r="CI246" s="98">
        <v>0</v>
      </c>
      <c r="CJ246" s="98">
        <v>1</v>
      </c>
      <c r="CK246" s="98">
        <v>0</v>
      </c>
      <c r="CL246" s="98">
        <v>0</v>
      </c>
      <c r="CM246" s="98">
        <v>1</v>
      </c>
      <c r="CN246" s="98">
        <v>1</v>
      </c>
      <c r="CO246" s="98">
        <v>0</v>
      </c>
      <c r="CP246" s="98">
        <v>1</v>
      </c>
      <c r="CQ246" s="98">
        <v>1</v>
      </c>
      <c r="CR246" s="98">
        <v>2</v>
      </c>
      <c r="CS246" s="98">
        <v>2</v>
      </c>
    </row>
    <row r="247" spans="2:97" x14ac:dyDescent="0.3">
      <c r="B247" s="83" t="s">
        <v>102</v>
      </c>
      <c r="C247" s="98">
        <v>1</v>
      </c>
      <c r="D247" s="98">
        <v>3</v>
      </c>
      <c r="E247" s="98">
        <v>2</v>
      </c>
      <c r="F247" s="98">
        <v>1</v>
      </c>
      <c r="G247" s="98">
        <v>1</v>
      </c>
      <c r="H247" s="98">
        <v>3</v>
      </c>
      <c r="I247" s="98">
        <v>2</v>
      </c>
      <c r="J247" s="98">
        <v>0</v>
      </c>
      <c r="K247" s="98">
        <v>0</v>
      </c>
      <c r="L247" s="98">
        <v>1</v>
      </c>
      <c r="M247" s="98">
        <v>0</v>
      </c>
      <c r="N247" s="98">
        <v>0</v>
      </c>
      <c r="O247" s="98">
        <v>3</v>
      </c>
      <c r="P247" s="98">
        <v>0</v>
      </c>
      <c r="Q247" s="98">
        <v>1</v>
      </c>
      <c r="R247" s="98">
        <v>1</v>
      </c>
      <c r="S247" s="98">
        <v>0</v>
      </c>
      <c r="T247" s="98">
        <v>1</v>
      </c>
      <c r="U247" s="98">
        <v>8</v>
      </c>
      <c r="V247" s="98">
        <v>1</v>
      </c>
      <c r="W247" s="98">
        <v>1</v>
      </c>
      <c r="X247" s="98">
        <v>4</v>
      </c>
      <c r="Y247" s="98">
        <v>1</v>
      </c>
      <c r="Z247" s="98">
        <v>0</v>
      </c>
      <c r="AA247" s="98">
        <v>1</v>
      </c>
      <c r="AB247" s="98">
        <v>3</v>
      </c>
      <c r="AC247" s="98">
        <v>1</v>
      </c>
      <c r="AD247" s="98">
        <v>1</v>
      </c>
      <c r="AE247" s="98">
        <v>1</v>
      </c>
      <c r="AF247" s="98">
        <v>2</v>
      </c>
      <c r="AG247" s="98">
        <v>0</v>
      </c>
      <c r="AH247" s="98">
        <v>1</v>
      </c>
      <c r="AI247" s="98">
        <v>3</v>
      </c>
      <c r="AJ247" s="98">
        <v>0</v>
      </c>
      <c r="AK247" s="98">
        <v>1</v>
      </c>
      <c r="AL247" s="98">
        <v>2</v>
      </c>
      <c r="AM247" s="98">
        <v>0</v>
      </c>
      <c r="AN247" s="98">
        <v>0</v>
      </c>
      <c r="AO247" s="98">
        <v>2</v>
      </c>
      <c r="AP247" s="98">
        <v>1</v>
      </c>
      <c r="AQ247" s="98">
        <v>0</v>
      </c>
      <c r="AR247" s="98">
        <v>0</v>
      </c>
      <c r="AS247" s="98">
        <v>0</v>
      </c>
      <c r="AT247" s="98">
        <v>0</v>
      </c>
      <c r="AU247" s="98">
        <v>2</v>
      </c>
      <c r="AV247" s="98">
        <v>1</v>
      </c>
      <c r="AW247" s="98">
        <v>7</v>
      </c>
      <c r="AX247" s="98">
        <v>0</v>
      </c>
      <c r="AY247" s="98">
        <v>0</v>
      </c>
      <c r="AZ247" s="98">
        <v>1</v>
      </c>
      <c r="BA247" s="98">
        <v>0</v>
      </c>
      <c r="BB247" s="98">
        <v>1</v>
      </c>
      <c r="BC247" s="98">
        <v>2</v>
      </c>
      <c r="BD247" s="98">
        <v>1</v>
      </c>
      <c r="BE247" s="98">
        <v>1</v>
      </c>
      <c r="BF247" s="98">
        <v>0</v>
      </c>
      <c r="BG247" s="98">
        <v>2</v>
      </c>
      <c r="BH247" s="98">
        <v>1</v>
      </c>
      <c r="BI247" s="98">
        <v>5</v>
      </c>
      <c r="BJ247" s="98">
        <v>2</v>
      </c>
      <c r="BK247" s="98">
        <v>0</v>
      </c>
      <c r="BL247" s="98">
        <v>2</v>
      </c>
      <c r="BM247" s="98">
        <v>4</v>
      </c>
      <c r="BN247" s="98">
        <v>0</v>
      </c>
      <c r="BO247" s="98">
        <v>0</v>
      </c>
      <c r="BP247" s="98">
        <v>3</v>
      </c>
      <c r="BQ247" s="98">
        <v>1</v>
      </c>
      <c r="BR247" s="98">
        <v>0</v>
      </c>
      <c r="BS247" s="98">
        <v>0</v>
      </c>
      <c r="BT247" s="98">
        <v>0</v>
      </c>
      <c r="BU247" s="98">
        <v>3</v>
      </c>
      <c r="BV247" s="98">
        <v>1</v>
      </c>
      <c r="BW247" s="98">
        <v>1</v>
      </c>
      <c r="BX247" s="98">
        <v>3</v>
      </c>
      <c r="BY247" s="98">
        <v>3</v>
      </c>
      <c r="BZ247" s="98">
        <v>1</v>
      </c>
      <c r="CA247" s="98">
        <v>1</v>
      </c>
      <c r="CB247" s="98">
        <v>2</v>
      </c>
      <c r="CC247" s="98">
        <v>6</v>
      </c>
      <c r="CD247" s="98">
        <v>1</v>
      </c>
      <c r="CE247" s="98">
        <v>0</v>
      </c>
      <c r="CF247" s="98">
        <v>3</v>
      </c>
      <c r="CG247" s="98">
        <v>1</v>
      </c>
      <c r="CH247" s="98">
        <v>1</v>
      </c>
      <c r="CI247" s="98">
        <v>0</v>
      </c>
      <c r="CJ247" s="98">
        <v>1</v>
      </c>
      <c r="CK247" s="98">
        <v>0</v>
      </c>
      <c r="CL247" s="98">
        <v>0</v>
      </c>
      <c r="CM247" s="98">
        <v>1</v>
      </c>
      <c r="CN247" s="98">
        <v>1</v>
      </c>
      <c r="CO247" s="98">
        <v>0</v>
      </c>
      <c r="CP247" s="98">
        <v>1</v>
      </c>
      <c r="CQ247" s="98">
        <v>1</v>
      </c>
      <c r="CR247" s="98">
        <v>2</v>
      </c>
      <c r="CS247" s="98">
        <v>2</v>
      </c>
    </row>
    <row r="248" spans="2:97" x14ac:dyDescent="0.3">
      <c r="B248" s="83" t="s">
        <v>103</v>
      </c>
      <c r="C248" s="98">
        <v>1</v>
      </c>
      <c r="D248" s="98">
        <v>3</v>
      </c>
      <c r="E248" s="98">
        <v>2</v>
      </c>
      <c r="F248" s="98">
        <v>1</v>
      </c>
      <c r="G248" s="98">
        <v>1</v>
      </c>
      <c r="H248" s="98">
        <v>3</v>
      </c>
      <c r="I248" s="98">
        <v>2</v>
      </c>
      <c r="J248" s="98">
        <v>0</v>
      </c>
      <c r="K248" s="98">
        <v>0</v>
      </c>
      <c r="L248" s="98">
        <v>1</v>
      </c>
      <c r="M248" s="98">
        <v>0</v>
      </c>
      <c r="N248" s="98">
        <v>0</v>
      </c>
      <c r="O248" s="98">
        <v>3</v>
      </c>
      <c r="P248" s="98">
        <v>0</v>
      </c>
      <c r="Q248" s="98">
        <v>1</v>
      </c>
      <c r="R248" s="98">
        <v>1</v>
      </c>
      <c r="S248" s="98">
        <v>0</v>
      </c>
      <c r="T248" s="98">
        <v>1</v>
      </c>
      <c r="U248" s="98">
        <v>8</v>
      </c>
      <c r="V248" s="98">
        <v>1</v>
      </c>
      <c r="W248" s="98">
        <v>1</v>
      </c>
      <c r="X248" s="98">
        <v>4</v>
      </c>
      <c r="Y248" s="98">
        <v>1</v>
      </c>
      <c r="Z248" s="98">
        <v>0</v>
      </c>
      <c r="AA248" s="98">
        <v>1</v>
      </c>
      <c r="AB248" s="98">
        <v>3</v>
      </c>
      <c r="AC248" s="98">
        <v>1</v>
      </c>
      <c r="AD248" s="98">
        <v>1</v>
      </c>
      <c r="AE248" s="98">
        <v>1</v>
      </c>
      <c r="AF248" s="98">
        <v>2</v>
      </c>
      <c r="AG248" s="98">
        <v>0</v>
      </c>
      <c r="AH248" s="98">
        <v>1</v>
      </c>
      <c r="AI248" s="98">
        <v>3</v>
      </c>
      <c r="AJ248" s="98">
        <v>0</v>
      </c>
      <c r="AK248" s="98">
        <v>1</v>
      </c>
      <c r="AL248" s="98">
        <v>2</v>
      </c>
      <c r="AM248" s="98">
        <v>0</v>
      </c>
      <c r="AN248" s="98">
        <v>0</v>
      </c>
      <c r="AO248" s="98">
        <v>2</v>
      </c>
      <c r="AP248" s="98">
        <v>1</v>
      </c>
      <c r="AQ248" s="98">
        <v>0</v>
      </c>
      <c r="AR248" s="98">
        <v>0</v>
      </c>
      <c r="AS248" s="98">
        <v>0</v>
      </c>
      <c r="AT248" s="98">
        <v>0</v>
      </c>
      <c r="AU248" s="98">
        <v>2</v>
      </c>
      <c r="AV248" s="98">
        <v>1</v>
      </c>
      <c r="AW248" s="98">
        <v>7</v>
      </c>
      <c r="AX248" s="98">
        <v>0</v>
      </c>
      <c r="AY248" s="98">
        <v>0</v>
      </c>
      <c r="AZ248" s="98">
        <v>1</v>
      </c>
      <c r="BA248" s="98">
        <v>0</v>
      </c>
      <c r="BB248" s="98">
        <v>1</v>
      </c>
      <c r="BC248" s="98">
        <v>2</v>
      </c>
      <c r="BD248" s="98">
        <v>1</v>
      </c>
      <c r="BE248" s="98">
        <v>1</v>
      </c>
      <c r="BF248" s="98">
        <v>0</v>
      </c>
      <c r="BG248" s="98">
        <v>2</v>
      </c>
      <c r="BH248" s="98">
        <v>1</v>
      </c>
      <c r="BI248" s="98">
        <v>5</v>
      </c>
      <c r="BJ248" s="98">
        <v>2</v>
      </c>
      <c r="BK248" s="98">
        <v>0</v>
      </c>
      <c r="BL248" s="98">
        <v>2</v>
      </c>
      <c r="BM248" s="98">
        <v>4</v>
      </c>
      <c r="BN248" s="98">
        <v>0</v>
      </c>
      <c r="BO248" s="98">
        <v>0</v>
      </c>
      <c r="BP248" s="98">
        <v>3</v>
      </c>
      <c r="BQ248" s="98">
        <v>1</v>
      </c>
      <c r="BR248" s="98">
        <v>0</v>
      </c>
      <c r="BS248" s="98">
        <v>0</v>
      </c>
      <c r="BT248" s="98">
        <v>0</v>
      </c>
      <c r="BU248" s="98">
        <v>3</v>
      </c>
      <c r="BV248" s="98">
        <v>1</v>
      </c>
      <c r="BW248" s="98">
        <v>1</v>
      </c>
      <c r="BX248" s="98">
        <v>3</v>
      </c>
      <c r="BY248" s="98">
        <v>3</v>
      </c>
      <c r="BZ248" s="98">
        <v>1</v>
      </c>
      <c r="CA248" s="98">
        <v>1</v>
      </c>
      <c r="CB248" s="98">
        <v>2</v>
      </c>
      <c r="CC248" s="98">
        <v>6</v>
      </c>
      <c r="CD248" s="98">
        <v>1</v>
      </c>
      <c r="CE248" s="98">
        <v>0</v>
      </c>
      <c r="CF248" s="98">
        <v>3</v>
      </c>
      <c r="CG248" s="98">
        <v>1</v>
      </c>
      <c r="CH248" s="98">
        <v>1</v>
      </c>
      <c r="CI248" s="98">
        <v>0</v>
      </c>
      <c r="CJ248" s="98">
        <v>1</v>
      </c>
      <c r="CK248" s="98">
        <v>0</v>
      </c>
      <c r="CL248" s="98">
        <v>0</v>
      </c>
      <c r="CM248" s="98">
        <v>1</v>
      </c>
      <c r="CN248" s="98">
        <v>1</v>
      </c>
      <c r="CO248" s="98">
        <v>0</v>
      </c>
      <c r="CP248" s="98">
        <v>1</v>
      </c>
      <c r="CQ248" s="98">
        <v>1</v>
      </c>
      <c r="CR248" s="98">
        <v>2</v>
      </c>
      <c r="CS248" s="98">
        <v>2</v>
      </c>
    </row>
    <row r="249" spans="2:97" x14ac:dyDescent="0.3">
      <c r="B249" s="83" t="s">
        <v>104</v>
      </c>
      <c r="C249" s="98">
        <v>3</v>
      </c>
      <c r="D249" s="98">
        <v>5</v>
      </c>
      <c r="E249" s="98">
        <v>4</v>
      </c>
      <c r="F249" s="98">
        <v>3</v>
      </c>
      <c r="G249" s="98">
        <v>3</v>
      </c>
      <c r="H249" s="98">
        <v>5</v>
      </c>
      <c r="I249" s="98">
        <v>4</v>
      </c>
      <c r="J249" s="98">
        <v>2</v>
      </c>
      <c r="K249" s="98">
        <v>2</v>
      </c>
      <c r="L249" s="98">
        <v>3</v>
      </c>
      <c r="M249" s="98">
        <v>2</v>
      </c>
      <c r="N249" s="98">
        <v>2</v>
      </c>
      <c r="O249" s="98">
        <v>5</v>
      </c>
      <c r="P249" s="98">
        <v>2</v>
      </c>
      <c r="Q249" s="98">
        <v>3</v>
      </c>
      <c r="R249" s="98">
        <v>3</v>
      </c>
      <c r="S249" s="98">
        <v>2</v>
      </c>
      <c r="T249" s="98">
        <v>3</v>
      </c>
      <c r="U249" s="98">
        <v>10</v>
      </c>
      <c r="V249" s="98">
        <v>3</v>
      </c>
      <c r="W249" s="98">
        <v>3</v>
      </c>
      <c r="X249" s="98">
        <v>6</v>
      </c>
      <c r="Y249" s="98">
        <v>3</v>
      </c>
      <c r="Z249" s="98">
        <v>2</v>
      </c>
      <c r="AA249" s="98">
        <v>3</v>
      </c>
      <c r="AB249" s="98">
        <v>5</v>
      </c>
      <c r="AC249" s="98">
        <v>3</v>
      </c>
      <c r="AD249" s="98">
        <v>3</v>
      </c>
      <c r="AE249" s="98">
        <v>3</v>
      </c>
      <c r="AF249" s="98">
        <v>4</v>
      </c>
      <c r="AG249" s="98">
        <v>2</v>
      </c>
      <c r="AH249" s="98">
        <v>3</v>
      </c>
      <c r="AI249" s="98">
        <v>5</v>
      </c>
      <c r="AJ249" s="98">
        <v>2</v>
      </c>
      <c r="AK249" s="98">
        <v>3</v>
      </c>
      <c r="AL249" s="98">
        <v>4</v>
      </c>
      <c r="AM249" s="98">
        <v>2</v>
      </c>
      <c r="AN249" s="98">
        <v>2</v>
      </c>
      <c r="AO249" s="98">
        <v>4</v>
      </c>
      <c r="AP249" s="98">
        <v>3</v>
      </c>
      <c r="AQ249" s="98">
        <v>2</v>
      </c>
      <c r="AR249" s="98">
        <v>2</v>
      </c>
      <c r="AS249" s="98">
        <v>2</v>
      </c>
      <c r="AT249" s="98">
        <v>2</v>
      </c>
      <c r="AU249" s="98">
        <v>2</v>
      </c>
      <c r="AV249" s="98">
        <v>3</v>
      </c>
      <c r="AW249" s="98">
        <v>9</v>
      </c>
      <c r="AX249" s="98">
        <v>2</v>
      </c>
      <c r="AY249" s="98">
        <v>2</v>
      </c>
      <c r="AZ249" s="98">
        <v>3</v>
      </c>
      <c r="BA249" s="98">
        <v>2</v>
      </c>
      <c r="BB249" s="98">
        <v>3</v>
      </c>
      <c r="BC249" s="98">
        <v>4</v>
      </c>
      <c r="BD249" s="98">
        <v>3</v>
      </c>
      <c r="BE249" s="98">
        <v>3</v>
      </c>
      <c r="BF249" s="98">
        <v>2</v>
      </c>
      <c r="BG249" s="98">
        <v>4</v>
      </c>
      <c r="BH249" s="98">
        <v>3</v>
      </c>
      <c r="BI249" s="98">
        <v>7</v>
      </c>
      <c r="BJ249" s="98">
        <v>4</v>
      </c>
      <c r="BK249" s="98">
        <v>2</v>
      </c>
      <c r="BL249" s="98">
        <v>4</v>
      </c>
      <c r="BM249" s="98">
        <v>6</v>
      </c>
      <c r="BN249" s="98">
        <v>2</v>
      </c>
      <c r="BO249" s="98">
        <v>2</v>
      </c>
      <c r="BP249" s="98">
        <v>5</v>
      </c>
      <c r="BQ249" s="98">
        <v>3</v>
      </c>
      <c r="BR249" s="98">
        <v>2</v>
      </c>
      <c r="BS249" s="98">
        <v>2</v>
      </c>
      <c r="BT249" s="98">
        <v>2</v>
      </c>
      <c r="BU249" s="98">
        <v>5</v>
      </c>
      <c r="BV249" s="98">
        <v>3</v>
      </c>
      <c r="BW249" s="98">
        <v>3</v>
      </c>
      <c r="BX249" s="98">
        <v>5</v>
      </c>
      <c r="BY249" s="98">
        <v>5</v>
      </c>
      <c r="BZ249" s="98">
        <v>3</v>
      </c>
      <c r="CA249" s="98">
        <v>3</v>
      </c>
      <c r="CB249" s="98">
        <v>4</v>
      </c>
      <c r="CC249" s="98">
        <v>8</v>
      </c>
      <c r="CD249" s="98">
        <v>3</v>
      </c>
      <c r="CE249" s="98">
        <v>2</v>
      </c>
      <c r="CF249" s="98">
        <v>5</v>
      </c>
      <c r="CG249" s="98">
        <v>3</v>
      </c>
      <c r="CH249" s="98">
        <v>3</v>
      </c>
      <c r="CI249" s="98">
        <v>2</v>
      </c>
      <c r="CJ249" s="98">
        <v>3</v>
      </c>
      <c r="CK249" s="98">
        <v>2</v>
      </c>
      <c r="CL249" s="98">
        <v>2</v>
      </c>
      <c r="CM249" s="98">
        <v>3</v>
      </c>
      <c r="CN249" s="98">
        <v>3</v>
      </c>
      <c r="CO249" s="98">
        <v>2</v>
      </c>
      <c r="CP249" s="98">
        <v>3</v>
      </c>
      <c r="CQ249" s="98">
        <v>3</v>
      </c>
      <c r="CR249" s="98">
        <v>4</v>
      </c>
      <c r="CS249" s="98">
        <v>4</v>
      </c>
    </row>
    <row r="250" spans="2:97" x14ac:dyDescent="0.3">
      <c r="B250" s="83" t="s">
        <v>105</v>
      </c>
      <c r="C250" s="98">
        <v>2</v>
      </c>
      <c r="D250" s="98">
        <v>4</v>
      </c>
      <c r="E250" s="98">
        <v>3</v>
      </c>
      <c r="F250" s="98">
        <v>2</v>
      </c>
      <c r="G250" s="98">
        <v>2</v>
      </c>
      <c r="H250" s="98">
        <v>4</v>
      </c>
      <c r="I250" s="98">
        <v>3</v>
      </c>
      <c r="J250" s="98">
        <v>1</v>
      </c>
      <c r="K250" s="98">
        <v>1</v>
      </c>
      <c r="L250" s="98">
        <v>2</v>
      </c>
      <c r="M250" s="98">
        <v>1</v>
      </c>
      <c r="N250" s="98">
        <v>1</v>
      </c>
      <c r="O250" s="98">
        <v>4</v>
      </c>
      <c r="P250" s="98">
        <v>1</v>
      </c>
      <c r="Q250" s="98">
        <v>2</v>
      </c>
      <c r="R250" s="98">
        <v>2</v>
      </c>
      <c r="S250" s="98">
        <v>1</v>
      </c>
      <c r="T250" s="98">
        <v>2</v>
      </c>
      <c r="U250" s="98">
        <v>9</v>
      </c>
      <c r="V250" s="98">
        <v>2</v>
      </c>
      <c r="W250" s="98">
        <v>2</v>
      </c>
      <c r="X250" s="98">
        <v>5</v>
      </c>
      <c r="Y250" s="98">
        <v>2</v>
      </c>
      <c r="Z250" s="98">
        <v>1</v>
      </c>
      <c r="AA250" s="98">
        <v>2</v>
      </c>
      <c r="AB250" s="98">
        <v>4</v>
      </c>
      <c r="AC250" s="98">
        <v>2</v>
      </c>
      <c r="AD250" s="98">
        <v>2</v>
      </c>
      <c r="AE250" s="98">
        <v>2</v>
      </c>
      <c r="AF250" s="98">
        <v>3</v>
      </c>
      <c r="AG250" s="98">
        <v>1</v>
      </c>
      <c r="AH250" s="98">
        <v>2</v>
      </c>
      <c r="AI250" s="98">
        <v>4</v>
      </c>
      <c r="AJ250" s="98">
        <v>1</v>
      </c>
      <c r="AK250" s="98">
        <v>2</v>
      </c>
      <c r="AL250" s="98">
        <v>3</v>
      </c>
      <c r="AM250" s="98">
        <v>1</v>
      </c>
      <c r="AN250" s="98">
        <v>1</v>
      </c>
      <c r="AO250" s="98">
        <v>3</v>
      </c>
      <c r="AP250" s="98">
        <v>2</v>
      </c>
      <c r="AQ250" s="98">
        <v>1</v>
      </c>
      <c r="AR250" s="98">
        <v>1</v>
      </c>
      <c r="AS250" s="98">
        <v>1</v>
      </c>
      <c r="AT250" s="98">
        <v>1</v>
      </c>
      <c r="AU250" s="98">
        <v>3</v>
      </c>
      <c r="AV250" s="98">
        <v>1</v>
      </c>
      <c r="AW250" s="98">
        <v>8</v>
      </c>
      <c r="AX250" s="98">
        <v>1</v>
      </c>
      <c r="AY250" s="98">
        <v>1</v>
      </c>
      <c r="AZ250" s="98">
        <v>2</v>
      </c>
      <c r="BA250" s="98">
        <v>1</v>
      </c>
      <c r="BB250" s="98">
        <v>2</v>
      </c>
      <c r="BC250" s="98">
        <v>3</v>
      </c>
      <c r="BD250" s="98">
        <v>2</v>
      </c>
      <c r="BE250" s="98">
        <v>2</v>
      </c>
      <c r="BF250" s="98">
        <v>1</v>
      </c>
      <c r="BG250" s="98">
        <v>3</v>
      </c>
      <c r="BH250" s="98">
        <v>2</v>
      </c>
      <c r="BI250" s="98">
        <v>6</v>
      </c>
      <c r="BJ250" s="98">
        <v>3</v>
      </c>
      <c r="BK250" s="98">
        <v>1</v>
      </c>
      <c r="BL250" s="98">
        <v>3</v>
      </c>
      <c r="BM250" s="98">
        <v>5</v>
      </c>
      <c r="BN250" s="98">
        <v>1</v>
      </c>
      <c r="BO250" s="98">
        <v>1</v>
      </c>
      <c r="BP250" s="98">
        <v>4</v>
      </c>
      <c r="BQ250" s="98">
        <v>2</v>
      </c>
      <c r="BR250" s="98">
        <v>1</v>
      </c>
      <c r="BS250" s="98">
        <v>1</v>
      </c>
      <c r="BT250" s="98">
        <v>1</v>
      </c>
      <c r="BU250" s="98">
        <v>4</v>
      </c>
      <c r="BV250" s="98">
        <v>2</v>
      </c>
      <c r="BW250" s="98">
        <v>2</v>
      </c>
      <c r="BX250" s="98">
        <v>4</v>
      </c>
      <c r="BY250" s="98">
        <v>4</v>
      </c>
      <c r="BZ250" s="98">
        <v>2</v>
      </c>
      <c r="CA250" s="98">
        <v>2</v>
      </c>
      <c r="CB250" s="98">
        <v>3</v>
      </c>
      <c r="CC250" s="98">
        <v>7</v>
      </c>
      <c r="CD250" s="98">
        <v>2</v>
      </c>
      <c r="CE250" s="98">
        <v>1</v>
      </c>
      <c r="CF250" s="98">
        <v>4</v>
      </c>
      <c r="CG250" s="98">
        <v>2</v>
      </c>
      <c r="CH250" s="98">
        <v>2</v>
      </c>
      <c r="CI250" s="98">
        <v>1</v>
      </c>
      <c r="CJ250" s="98">
        <v>2</v>
      </c>
      <c r="CK250" s="98">
        <v>1</v>
      </c>
      <c r="CL250" s="98">
        <v>1</v>
      </c>
      <c r="CM250" s="98">
        <v>2</v>
      </c>
      <c r="CN250" s="98">
        <v>2</v>
      </c>
      <c r="CO250" s="98">
        <v>1</v>
      </c>
      <c r="CP250" s="98">
        <v>2</v>
      </c>
      <c r="CQ250" s="98">
        <v>2</v>
      </c>
      <c r="CR250" s="98">
        <v>3</v>
      </c>
      <c r="CS250" s="98">
        <v>3</v>
      </c>
    </row>
    <row r="251" spans="2:97" x14ac:dyDescent="0.3">
      <c r="B251" s="83" t="s">
        <v>106</v>
      </c>
      <c r="C251" s="98">
        <v>8</v>
      </c>
      <c r="D251" s="98">
        <v>10</v>
      </c>
      <c r="E251" s="98">
        <v>9</v>
      </c>
      <c r="F251" s="98">
        <v>8</v>
      </c>
      <c r="G251" s="98">
        <v>8</v>
      </c>
      <c r="H251" s="98">
        <v>10</v>
      </c>
      <c r="I251" s="98">
        <v>9</v>
      </c>
      <c r="J251" s="98">
        <v>7</v>
      </c>
      <c r="K251" s="98">
        <v>7</v>
      </c>
      <c r="L251" s="98">
        <v>8</v>
      </c>
      <c r="M251" s="98">
        <v>7</v>
      </c>
      <c r="N251" s="98">
        <v>7</v>
      </c>
      <c r="O251" s="98">
        <v>10</v>
      </c>
      <c r="P251" s="98">
        <v>7</v>
      </c>
      <c r="Q251" s="98">
        <v>8</v>
      </c>
      <c r="R251" s="98">
        <v>8</v>
      </c>
      <c r="S251" s="98">
        <v>7</v>
      </c>
      <c r="T251" s="98">
        <v>8</v>
      </c>
      <c r="U251" s="98">
        <v>15</v>
      </c>
      <c r="V251" s="98">
        <v>8</v>
      </c>
      <c r="W251" s="98">
        <v>8</v>
      </c>
      <c r="X251" s="98">
        <v>11</v>
      </c>
      <c r="Y251" s="98">
        <v>8</v>
      </c>
      <c r="Z251" s="98">
        <v>7</v>
      </c>
      <c r="AA251" s="98">
        <v>8</v>
      </c>
      <c r="AB251" s="98">
        <v>10</v>
      </c>
      <c r="AC251" s="98">
        <v>8</v>
      </c>
      <c r="AD251" s="98">
        <v>8</v>
      </c>
      <c r="AE251" s="98">
        <v>8</v>
      </c>
      <c r="AF251" s="98">
        <v>9</v>
      </c>
      <c r="AG251" s="98">
        <v>7</v>
      </c>
      <c r="AH251" s="98">
        <v>8</v>
      </c>
      <c r="AI251" s="98">
        <v>10</v>
      </c>
      <c r="AJ251" s="98">
        <v>7</v>
      </c>
      <c r="AK251" s="98">
        <v>8</v>
      </c>
      <c r="AL251" s="98">
        <v>9</v>
      </c>
      <c r="AM251" s="98">
        <v>7</v>
      </c>
      <c r="AN251" s="98">
        <v>7</v>
      </c>
      <c r="AO251" s="98">
        <v>9</v>
      </c>
      <c r="AP251" s="98">
        <v>8</v>
      </c>
      <c r="AQ251" s="98">
        <v>7</v>
      </c>
      <c r="AR251" s="98">
        <v>7</v>
      </c>
      <c r="AS251" s="98">
        <v>7</v>
      </c>
      <c r="AT251" s="98">
        <v>7</v>
      </c>
      <c r="AU251" s="98">
        <v>9</v>
      </c>
      <c r="AV251" s="98">
        <v>8</v>
      </c>
      <c r="AW251" s="98">
        <v>7</v>
      </c>
      <c r="AX251" s="98">
        <v>7</v>
      </c>
      <c r="AY251" s="98">
        <v>7</v>
      </c>
      <c r="AZ251" s="98">
        <v>8</v>
      </c>
      <c r="BA251" s="98">
        <v>7</v>
      </c>
      <c r="BB251" s="98">
        <v>8</v>
      </c>
      <c r="BC251" s="98">
        <v>9</v>
      </c>
      <c r="BD251" s="98">
        <v>8</v>
      </c>
      <c r="BE251" s="98">
        <v>8</v>
      </c>
      <c r="BF251" s="98">
        <v>7</v>
      </c>
      <c r="BG251" s="98">
        <v>9</v>
      </c>
      <c r="BH251" s="98">
        <v>8</v>
      </c>
      <c r="BI251" s="98">
        <v>12</v>
      </c>
      <c r="BJ251" s="98">
        <v>9</v>
      </c>
      <c r="BK251" s="98">
        <v>7</v>
      </c>
      <c r="BL251" s="98">
        <v>9</v>
      </c>
      <c r="BM251" s="98">
        <v>11</v>
      </c>
      <c r="BN251" s="98">
        <v>7</v>
      </c>
      <c r="BO251" s="98">
        <v>7</v>
      </c>
      <c r="BP251" s="98">
        <v>10</v>
      </c>
      <c r="BQ251" s="98">
        <v>8</v>
      </c>
      <c r="BR251" s="98">
        <v>7</v>
      </c>
      <c r="BS251" s="98">
        <v>7</v>
      </c>
      <c r="BT251" s="98">
        <v>7</v>
      </c>
      <c r="BU251" s="98">
        <v>10</v>
      </c>
      <c r="BV251" s="98">
        <v>8</v>
      </c>
      <c r="BW251" s="98">
        <v>8</v>
      </c>
      <c r="BX251" s="98">
        <v>10</v>
      </c>
      <c r="BY251" s="98">
        <v>10</v>
      </c>
      <c r="BZ251" s="98">
        <v>8</v>
      </c>
      <c r="CA251" s="98">
        <v>8</v>
      </c>
      <c r="CB251" s="98">
        <v>9</v>
      </c>
      <c r="CC251" s="98">
        <v>13</v>
      </c>
      <c r="CD251" s="98">
        <v>8</v>
      </c>
      <c r="CE251" s="98">
        <v>7</v>
      </c>
      <c r="CF251" s="98">
        <v>10</v>
      </c>
      <c r="CG251" s="98">
        <v>8</v>
      </c>
      <c r="CH251" s="98">
        <v>8</v>
      </c>
      <c r="CI251" s="98">
        <v>7</v>
      </c>
      <c r="CJ251" s="98">
        <v>8</v>
      </c>
      <c r="CK251" s="98">
        <v>7</v>
      </c>
      <c r="CL251" s="98">
        <v>7</v>
      </c>
      <c r="CM251" s="98">
        <v>8</v>
      </c>
      <c r="CN251" s="98">
        <v>8</v>
      </c>
      <c r="CO251" s="98">
        <v>7</v>
      </c>
      <c r="CP251" s="98">
        <v>8</v>
      </c>
      <c r="CQ251" s="98">
        <v>8</v>
      </c>
      <c r="CR251" s="98">
        <v>9</v>
      </c>
      <c r="CS251" s="98">
        <v>9</v>
      </c>
    </row>
    <row r="252" spans="2:97" x14ac:dyDescent="0.3">
      <c r="B252" s="83" t="s">
        <v>107</v>
      </c>
      <c r="C252" s="98">
        <v>1</v>
      </c>
      <c r="D252" s="98">
        <v>3</v>
      </c>
      <c r="E252" s="98">
        <v>2</v>
      </c>
      <c r="F252" s="98">
        <v>1</v>
      </c>
      <c r="G252" s="98">
        <v>1</v>
      </c>
      <c r="H252" s="98">
        <v>3</v>
      </c>
      <c r="I252" s="98">
        <v>2</v>
      </c>
      <c r="J252" s="98">
        <v>0</v>
      </c>
      <c r="K252" s="98">
        <v>0</v>
      </c>
      <c r="L252" s="98">
        <v>1</v>
      </c>
      <c r="M252" s="98">
        <v>0</v>
      </c>
      <c r="N252" s="98">
        <v>0</v>
      </c>
      <c r="O252" s="98">
        <v>3</v>
      </c>
      <c r="P252" s="98">
        <v>0</v>
      </c>
      <c r="Q252" s="98">
        <v>1</v>
      </c>
      <c r="R252" s="98">
        <v>1</v>
      </c>
      <c r="S252" s="98">
        <v>0</v>
      </c>
      <c r="T252" s="98">
        <v>1</v>
      </c>
      <c r="U252" s="98">
        <v>8</v>
      </c>
      <c r="V252" s="98">
        <v>1</v>
      </c>
      <c r="W252" s="98">
        <v>1</v>
      </c>
      <c r="X252" s="98">
        <v>4</v>
      </c>
      <c r="Y252" s="98">
        <v>1</v>
      </c>
      <c r="Z252" s="98">
        <v>0</v>
      </c>
      <c r="AA252" s="98">
        <v>1</v>
      </c>
      <c r="AB252" s="98">
        <v>3</v>
      </c>
      <c r="AC252" s="98">
        <v>1</v>
      </c>
      <c r="AD252" s="98">
        <v>1</v>
      </c>
      <c r="AE252" s="98">
        <v>1</v>
      </c>
      <c r="AF252" s="98">
        <v>2</v>
      </c>
      <c r="AG252" s="98">
        <v>0</v>
      </c>
      <c r="AH252" s="98">
        <v>1</v>
      </c>
      <c r="AI252" s="98">
        <v>3</v>
      </c>
      <c r="AJ252" s="98">
        <v>0</v>
      </c>
      <c r="AK252" s="98">
        <v>1</v>
      </c>
      <c r="AL252" s="98">
        <v>2</v>
      </c>
      <c r="AM252" s="98">
        <v>0</v>
      </c>
      <c r="AN252" s="98">
        <v>0</v>
      </c>
      <c r="AO252" s="98">
        <v>2</v>
      </c>
      <c r="AP252" s="98">
        <v>1</v>
      </c>
      <c r="AQ252" s="98">
        <v>0</v>
      </c>
      <c r="AR252" s="98">
        <v>0</v>
      </c>
      <c r="AS252" s="98">
        <v>0</v>
      </c>
      <c r="AT252" s="98">
        <v>0</v>
      </c>
      <c r="AU252" s="98">
        <v>2</v>
      </c>
      <c r="AV252" s="98">
        <v>1</v>
      </c>
      <c r="AW252" s="98">
        <v>7</v>
      </c>
      <c r="AX252" s="98">
        <v>0</v>
      </c>
      <c r="AY252" s="98">
        <v>0</v>
      </c>
      <c r="AZ252" s="98">
        <v>1</v>
      </c>
      <c r="BA252" s="98">
        <v>0</v>
      </c>
      <c r="BB252" s="98">
        <v>1</v>
      </c>
      <c r="BC252" s="98">
        <v>2</v>
      </c>
      <c r="BD252" s="98">
        <v>1</v>
      </c>
      <c r="BE252" s="98">
        <v>1</v>
      </c>
      <c r="BF252" s="98">
        <v>0</v>
      </c>
      <c r="BG252" s="98">
        <v>2</v>
      </c>
      <c r="BH252" s="98">
        <v>1</v>
      </c>
      <c r="BI252" s="98">
        <v>5</v>
      </c>
      <c r="BJ252" s="98">
        <v>2</v>
      </c>
      <c r="BK252" s="98">
        <v>0</v>
      </c>
      <c r="BL252" s="98">
        <v>2</v>
      </c>
      <c r="BM252" s="98">
        <v>4</v>
      </c>
      <c r="BN252" s="98">
        <v>0</v>
      </c>
      <c r="BO252" s="98">
        <v>0</v>
      </c>
      <c r="BP252" s="98">
        <v>3</v>
      </c>
      <c r="BQ252" s="98">
        <v>1</v>
      </c>
      <c r="BR252" s="98">
        <v>0</v>
      </c>
      <c r="BS252" s="98">
        <v>0</v>
      </c>
      <c r="BT252" s="98">
        <v>0</v>
      </c>
      <c r="BU252" s="98">
        <v>3</v>
      </c>
      <c r="BV252" s="98">
        <v>1</v>
      </c>
      <c r="BW252" s="98">
        <v>1</v>
      </c>
      <c r="BX252" s="98">
        <v>3</v>
      </c>
      <c r="BY252" s="98">
        <v>3</v>
      </c>
      <c r="BZ252" s="98">
        <v>1</v>
      </c>
      <c r="CA252" s="98">
        <v>1</v>
      </c>
      <c r="CB252" s="98">
        <v>2</v>
      </c>
      <c r="CC252" s="98">
        <v>6</v>
      </c>
      <c r="CD252" s="98">
        <v>1</v>
      </c>
      <c r="CE252" s="98">
        <v>0</v>
      </c>
      <c r="CF252" s="98">
        <v>3</v>
      </c>
      <c r="CG252" s="98">
        <v>1</v>
      </c>
      <c r="CH252" s="98">
        <v>1</v>
      </c>
      <c r="CI252" s="98">
        <v>0</v>
      </c>
      <c r="CJ252" s="98">
        <v>1</v>
      </c>
      <c r="CK252" s="98">
        <v>0</v>
      </c>
      <c r="CL252" s="98">
        <v>0</v>
      </c>
      <c r="CM252" s="98">
        <v>1</v>
      </c>
      <c r="CN252" s="98">
        <v>1</v>
      </c>
      <c r="CO252" s="98">
        <v>0</v>
      </c>
      <c r="CP252" s="98">
        <v>1</v>
      </c>
      <c r="CQ252" s="98">
        <v>1</v>
      </c>
      <c r="CR252" s="98">
        <v>2</v>
      </c>
      <c r="CS252" s="98">
        <v>2</v>
      </c>
    </row>
    <row r="253" spans="2:97" x14ac:dyDescent="0.3">
      <c r="B253" s="83" t="s">
        <v>108</v>
      </c>
      <c r="C253" s="98">
        <v>1</v>
      </c>
      <c r="D253" s="98">
        <v>3</v>
      </c>
      <c r="E253" s="98">
        <v>2</v>
      </c>
      <c r="F253" s="98">
        <v>1</v>
      </c>
      <c r="G253" s="98">
        <v>1</v>
      </c>
      <c r="H253" s="98">
        <v>3</v>
      </c>
      <c r="I253" s="98">
        <v>2</v>
      </c>
      <c r="J253" s="98">
        <v>0</v>
      </c>
      <c r="K253" s="98">
        <v>0</v>
      </c>
      <c r="L253" s="98">
        <v>1</v>
      </c>
      <c r="M253" s="98">
        <v>0</v>
      </c>
      <c r="N253" s="98">
        <v>0</v>
      </c>
      <c r="O253" s="98">
        <v>3</v>
      </c>
      <c r="P253" s="98">
        <v>0</v>
      </c>
      <c r="Q253" s="98">
        <v>1</v>
      </c>
      <c r="R253" s="98">
        <v>1</v>
      </c>
      <c r="S253" s="98">
        <v>0</v>
      </c>
      <c r="T253" s="98">
        <v>1</v>
      </c>
      <c r="U253" s="98">
        <v>8</v>
      </c>
      <c r="V253" s="98">
        <v>1</v>
      </c>
      <c r="W253" s="98">
        <v>1</v>
      </c>
      <c r="X253" s="98">
        <v>4</v>
      </c>
      <c r="Y253" s="98">
        <v>1</v>
      </c>
      <c r="Z253" s="98">
        <v>0</v>
      </c>
      <c r="AA253" s="98">
        <v>1</v>
      </c>
      <c r="AB253" s="98">
        <v>3</v>
      </c>
      <c r="AC253" s="98">
        <v>1</v>
      </c>
      <c r="AD253" s="98">
        <v>1</v>
      </c>
      <c r="AE253" s="98">
        <v>1</v>
      </c>
      <c r="AF253" s="98">
        <v>2</v>
      </c>
      <c r="AG253" s="98">
        <v>0</v>
      </c>
      <c r="AH253" s="98">
        <v>1</v>
      </c>
      <c r="AI253" s="98">
        <v>3</v>
      </c>
      <c r="AJ253" s="98">
        <v>0</v>
      </c>
      <c r="AK253" s="98">
        <v>1</v>
      </c>
      <c r="AL253" s="98">
        <v>2</v>
      </c>
      <c r="AM253" s="98">
        <v>0</v>
      </c>
      <c r="AN253" s="98">
        <v>0</v>
      </c>
      <c r="AO253" s="98">
        <v>2</v>
      </c>
      <c r="AP253" s="98">
        <v>1</v>
      </c>
      <c r="AQ253" s="98">
        <v>0</v>
      </c>
      <c r="AR253" s="98">
        <v>0</v>
      </c>
      <c r="AS253" s="98">
        <v>0</v>
      </c>
      <c r="AT253" s="98">
        <v>0</v>
      </c>
      <c r="AU253" s="98">
        <v>2</v>
      </c>
      <c r="AV253" s="98">
        <v>1</v>
      </c>
      <c r="AW253" s="98">
        <v>7</v>
      </c>
      <c r="AX253" s="98">
        <v>0</v>
      </c>
      <c r="AY253" s="98">
        <v>0</v>
      </c>
      <c r="AZ253" s="98">
        <v>1</v>
      </c>
      <c r="BA253" s="98">
        <v>0</v>
      </c>
      <c r="BB253" s="98">
        <v>1</v>
      </c>
      <c r="BC253" s="98">
        <v>2</v>
      </c>
      <c r="BD253" s="98">
        <v>1</v>
      </c>
      <c r="BE253" s="98">
        <v>1</v>
      </c>
      <c r="BF253" s="98">
        <v>0</v>
      </c>
      <c r="BG253" s="98">
        <v>2</v>
      </c>
      <c r="BH253" s="98">
        <v>1</v>
      </c>
      <c r="BI253" s="98">
        <v>5</v>
      </c>
      <c r="BJ253" s="98">
        <v>2</v>
      </c>
      <c r="BK253" s="98">
        <v>0</v>
      </c>
      <c r="BL253" s="98">
        <v>2</v>
      </c>
      <c r="BM253" s="98">
        <v>4</v>
      </c>
      <c r="BN253" s="98">
        <v>0</v>
      </c>
      <c r="BO253" s="98">
        <v>0</v>
      </c>
      <c r="BP253" s="98">
        <v>3</v>
      </c>
      <c r="BQ253" s="98">
        <v>1</v>
      </c>
      <c r="BR253" s="98">
        <v>0</v>
      </c>
      <c r="BS253" s="98">
        <v>0</v>
      </c>
      <c r="BT253" s="98">
        <v>0</v>
      </c>
      <c r="BU253" s="98">
        <v>3</v>
      </c>
      <c r="BV253" s="98">
        <v>1</v>
      </c>
      <c r="BW253" s="98">
        <v>1</v>
      </c>
      <c r="BX253" s="98">
        <v>3</v>
      </c>
      <c r="BY253" s="98">
        <v>3</v>
      </c>
      <c r="BZ253" s="98">
        <v>1</v>
      </c>
      <c r="CA253" s="98">
        <v>1</v>
      </c>
      <c r="CB253" s="98">
        <v>2</v>
      </c>
      <c r="CC253" s="98">
        <v>6</v>
      </c>
      <c r="CD253" s="98">
        <v>1</v>
      </c>
      <c r="CE253" s="98">
        <v>0</v>
      </c>
      <c r="CF253" s="98">
        <v>3</v>
      </c>
      <c r="CG253" s="98">
        <v>1</v>
      </c>
      <c r="CH253" s="98">
        <v>1</v>
      </c>
      <c r="CI253" s="98">
        <v>0</v>
      </c>
      <c r="CJ253" s="98">
        <v>1</v>
      </c>
      <c r="CK253" s="98">
        <v>0</v>
      </c>
      <c r="CL253" s="98">
        <v>0</v>
      </c>
      <c r="CM253" s="98">
        <v>1</v>
      </c>
      <c r="CN253" s="98">
        <v>1</v>
      </c>
      <c r="CO253" s="98">
        <v>0</v>
      </c>
      <c r="CP253" s="98">
        <v>1</v>
      </c>
      <c r="CQ253" s="98">
        <v>1</v>
      </c>
      <c r="CR253" s="98">
        <v>2</v>
      </c>
      <c r="CS253" s="98">
        <v>2</v>
      </c>
    </row>
    <row r="254" spans="2:97" x14ac:dyDescent="0.3">
      <c r="B254" s="83" t="s">
        <v>109</v>
      </c>
      <c r="C254" s="98">
        <v>2</v>
      </c>
      <c r="D254" s="98">
        <v>4</v>
      </c>
      <c r="E254" s="98">
        <v>3</v>
      </c>
      <c r="F254" s="98">
        <v>2</v>
      </c>
      <c r="G254" s="98">
        <v>2</v>
      </c>
      <c r="H254" s="98">
        <v>4</v>
      </c>
      <c r="I254" s="98">
        <v>3</v>
      </c>
      <c r="J254" s="98">
        <v>1</v>
      </c>
      <c r="K254" s="98">
        <v>1</v>
      </c>
      <c r="L254" s="98">
        <v>2</v>
      </c>
      <c r="M254" s="98">
        <v>1</v>
      </c>
      <c r="N254" s="98">
        <v>1</v>
      </c>
      <c r="O254" s="98">
        <v>4</v>
      </c>
      <c r="P254" s="98">
        <v>1</v>
      </c>
      <c r="Q254" s="98">
        <v>2</v>
      </c>
      <c r="R254" s="98">
        <v>2</v>
      </c>
      <c r="S254" s="98">
        <v>1</v>
      </c>
      <c r="T254" s="98">
        <v>2</v>
      </c>
      <c r="U254" s="98">
        <v>9</v>
      </c>
      <c r="V254" s="98">
        <v>2</v>
      </c>
      <c r="W254" s="98">
        <v>2</v>
      </c>
      <c r="X254" s="98">
        <v>5</v>
      </c>
      <c r="Y254" s="98">
        <v>2</v>
      </c>
      <c r="Z254" s="98">
        <v>1</v>
      </c>
      <c r="AA254" s="98">
        <v>2</v>
      </c>
      <c r="AB254" s="98">
        <v>4</v>
      </c>
      <c r="AC254" s="98">
        <v>2</v>
      </c>
      <c r="AD254" s="98">
        <v>2</v>
      </c>
      <c r="AE254" s="98">
        <v>2</v>
      </c>
      <c r="AF254" s="98">
        <v>3</v>
      </c>
      <c r="AG254" s="98">
        <v>1</v>
      </c>
      <c r="AH254" s="98">
        <v>2</v>
      </c>
      <c r="AI254" s="98">
        <v>4</v>
      </c>
      <c r="AJ254" s="98">
        <v>1</v>
      </c>
      <c r="AK254" s="98">
        <v>2</v>
      </c>
      <c r="AL254" s="98">
        <v>3</v>
      </c>
      <c r="AM254" s="98">
        <v>1</v>
      </c>
      <c r="AN254" s="98">
        <v>1</v>
      </c>
      <c r="AO254" s="98">
        <v>3</v>
      </c>
      <c r="AP254" s="98">
        <v>2</v>
      </c>
      <c r="AQ254" s="98">
        <v>1</v>
      </c>
      <c r="AR254" s="98">
        <v>1</v>
      </c>
      <c r="AS254" s="98">
        <v>1</v>
      </c>
      <c r="AT254" s="98">
        <v>1</v>
      </c>
      <c r="AU254" s="98">
        <v>3</v>
      </c>
      <c r="AV254" s="98">
        <v>2</v>
      </c>
      <c r="AW254" s="98">
        <v>8</v>
      </c>
      <c r="AX254" s="98">
        <v>1</v>
      </c>
      <c r="AY254" s="98">
        <v>1</v>
      </c>
      <c r="AZ254" s="98">
        <v>1</v>
      </c>
      <c r="BA254" s="98">
        <v>1</v>
      </c>
      <c r="BB254" s="98">
        <v>2</v>
      </c>
      <c r="BC254" s="98">
        <v>3</v>
      </c>
      <c r="BD254" s="98">
        <v>2</v>
      </c>
      <c r="BE254" s="98">
        <v>2</v>
      </c>
      <c r="BF254" s="98">
        <v>1</v>
      </c>
      <c r="BG254" s="98">
        <v>3</v>
      </c>
      <c r="BH254" s="98">
        <v>2</v>
      </c>
      <c r="BI254" s="98">
        <v>6</v>
      </c>
      <c r="BJ254" s="98">
        <v>3</v>
      </c>
      <c r="BK254" s="98">
        <v>1</v>
      </c>
      <c r="BL254" s="98">
        <v>3</v>
      </c>
      <c r="BM254" s="98">
        <v>5</v>
      </c>
      <c r="BN254" s="98">
        <v>1</v>
      </c>
      <c r="BO254" s="98">
        <v>1</v>
      </c>
      <c r="BP254" s="98">
        <v>4</v>
      </c>
      <c r="BQ254" s="98">
        <v>2</v>
      </c>
      <c r="BR254" s="98">
        <v>1</v>
      </c>
      <c r="BS254" s="98">
        <v>1</v>
      </c>
      <c r="BT254" s="98">
        <v>1</v>
      </c>
      <c r="BU254" s="98">
        <v>4</v>
      </c>
      <c r="BV254" s="98">
        <v>2</v>
      </c>
      <c r="BW254" s="98">
        <v>2</v>
      </c>
      <c r="BX254" s="98">
        <v>4</v>
      </c>
      <c r="BY254" s="98">
        <v>4</v>
      </c>
      <c r="BZ254" s="98">
        <v>2</v>
      </c>
      <c r="CA254" s="98">
        <v>2</v>
      </c>
      <c r="CB254" s="98">
        <v>3</v>
      </c>
      <c r="CC254" s="98">
        <v>7</v>
      </c>
      <c r="CD254" s="98">
        <v>2</v>
      </c>
      <c r="CE254" s="98">
        <v>1</v>
      </c>
      <c r="CF254" s="98">
        <v>4</v>
      </c>
      <c r="CG254" s="98">
        <v>2</v>
      </c>
      <c r="CH254" s="98">
        <v>2</v>
      </c>
      <c r="CI254" s="98">
        <v>1</v>
      </c>
      <c r="CJ254" s="98">
        <v>2</v>
      </c>
      <c r="CK254" s="98">
        <v>1</v>
      </c>
      <c r="CL254" s="98">
        <v>1</v>
      </c>
      <c r="CM254" s="98">
        <v>2</v>
      </c>
      <c r="CN254" s="98">
        <v>2</v>
      </c>
      <c r="CO254" s="98">
        <v>1</v>
      </c>
      <c r="CP254" s="98">
        <v>2</v>
      </c>
      <c r="CQ254" s="98">
        <v>2</v>
      </c>
      <c r="CR254" s="98">
        <v>3</v>
      </c>
      <c r="CS254" s="98">
        <v>3</v>
      </c>
    </row>
    <row r="255" spans="2:97" x14ac:dyDescent="0.3">
      <c r="B255" s="83" t="s">
        <v>110</v>
      </c>
      <c r="C255" s="98">
        <v>1</v>
      </c>
      <c r="D255" s="98">
        <v>3</v>
      </c>
      <c r="E255" s="98">
        <v>2</v>
      </c>
      <c r="F255" s="98">
        <v>1</v>
      </c>
      <c r="G255" s="98">
        <v>1</v>
      </c>
      <c r="H255" s="98">
        <v>3</v>
      </c>
      <c r="I255" s="98">
        <v>2</v>
      </c>
      <c r="J255" s="98">
        <v>0</v>
      </c>
      <c r="K255" s="98">
        <v>0</v>
      </c>
      <c r="L255" s="98">
        <v>1</v>
      </c>
      <c r="M255" s="98">
        <v>0</v>
      </c>
      <c r="N255" s="98">
        <v>0</v>
      </c>
      <c r="O255" s="98">
        <v>3</v>
      </c>
      <c r="P255" s="98">
        <v>0</v>
      </c>
      <c r="Q255" s="98">
        <v>1</v>
      </c>
      <c r="R255" s="98">
        <v>1</v>
      </c>
      <c r="S255" s="98">
        <v>0</v>
      </c>
      <c r="T255" s="98">
        <v>1</v>
      </c>
      <c r="U255" s="98">
        <v>8</v>
      </c>
      <c r="V255" s="98">
        <v>1</v>
      </c>
      <c r="W255" s="98">
        <v>1</v>
      </c>
      <c r="X255" s="98">
        <v>4</v>
      </c>
      <c r="Y255" s="98">
        <v>1</v>
      </c>
      <c r="Z255" s="98">
        <v>0</v>
      </c>
      <c r="AA255" s="98">
        <v>1</v>
      </c>
      <c r="AB255" s="98">
        <v>3</v>
      </c>
      <c r="AC255" s="98">
        <v>1</v>
      </c>
      <c r="AD255" s="98">
        <v>1</v>
      </c>
      <c r="AE255" s="98">
        <v>1</v>
      </c>
      <c r="AF255" s="98">
        <v>2</v>
      </c>
      <c r="AG255" s="98">
        <v>0</v>
      </c>
      <c r="AH255" s="98">
        <v>1</v>
      </c>
      <c r="AI255" s="98">
        <v>3</v>
      </c>
      <c r="AJ255" s="98">
        <v>0</v>
      </c>
      <c r="AK255" s="98">
        <v>1</v>
      </c>
      <c r="AL255" s="98">
        <v>2</v>
      </c>
      <c r="AM255" s="98">
        <v>0</v>
      </c>
      <c r="AN255" s="98">
        <v>0</v>
      </c>
      <c r="AO255" s="98">
        <v>2</v>
      </c>
      <c r="AP255" s="98">
        <v>1</v>
      </c>
      <c r="AQ255" s="98">
        <v>0</v>
      </c>
      <c r="AR255" s="98">
        <v>0</v>
      </c>
      <c r="AS255" s="98">
        <v>0</v>
      </c>
      <c r="AT255" s="98">
        <v>0</v>
      </c>
      <c r="AU255" s="98">
        <v>2</v>
      </c>
      <c r="AV255" s="98">
        <v>1</v>
      </c>
      <c r="AW255" s="98">
        <v>7</v>
      </c>
      <c r="AX255" s="98">
        <v>0</v>
      </c>
      <c r="AY255" s="98">
        <v>0</v>
      </c>
      <c r="AZ255" s="98">
        <v>1</v>
      </c>
      <c r="BA255" s="98">
        <v>0</v>
      </c>
      <c r="BB255" s="98">
        <v>1</v>
      </c>
      <c r="BC255" s="98">
        <v>2</v>
      </c>
      <c r="BD255" s="98">
        <v>1</v>
      </c>
      <c r="BE255" s="98">
        <v>1</v>
      </c>
      <c r="BF255" s="98">
        <v>0</v>
      </c>
      <c r="BG255" s="98">
        <v>2</v>
      </c>
      <c r="BH255" s="98">
        <v>1</v>
      </c>
      <c r="BI255" s="98">
        <v>5</v>
      </c>
      <c r="BJ255" s="98">
        <v>2</v>
      </c>
      <c r="BK255" s="98">
        <v>0</v>
      </c>
      <c r="BL255" s="98">
        <v>2</v>
      </c>
      <c r="BM255" s="98">
        <v>4</v>
      </c>
      <c r="BN255" s="98">
        <v>0</v>
      </c>
      <c r="BO255" s="98">
        <v>0</v>
      </c>
      <c r="BP255" s="98">
        <v>3</v>
      </c>
      <c r="BQ255" s="98">
        <v>1</v>
      </c>
      <c r="BR255" s="98">
        <v>0</v>
      </c>
      <c r="BS255" s="98">
        <v>0</v>
      </c>
      <c r="BT255" s="98">
        <v>0</v>
      </c>
      <c r="BU255" s="98">
        <v>3</v>
      </c>
      <c r="BV255" s="98">
        <v>1</v>
      </c>
      <c r="BW255" s="98">
        <v>1</v>
      </c>
      <c r="BX255" s="98">
        <v>3</v>
      </c>
      <c r="BY255" s="98">
        <v>3</v>
      </c>
      <c r="BZ255" s="98">
        <v>1</v>
      </c>
      <c r="CA255" s="98">
        <v>1</v>
      </c>
      <c r="CB255" s="98">
        <v>2</v>
      </c>
      <c r="CC255" s="98">
        <v>6</v>
      </c>
      <c r="CD255" s="98">
        <v>1</v>
      </c>
      <c r="CE255" s="98">
        <v>0</v>
      </c>
      <c r="CF255" s="98">
        <v>3</v>
      </c>
      <c r="CG255" s="98">
        <v>1</v>
      </c>
      <c r="CH255" s="98">
        <v>1</v>
      </c>
      <c r="CI255" s="98">
        <v>0</v>
      </c>
      <c r="CJ255" s="98">
        <v>1</v>
      </c>
      <c r="CK255" s="98">
        <v>0</v>
      </c>
      <c r="CL255" s="98">
        <v>0</v>
      </c>
      <c r="CM255" s="98">
        <v>1</v>
      </c>
      <c r="CN255" s="98">
        <v>1</v>
      </c>
      <c r="CO255" s="98">
        <v>0</v>
      </c>
      <c r="CP255" s="98">
        <v>1</v>
      </c>
      <c r="CQ255" s="98">
        <v>1</v>
      </c>
      <c r="CR255" s="98">
        <v>2</v>
      </c>
      <c r="CS255" s="98">
        <v>2</v>
      </c>
    </row>
    <row r="256" spans="2:97" x14ac:dyDescent="0.3">
      <c r="B256" s="83" t="s">
        <v>111</v>
      </c>
      <c r="C256" s="98">
        <v>2</v>
      </c>
      <c r="D256" s="98">
        <v>4</v>
      </c>
      <c r="E256" s="98">
        <v>3</v>
      </c>
      <c r="F256" s="98">
        <v>2</v>
      </c>
      <c r="G256" s="98">
        <v>2</v>
      </c>
      <c r="H256" s="98">
        <v>4</v>
      </c>
      <c r="I256" s="98">
        <v>3</v>
      </c>
      <c r="J256" s="98">
        <v>1</v>
      </c>
      <c r="K256" s="98">
        <v>1</v>
      </c>
      <c r="L256" s="98">
        <v>2</v>
      </c>
      <c r="M256" s="98">
        <v>1</v>
      </c>
      <c r="N256" s="98">
        <v>1</v>
      </c>
      <c r="O256" s="98">
        <v>4</v>
      </c>
      <c r="P256" s="98">
        <v>1</v>
      </c>
      <c r="Q256" s="98">
        <v>2</v>
      </c>
      <c r="R256" s="98">
        <v>2</v>
      </c>
      <c r="S256" s="98">
        <v>1</v>
      </c>
      <c r="T256" s="98">
        <v>2</v>
      </c>
      <c r="U256" s="98">
        <v>9</v>
      </c>
      <c r="V256" s="98">
        <v>2</v>
      </c>
      <c r="W256" s="98">
        <v>2</v>
      </c>
      <c r="X256" s="98">
        <v>5</v>
      </c>
      <c r="Y256" s="98">
        <v>2</v>
      </c>
      <c r="Z256" s="98">
        <v>1</v>
      </c>
      <c r="AA256" s="98">
        <v>2</v>
      </c>
      <c r="AB256" s="98">
        <v>4</v>
      </c>
      <c r="AC256" s="98">
        <v>2</v>
      </c>
      <c r="AD256" s="98">
        <v>2</v>
      </c>
      <c r="AE256" s="98">
        <v>2</v>
      </c>
      <c r="AF256" s="98">
        <v>3</v>
      </c>
      <c r="AG256" s="98">
        <v>1</v>
      </c>
      <c r="AH256" s="98">
        <v>2</v>
      </c>
      <c r="AI256" s="98">
        <v>4</v>
      </c>
      <c r="AJ256" s="98">
        <v>1</v>
      </c>
      <c r="AK256" s="98">
        <v>2</v>
      </c>
      <c r="AL256" s="98">
        <v>3</v>
      </c>
      <c r="AM256" s="98">
        <v>1</v>
      </c>
      <c r="AN256" s="98">
        <v>1</v>
      </c>
      <c r="AO256" s="98">
        <v>3</v>
      </c>
      <c r="AP256" s="98">
        <v>2</v>
      </c>
      <c r="AQ256" s="98">
        <v>1</v>
      </c>
      <c r="AR256" s="98">
        <v>1</v>
      </c>
      <c r="AS256" s="98">
        <v>1</v>
      </c>
      <c r="AT256" s="98">
        <v>1</v>
      </c>
      <c r="AU256" s="98">
        <v>3</v>
      </c>
      <c r="AV256" s="98">
        <v>2</v>
      </c>
      <c r="AW256" s="98">
        <v>8</v>
      </c>
      <c r="AX256" s="98">
        <v>1</v>
      </c>
      <c r="AY256" s="98">
        <v>1</v>
      </c>
      <c r="AZ256" s="98">
        <v>2</v>
      </c>
      <c r="BA256" s="98">
        <v>1</v>
      </c>
      <c r="BB256" s="98">
        <v>1</v>
      </c>
      <c r="BC256" s="98">
        <v>3</v>
      </c>
      <c r="BD256" s="98">
        <v>2</v>
      </c>
      <c r="BE256" s="98">
        <v>2</v>
      </c>
      <c r="BF256" s="98">
        <v>1</v>
      </c>
      <c r="BG256" s="98">
        <v>3</v>
      </c>
      <c r="BH256" s="98">
        <v>2</v>
      </c>
      <c r="BI256" s="98">
        <v>6</v>
      </c>
      <c r="BJ256" s="98">
        <v>3</v>
      </c>
      <c r="BK256" s="98">
        <v>1</v>
      </c>
      <c r="BL256" s="98">
        <v>3</v>
      </c>
      <c r="BM256" s="98">
        <v>5</v>
      </c>
      <c r="BN256" s="98">
        <v>1</v>
      </c>
      <c r="BO256" s="98">
        <v>1</v>
      </c>
      <c r="BP256" s="98">
        <v>4</v>
      </c>
      <c r="BQ256" s="98">
        <v>2</v>
      </c>
      <c r="BR256" s="98">
        <v>1</v>
      </c>
      <c r="BS256" s="98">
        <v>1</v>
      </c>
      <c r="BT256" s="98">
        <v>1</v>
      </c>
      <c r="BU256" s="98">
        <v>4</v>
      </c>
      <c r="BV256" s="98">
        <v>2</v>
      </c>
      <c r="BW256" s="98">
        <v>2</v>
      </c>
      <c r="BX256" s="98">
        <v>4</v>
      </c>
      <c r="BY256" s="98">
        <v>4</v>
      </c>
      <c r="BZ256" s="98">
        <v>2</v>
      </c>
      <c r="CA256" s="98">
        <v>2</v>
      </c>
      <c r="CB256" s="98">
        <v>3</v>
      </c>
      <c r="CC256" s="98">
        <v>7</v>
      </c>
      <c r="CD256" s="98">
        <v>2</v>
      </c>
      <c r="CE256" s="98">
        <v>1</v>
      </c>
      <c r="CF256" s="98">
        <v>4</v>
      </c>
      <c r="CG256" s="98">
        <v>2</v>
      </c>
      <c r="CH256" s="98">
        <v>2</v>
      </c>
      <c r="CI256" s="98">
        <v>1</v>
      </c>
      <c r="CJ256" s="98">
        <v>2</v>
      </c>
      <c r="CK256" s="98">
        <v>1</v>
      </c>
      <c r="CL256" s="98">
        <v>1</v>
      </c>
      <c r="CM256" s="98">
        <v>2</v>
      </c>
      <c r="CN256" s="98">
        <v>2</v>
      </c>
      <c r="CO256" s="98">
        <v>1</v>
      </c>
      <c r="CP256" s="98">
        <v>2</v>
      </c>
      <c r="CQ256" s="98">
        <v>2</v>
      </c>
      <c r="CR256" s="98">
        <v>3</v>
      </c>
      <c r="CS256" s="98">
        <v>3</v>
      </c>
    </row>
    <row r="257" spans="2:97" x14ac:dyDescent="0.3">
      <c r="B257" s="83" t="s">
        <v>112</v>
      </c>
      <c r="C257" s="98">
        <v>3</v>
      </c>
      <c r="D257" s="98">
        <v>5</v>
      </c>
      <c r="E257" s="98">
        <v>4</v>
      </c>
      <c r="F257" s="98">
        <v>3</v>
      </c>
      <c r="G257" s="98">
        <v>3</v>
      </c>
      <c r="H257" s="98">
        <v>5</v>
      </c>
      <c r="I257" s="98">
        <v>4</v>
      </c>
      <c r="J257" s="98">
        <v>2</v>
      </c>
      <c r="K257" s="98">
        <v>2</v>
      </c>
      <c r="L257" s="98">
        <v>3</v>
      </c>
      <c r="M257" s="98">
        <v>2</v>
      </c>
      <c r="N257" s="98">
        <v>2</v>
      </c>
      <c r="O257" s="98">
        <v>5</v>
      </c>
      <c r="P257" s="98">
        <v>2</v>
      </c>
      <c r="Q257" s="98">
        <v>3</v>
      </c>
      <c r="R257" s="98">
        <v>3</v>
      </c>
      <c r="S257" s="98">
        <v>2</v>
      </c>
      <c r="T257" s="98">
        <v>3</v>
      </c>
      <c r="U257" s="98">
        <v>10</v>
      </c>
      <c r="V257" s="98">
        <v>3</v>
      </c>
      <c r="W257" s="98">
        <v>3</v>
      </c>
      <c r="X257" s="98">
        <v>6</v>
      </c>
      <c r="Y257" s="98">
        <v>3</v>
      </c>
      <c r="Z257" s="98">
        <v>2</v>
      </c>
      <c r="AA257" s="98">
        <v>3</v>
      </c>
      <c r="AB257" s="98">
        <v>5</v>
      </c>
      <c r="AC257" s="98">
        <v>3</v>
      </c>
      <c r="AD257" s="98">
        <v>3</v>
      </c>
      <c r="AE257" s="98">
        <v>3</v>
      </c>
      <c r="AF257" s="98">
        <v>4</v>
      </c>
      <c r="AG257" s="98">
        <v>2</v>
      </c>
      <c r="AH257" s="98">
        <v>3</v>
      </c>
      <c r="AI257" s="98">
        <v>5</v>
      </c>
      <c r="AJ257" s="98">
        <v>2</v>
      </c>
      <c r="AK257" s="98">
        <v>3</v>
      </c>
      <c r="AL257" s="98">
        <v>4</v>
      </c>
      <c r="AM257" s="98">
        <v>2</v>
      </c>
      <c r="AN257" s="98">
        <v>2</v>
      </c>
      <c r="AO257" s="98">
        <v>4</v>
      </c>
      <c r="AP257" s="98">
        <v>3</v>
      </c>
      <c r="AQ257" s="98">
        <v>2</v>
      </c>
      <c r="AR257" s="98">
        <v>2</v>
      </c>
      <c r="AS257" s="98">
        <v>2</v>
      </c>
      <c r="AT257" s="98">
        <v>2</v>
      </c>
      <c r="AU257" s="98">
        <v>4</v>
      </c>
      <c r="AV257" s="98">
        <v>3</v>
      </c>
      <c r="AW257" s="98">
        <v>9</v>
      </c>
      <c r="AX257" s="98">
        <v>2</v>
      </c>
      <c r="AY257" s="98">
        <v>2</v>
      </c>
      <c r="AZ257" s="98">
        <v>3</v>
      </c>
      <c r="BA257" s="98">
        <v>2</v>
      </c>
      <c r="BB257" s="98">
        <v>3</v>
      </c>
      <c r="BC257" s="98">
        <v>2</v>
      </c>
      <c r="BD257" s="98">
        <v>3</v>
      </c>
      <c r="BE257" s="98">
        <v>3</v>
      </c>
      <c r="BF257" s="98">
        <v>2</v>
      </c>
      <c r="BG257" s="98">
        <v>4</v>
      </c>
      <c r="BH257" s="98">
        <v>3</v>
      </c>
      <c r="BI257" s="98">
        <v>7</v>
      </c>
      <c r="BJ257" s="98">
        <v>4</v>
      </c>
      <c r="BK257" s="98">
        <v>2</v>
      </c>
      <c r="BL257" s="98">
        <v>4</v>
      </c>
      <c r="BM257" s="98">
        <v>6</v>
      </c>
      <c r="BN257" s="98">
        <v>2</v>
      </c>
      <c r="BO257" s="98">
        <v>2</v>
      </c>
      <c r="BP257" s="98">
        <v>5</v>
      </c>
      <c r="BQ257" s="98">
        <v>3</v>
      </c>
      <c r="BR257" s="98">
        <v>2</v>
      </c>
      <c r="BS257" s="98">
        <v>2</v>
      </c>
      <c r="BT257" s="98">
        <v>2</v>
      </c>
      <c r="BU257" s="98">
        <v>5</v>
      </c>
      <c r="BV257" s="98">
        <v>3</v>
      </c>
      <c r="BW257" s="98">
        <v>3</v>
      </c>
      <c r="BX257" s="98">
        <v>5</v>
      </c>
      <c r="BY257" s="98">
        <v>5</v>
      </c>
      <c r="BZ257" s="98">
        <v>3</v>
      </c>
      <c r="CA257" s="98">
        <v>3</v>
      </c>
      <c r="CB257" s="98">
        <v>4</v>
      </c>
      <c r="CC257" s="98">
        <v>8</v>
      </c>
      <c r="CD257" s="98">
        <v>3</v>
      </c>
      <c r="CE257" s="98">
        <v>2</v>
      </c>
      <c r="CF257" s="98">
        <v>5</v>
      </c>
      <c r="CG257" s="98">
        <v>3</v>
      </c>
      <c r="CH257" s="98">
        <v>3</v>
      </c>
      <c r="CI257" s="98">
        <v>2</v>
      </c>
      <c r="CJ257" s="98">
        <v>3</v>
      </c>
      <c r="CK257" s="98">
        <v>2</v>
      </c>
      <c r="CL257" s="98">
        <v>2</v>
      </c>
      <c r="CM257" s="98">
        <v>3</v>
      </c>
      <c r="CN257" s="98">
        <v>3</v>
      </c>
      <c r="CO257" s="98">
        <v>2</v>
      </c>
      <c r="CP257" s="98">
        <v>3</v>
      </c>
      <c r="CQ257" s="98">
        <v>3</v>
      </c>
      <c r="CR257" s="98">
        <v>4</v>
      </c>
      <c r="CS257" s="98">
        <v>4</v>
      </c>
    </row>
    <row r="258" spans="2:97" x14ac:dyDescent="0.3">
      <c r="B258" s="83" t="s">
        <v>113</v>
      </c>
      <c r="C258" s="98">
        <v>2</v>
      </c>
      <c r="D258" s="98">
        <v>4</v>
      </c>
      <c r="E258" s="98">
        <v>3</v>
      </c>
      <c r="F258" s="98">
        <v>2</v>
      </c>
      <c r="G258" s="98">
        <v>2</v>
      </c>
      <c r="H258" s="98">
        <v>4</v>
      </c>
      <c r="I258" s="98">
        <v>3</v>
      </c>
      <c r="J258" s="98">
        <v>1</v>
      </c>
      <c r="K258" s="98">
        <v>1</v>
      </c>
      <c r="L258" s="98">
        <v>2</v>
      </c>
      <c r="M258" s="98">
        <v>1</v>
      </c>
      <c r="N258" s="98">
        <v>1</v>
      </c>
      <c r="O258" s="98">
        <v>4</v>
      </c>
      <c r="P258" s="98">
        <v>1</v>
      </c>
      <c r="Q258" s="98">
        <v>2</v>
      </c>
      <c r="R258" s="98">
        <v>2</v>
      </c>
      <c r="S258" s="98">
        <v>1</v>
      </c>
      <c r="T258" s="98">
        <v>2</v>
      </c>
      <c r="U258" s="98">
        <v>9</v>
      </c>
      <c r="V258" s="98">
        <v>2</v>
      </c>
      <c r="W258" s="98">
        <v>2</v>
      </c>
      <c r="X258" s="98">
        <v>5</v>
      </c>
      <c r="Y258" s="98">
        <v>2</v>
      </c>
      <c r="Z258" s="98">
        <v>1</v>
      </c>
      <c r="AA258" s="98">
        <v>2</v>
      </c>
      <c r="AB258" s="98">
        <v>4</v>
      </c>
      <c r="AC258" s="98">
        <v>2</v>
      </c>
      <c r="AD258" s="98">
        <v>2</v>
      </c>
      <c r="AE258" s="98">
        <v>2</v>
      </c>
      <c r="AF258" s="98">
        <v>3</v>
      </c>
      <c r="AG258" s="98">
        <v>1</v>
      </c>
      <c r="AH258" s="98">
        <v>2</v>
      </c>
      <c r="AI258" s="98">
        <v>4</v>
      </c>
      <c r="AJ258" s="98">
        <v>1</v>
      </c>
      <c r="AK258" s="98">
        <v>2</v>
      </c>
      <c r="AL258" s="98">
        <v>3</v>
      </c>
      <c r="AM258" s="98">
        <v>1</v>
      </c>
      <c r="AN258" s="98">
        <v>1</v>
      </c>
      <c r="AO258" s="98">
        <v>3</v>
      </c>
      <c r="AP258" s="98">
        <v>2</v>
      </c>
      <c r="AQ258" s="98">
        <v>1</v>
      </c>
      <c r="AR258" s="98">
        <v>1</v>
      </c>
      <c r="AS258" s="98">
        <v>1</v>
      </c>
      <c r="AT258" s="98">
        <v>1</v>
      </c>
      <c r="AU258" s="98">
        <v>3</v>
      </c>
      <c r="AV258" s="98">
        <v>2</v>
      </c>
      <c r="AW258" s="98">
        <v>8</v>
      </c>
      <c r="AX258" s="98">
        <v>1</v>
      </c>
      <c r="AY258" s="98">
        <v>1</v>
      </c>
      <c r="AZ258" s="98">
        <v>2</v>
      </c>
      <c r="BA258" s="98">
        <v>1</v>
      </c>
      <c r="BB258" s="98">
        <v>2</v>
      </c>
      <c r="BC258" s="98">
        <v>3</v>
      </c>
      <c r="BD258" s="98">
        <v>1</v>
      </c>
      <c r="BE258" s="98">
        <v>2</v>
      </c>
      <c r="BF258" s="98">
        <v>1</v>
      </c>
      <c r="BG258" s="98">
        <v>3</v>
      </c>
      <c r="BH258" s="98">
        <v>2</v>
      </c>
      <c r="BI258" s="98">
        <v>6</v>
      </c>
      <c r="BJ258" s="98">
        <v>3</v>
      </c>
      <c r="BK258" s="98">
        <v>1</v>
      </c>
      <c r="BL258" s="98">
        <v>3</v>
      </c>
      <c r="BM258" s="98">
        <v>5</v>
      </c>
      <c r="BN258" s="98">
        <v>1</v>
      </c>
      <c r="BO258" s="98">
        <v>1</v>
      </c>
      <c r="BP258" s="98">
        <v>4</v>
      </c>
      <c r="BQ258" s="98">
        <v>2</v>
      </c>
      <c r="BR258" s="98">
        <v>1</v>
      </c>
      <c r="BS258" s="98">
        <v>1</v>
      </c>
      <c r="BT258" s="98">
        <v>1</v>
      </c>
      <c r="BU258" s="98">
        <v>4</v>
      </c>
      <c r="BV258" s="98">
        <v>2</v>
      </c>
      <c r="BW258" s="98">
        <v>2</v>
      </c>
      <c r="BX258" s="98">
        <v>4</v>
      </c>
      <c r="BY258" s="98">
        <v>4</v>
      </c>
      <c r="BZ258" s="98">
        <v>2</v>
      </c>
      <c r="CA258" s="98">
        <v>2</v>
      </c>
      <c r="CB258" s="98">
        <v>3</v>
      </c>
      <c r="CC258" s="98">
        <v>7</v>
      </c>
      <c r="CD258" s="98">
        <v>2</v>
      </c>
      <c r="CE258" s="98">
        <v>1</v>
      </c>
      <c r="CF258" s="98">
        <v>4</v>
      </c>
      <c r="CG258" s="98">
        <v>2</v>
      </c>
      <c r="CH258" s="98">
        <v>2</v>
      </c>
      <c r="CI258" s="98">
        <v>1</v>
      </c>
      <c r="CJ258" s="98">
        <v>2</v>
      </c>
      <c r="CK258" s="98">
        <v>1</v>
      </c>
      <c r="CL258" s="98">
        <v>1</v>
      </c>
      <c r="CM258" s="98">
        <v>2</v>
      </c>
      <c r="CN258" s="98">
        <v>2</v>
      </c>
      <c r="CO258" s="98">
        <v>1</v>
      </c>
      <c r="CP258" s="98">
        <v>2</v>
      </c>
      <c r="CQ258" s="98">
        <v>2</v>
      </c>
      <c r="CR258" s="98">
        <v>3</v>
      </c>
      <c r="CS258" s="98">
        <v>3</v>
      </c>
    </row>
    <row r="259" spans="2:97" x14ac:dyDescent="0.3">
      <c r="B259" s="83" t="s">
        <v>114</v>
      </c>
      <c r="C259" s="98">
        <v>2</v>
      </c>
      <c r="D259" s="98">
        <v>4</v>
      </c>
      <c r="E259" s="98">
        <v>3</v>
      </c>
      <c r="F259" s="98">
        <v>2</v>
      </c>
      <c r="G259" s="98">
        <v>2</v>
      </c>
      <c r="H259" s="98">
        <v>4</v>
      </c>
      <c r="I259" s="98">
        <v>3</v>
      </c>
      <c r="J259" s="98">
        <v>1</v>
      </c>
      <c r="K259" s="98">
        <v>1</v>
      </c>
      <c r="L259" s="98">
        <v>2</v>
      </c>
      <c r="M259" s="98">
        <v>1</v>
      </c>
      <c r="N259" s="98">
        <v>1</v>
      </c>
      <c r="O259" s="98">
        <v>4</v>
      </c>
      <c r="P259" s="98">
        <v>1</v>
      </c>
      <c r="Q259" s="98">
        <v>2</v>
      </c>
      <c r="R259" s="98">
        <v>2</v>
      </c>
      <c r="S259" s="98">
        <v>1</v>
      </c>
      <c r="T259" s="98">
        <v>2</v>
      </c>
      <c r="U259" s="98">
        <v>9</v>
      </c>
      <c r="V259" s="98">
        <v>2</v>
      </c>
      <c r="W259" s="98">
        <v>2</v>
      </c>
      <c r="X259" s="98">
        <v>5</v>
      </c>
      <c r="Y259" s="98">
        <v>2</v>
      </c>
      <c r="Z259" s="98">
        <v>1</v>
      </c>
      <c r="AA259" s="98">
        <v>2</v>
      </c>
      <c r="AB259" s="98">
        <v>4</v>
      </c>
      <c r="AC259" s="98">
        <v>2</v>
      </c>
      <c r="AD259" s="98">
        <v>2</v>
      </c>
      <c r="AE259" s="98">
        <v>2</v>
      </c>
      <c r="AF259" s="98">
        <v>3</v>
      </c>
      <c r="AG259" s="98">
        <v>1</v>
      </c>
      <c r="AH259" s="98">
        <v>2</v>
      </c>
      <c r="AI259" s="98">
        <v>4</v>
      </c>
      <c r="AJ259" s="98">
        <v>1</v>
      </c>
      <c r="AK259" s="98">
        <v>2</v>
      </c>
      <c r="AL259" s="98">
        <v>3</v>
      </c>
      <c r="AM259" s="98">
        <v>1</v>
      </c>
      <c r="AN259" s="98">
        <v>1</v>
      </c>
      <c r="AO259" s="98">
        <v>3</v>
      </c>
      <c r="AP259" s="98">
        <v>2</v>
      </c>
      <c r="AQ259" s="98">
        <v>1</v>
      </c>
      <c r="AR259" s="98">
        <v>1</v>
      </c>
      <c r="AS259" s="98">
        <v>1</v>
      </c>
      <c r="AT259" s="98">
        <v>1</v>
      </c>
      <c r="AU259" s="98">
        <v>3</v>
      </c>
      <c r="AV259" s="98">
        <v>2</v>
      </c>
      <c r="AW259" s="98">
        <v>8</v>
      </c>
      <c r="AX259" s="98">
        <v>1</v>
      </c>
      <c r="AY259" s="98">
        <v>1</v>
      </c>
      <c r="AZ259" s="98">
        <v>2</v>
      </c>
      <c r="BA259" s="98">
        <v>1</v>
      </c>
      <c r="BB259" s="98">
        <v>2</v>
      </c>
      <c r="BC259" s="98">
        <v>3</v>
      </c>
      <c r="BD259" s="98">
        <v>2</v>
      </c>
      <c r="BE259" s="98">
        <v>1</v>
      </c>
      <c r="BF259" s="98">
        <v>1</v>
      </c>
      <c r="BG259" s="98">
        <v>3</v>
      </c>
      <c r="BH259" s="98">
        <v>2</v>
      </c>
      <c r="BI259" s="98">
        <v>6</v>
      </c>
      <c r="BJ259" s="98">
        <v>3</v>
      </c>
      <c r="BK259" s="98">
        <v>1</v>
      </c>
      <c r="BL259" s="98">
        <v>3</v>
      </c>
      <c r="BM259" s="98">
        <v>5</v>
      </c>
      <c r="BN259" s="98">
        <v>1</v>
      </c>
      <c r="BO259" s="98">
        <v>1</v>
      </c>
      <c r="BP259" s="98">
        <v>4</v>
      </c>
      <c r="BQ259" s="98">
        <v>2</v>
      </c>
      <c r="BR259" s="98">
        <v>1</v>
      </c>
      <c r="BS259" s="98">
        <v>1</v>
      </c>
      <c r="BT259" s="98">
        <v>1</v>
      </c>
      <c r="BU259" s="98">
        <v>4</v>
      </c>
      <c r="BV259" s="98">
        <v>2</v>
      </c>
      <c r="BW259" s="98">
        <v>2</v>
      </c>
      <c r="BX259" s="98">
        <v>4</v>
      </c>
      <c r="BY259" s="98">
        <v>4</v>
      </c>
      <c r="BZ259" s="98">
        <v>2</v>
      </c>
      <c r="CA259" s="98">
        <v>2</v>
      </c>
      <c r="CB259" s="98">
        <v>3</v>
      </c>
      <c r="CC259" s="98">
        <v>7</v>
      </c>
      <c r="CD259" s="98">
        <v>2</v>
      </c>
      <c r="CE259" s="98">
        <v>1</v>
      </c>
      <c r="CF259" s="98">
        <v>4</v>
      </c>
      <c r="CG259" s="98">
        <v>2</v>
      </c>
      <c r="CH259" s="98">
        <v>2</v>
      </c>
      <c r="CI259" s="98">
        <v>1</v>
      </c>
      <c r="CJ259" s="98">
        <v>2</v>
      </c>
      <c r="CK259" s="98">
        <v>1</v>
      </c>
      <c r="CL259" s="98">
        <v>1</v>
      </c>
      <c r="CM259" s="98">
        <v>2</v>
      </c>
      <c r="CN259" s="98">
        <v>2</v>
      </c>
      <c r="CO259" s="98">
        <v>1</v>
      </c>
      <c r="CP259" s="98">
        <v>2</v>
      </c>
      <c r="CQ259" s="98">
        <v>2</v>
      </c>
      <c r="CR259" s="98">
        <v>3</v>
      </c>
      <c r="CS259" s="98">
        <v>3</v>
      </c>
    </row>
    <row r="260" spans="2:97" x14ac:dyDescent="0.3">
      <c r="B260" s="83" t="s">
        <v>115</v>
      </c>
      <c r="C260" s="98">
        <v>1</v>
      </c>
      <c r="D260" s="98">
        <v>3</v>
      </c>
      <c r="E260" s="98">
        <v>2</v>
      </c>
      <c r="F260" s="98">
        <v>1</v>
      </c>
      <c r="G260" s="98">
        <v>1</v>
      </c>
      <c r="H260" s="98">
        <v>3</v>
      </c>
      <c r="I260" s="98">
        <v>2</v>
      </c>
      <c r="J260" s="98">
        <v>0</v>
      </c>
      <c r="K260" s="98">
        <v>0</v>
      </c>
      <c r="L260" s="98">
        <v>1</v>
      </c>
      <c r="M260" s="98">
        <v>0</v>
      </c>
      <c r="N260" s="98">
        <v>0</v>
      </c>
      <c r="O260" s="98">
        <v>3</v>
      </c>
      <c r="P260" s="98">
        <v>0</v>
      </c>
      <c r="Q260" s="98">
        <v>1</v>
      </c>
      <c r="R260" s="98">
        <v>1</v>
      </c>
      <c r="S260" s="98">
        <v>0</v>
      </c>
      <c r="T260" s="98">
        <v>1</v>
      </c>
      <c r="U260" s="98">
        <v>8</v>
      </c>
      <c r="V260" s="98">
        <v>1</v>
      </c>
      <c r="W260" s="98">
        <v>1</v>
      </c>
      <c r="X260" s="98">
        <v>4</v>
      </c>
      <c r="Y260" s="98">
        <v>1</v>
      </c>
      <c r="Z260" s="98">
        <v>0</v>
      </c>
      <c r="AA260" s="98">
        <v>1</v>
      </c>
      <c r="AB260" s="98">
        <v>3</v>
      </c>
      <c r="AC260" s="98">
        <v>1</v>
      </c>
      <c r="AD260" s="98">
        <v>1</v>
      </c>
      <c r="AE260" s="98">
        <v>1</v>
      </c>
      <c r="AF260" s="98">
        <v>2</v>
      </c>
      <c r="AG260" s="98">
        <v>0</v>
      </c>
      <c r="AH260" s="98">
        <v>1</v>
      </c>
      <c r="AI260" s="98">
        <v>3</v>
      </c>
      <c r="AJ260" s="98">
        <v>0</v>
      </c>
      <c r="AK260" s="98">
        <v>1</v>
      </c>
      <c r="AL260" s="98">
        <v>2</v>
      </c>
      <c r="AM260" s="98">
        <v>0</v>
      </c>
      <c r="AN260" s="98">
        <v>0</v>
      </c>
      <c r="AO260" s="98">
        <v>2</v>
      </c>
      <c r="AP260" s="98">
        <v>1</v>
      </c>
      <c r="AQ260" s="98">
        <v>0</v>
      </c>
      <c r="AR260" s="98">
        <v>0</v>
      </c>
      <c r="AS260" s="98">
        <v>0</v>
      </c>
      <c r="AT260" s="98">
        <v>0</v>
      </c>
      <c r="AU260" s="98">
        <v>2</v>
      </c>
      <c r="AV260" s="98">
        <v>1</v>
      </c>
      <c r="AW260" s="98">
        <v>7</v>
      </c>
      <c r="AX260" s="98">
        <v>0</v>
      </c>
      <c r="AY260" s="98">
        <v>0</v>
      </c>
      <c r="AZ260" s="98">
        <v>1</v>
      </c>
      <c r="BA260" s="98">
        <v>0</v>
      </c>
      <c r="BB260" s="98">
        <v>1</v>
      </c>
      <c r="BC260" s="98">
        <v>2</v>
      </c>
      <c r="BD260" s="98">
        <v>1</v>
      </c>
      <c r="BE260" s="98">
        <v>1</v>
      </c>
      <c r="BF260" s="98">
        <v>0</v>
      </c>
      <c r="BG260" s="98">
        <v>2</v>
      </c>
      <c r="BH260" s="98">
        <v>1</v>
      </c>
      <c r="BI260" s="98">
        <v>5</v>
      </c>
      <c r="BJ260" s="98">
        <v>2</v>
      </c>
      <c r="BK260" s="98">
        <v>0</v>
      </c>
      <c r="BL260" s="98">
        <v>2</v>
      </c>
      <c r="BM260" s="98">
        <v>4</v>
      </c>
      <c r="BN260" s="98">
        <v>0</v>
      </c>
      <c r="BO260" s="98">
        <v>0</v>
      </c>
      <c r="BP260" s="98">
        <v>3</v>
      </c>
      <c r="BQ260" s="98">
        <v>1</v>
      </c>
      <c r="BR260" s="98">
        <v>0</v>
      </c>
      <c r="BS260" s="98">
        <v>0</v>
      </c>
      <c r="BT260" s="98">
        <v>0</v>
      </c>
      <c r="BU260" s="98">
        <v>3</v>
      </c>
      <c r="BV260" s="98">
        <v>1</v>
      </c>
      <c r="BW260" s="98">
        <v>1</v>
      </c>
      <c r="BX260" s="98">
        <v>3</v>
      </c>
      <c r="BY260" s="98">
        <v>3</v>
      </c>
      <c r="BZ260" s="98">
        <v>1</v>
      </c>
      <c r="CA260" s="98">
        <v>1</v>
      </c>
      <c r="CB260" s="98">
        <v>2</v>
      </c>
      <c r="CC260" s="98">
        <v>6</v>
      </c>
      <c r="CD260" s="98">
        <v>1</v>
      </c>
      <c r="CE260" s="98">
        <v>0</v>
      </c>
      <c r="CF260" s="98">
        <v>3</v>
      </c>
      <c r="CG260" s="98">
        <v>1</v>
      </c>
      <c r="CH260" s="98">
        <v>1</v>
      </c>
      <c r="CI260" s="98">
        <v>0</v>
      </c>
      <c r="CJ260" s="98">
        <v>1</v>
      </c>
      <c r="CK260" s="98">
        <v>0</v>
      </c>
      <c r="CL260" s="98">
        <v>0</v>
      </c>
      <c r="CM260" s="98">
        <v>1</v>
      </c>
      <c r="CN260" s="98">
        <v>1</v>
      </c>
      <c r="CO260" s="98">
        <v>0</v>
      </c>
      <c r="CP260" s="98">
        <v>1</v>
      </c>
      <c r="CQ260" s="98">
        <v>1</v>
      </c>
      <c r="CR260" s="98">
        <v>2</v>
      </c>
      <c r="CS260" s="98">
        <v>2</v>
      </c>
    </row>
    <row r="261" spans="2:97" x14ac:dyDescent="0.3">
      <c r="B261" s="83" t="s">
        <v>116</v>
      </c>
      <c r="C261" s="98">
        <v>3</v>
      </c>
      <c r="D261" s="98">
        <v>5</v>
      </c>
      <c r="E261" s="98">
        <v>4</v>
      </c>
      <c r="F261" s="98">
        <v>3</v>
      </c>
      <c r="G261" s="98">
        <v>3</v>
      </c>
      <c r="H261" s="98">
        <v>5</v>
      </c>
      <c r="I261" s="98">
        <v>4</v>
      </c>
      <c r="J261" s="98">
        <v>2</v>
      </c>
      <c r="K261" s="98">
        <v>2</v>
      </c>
      <c r="L261" s="98">
        <v>3</v>
      </c>
      <c r="M261" s="98">
        <v>2</v>
      </c>
      <c r="N261" s="98">
        <v>2</v>
      </c>
      <c r="O261" s="98">
        <v>5</v>
      </c>
      <c r="P261" s="98">
        <v>2</v>
      </c>
      <c r="Q261" s="98">
        <v>3</v>
      </c>
      <c r="R261" s="98">
        <v>3</v>
      </c>
      <c r="S261" s="98">
        <v>2</v>
      </c>
      <c r="T261" s="98">
        <v>3</v>
      </c>
      <c r="U261" s="98">
        <v>10</v>
      </c>
      <c r="V261" s="98">
        <v>3</v>
      </c>
      <c r="W261" s="98">
        <v>3</v>
      </c>
      <c r="X261" s="98">
        <v>6</v>
      </c>
      <c r="Y261" s="98">
        <v>3</v>
      </c>
      <c r="Z261" s="98">
        <v>2</v>
      </c>
      <c r="AA261" s="98">
        <v>3</v>
      </c>
      <c r="AB261" s="98">
        <v>5</v>
      </c>
      <c r="AC261" s="98">
        <v>3</v>
      </c>
      <c r="AD261" s="98">
        <v>3</v>
      </c>
      <c r="AE261" s="98">
        <v>3</v>
      </c>
      <c r="AF261" s="98">
        <v>4</v>
      </c>
      <c r="AG261" s="98">
        <v>2</v>
      </c>
      <c r="AH261" s="98">
        <v>3</v>
      </c>
      <c r="AI261" s="98">
        <v>5</v>
      </c>
      <c r="AJ261" s="98">
        <v>2</v>
      </c>
      <c r="AK261" s="98">
        <v>3</v>
      </c>
      <c r="AL261" s="98">
        <v>4</v>
      </c>
      <c r="AM261" s="98">
        <v>2</v>
      </c>
      <c r="AN261" s="98">
        <v>2</v>
      </c>
      <c r="AO261" s="98">
        <v>4</v>
      </c>
      <c r="AP261" s="98">
        <v>3</v>
      </c>
      <c r="AQ261" s="98">
        <v>2</v>
      </c>
      <c r="AR261" s="98">
        <v>2</v>
      </c>
      <c r="AS261" s="98">
        <v>2</v>
      </c>
      <c r="AT261" s="98">
        <v>2</v>
      </c>
      <c r="AU261" s="98">
        <v>4</v>
      </c>
      <c r="AV261" s="98">
        <v>3</v>
      </c>
      <c r="AW261" s="98">
        <v>9</v>
      </c>
      <c r="AX261" s="98">
        <v>2</v>
      </c>
      <c r="AY261" s="98">
        <v>2</v>
      </c>
      <c r="AZ261" s="98">
        <v>3</v>
      </c>
      <c r="BA261" s="98">
        <v>2</v>
      </c>
      <c r="BB261" s="98">
        <v>3</v>
      </c>
      <c r="BC261" s="98">
        <v>4</v>
      </c>
      <c r="BD261" s="98">
        <v>3</v>
      </c>
      <c r="BE261" s="98">
        <v>3</v>
      </c>
      <c r="BF261" s="98">
        <v>2</v>
      </c>
      <c r="BG261" s="98">
        <v>2</v>
      </c>
      <c r="BH261" s="98">
        <v>3</v>
      </c>
      <c r="BI261" s="98">
        <v>7</v>
      </c>
      <c r="BJ261" s="98">
        <v>4</v>
      </c>
      <c r="BK261" s="98">
        <v>2</v>
      </c>
      <c r="BL261" s="98">
        <v>4</v>
      </c>
      <c r="BM261" s="98">
        <v>6</v>
      </c>
      <c r="BN261" s="98">
        <v>2</v>
      </c>
      <c r="BO261" s="98">
        <v>2</v>
      </c>
      <c r="BP261" s="98">
        <v>5</v>
      </c>
      <c r="BQ261" s="98">
        <v>3</v>
      </c>
      <c r="BR261" s="98">
        <v>2</v>
      </c>
      <c r="BS261" s="98">
        <v>2</v>
      </c>
      <c r="BT261" s="98">
        <v>2</v>
      </c>
      <c r="BU261" s="98">
        <v>5</v>
      </c>
      <c r="BV261" s="98">
        <v>3</v>
      </c>
      <c r="BW261" s="98">
        <v>3</v>
      </c>
      <c r="BX261" s="98">
        <v>5</v>
      </c>
      <c r="BY261" s="98">
        <v>5</v>
      </c>
      <c r="BZ261" s="98">
        <v>3</v>
      </c>
      <c r="CA261" s="98">
        <v>3</v>
      </c>
      <c r="CB261" s="98">
        <v>4</v>
      </c>
      <c r="CC261" s="98">
        <v>8</v>
      </c>
      <c r="CD261" s="98">
        <v>3</v>
      </c>
      <c r="CE261" s="98">
        <v>2</v>
      </c>
      <c r="CF261" s="98">
        <v>5</v>
      </c>
      <c r="CG261" s="98">
        <v>3</v>
      </c>
      <c r="CH261" s="98">
        <v>3</v>
      </c>
      <c r="CI261" s="98">
        <v>2</v>
      </c>
      <c r="CJ261" s="98">
        <v>3</v>
      </c>
      <c r="CK261" s="98">
        <v>2</v>
      </c>
      <c r="CL261" s="98">
        <v>2</v>
      </c>
      <c r="CM261" s="98">
        <v>3</v>
      </c>
      <c r="CN261" s="98">
        <v>3</v>
      </c>
      <c r="CO261" s="98">
        <v>2</v>
      </c>
      <c r="CP261" s="98">
        <v>3</v>
      </c>
      <c r="CQ261" s="98">
        <v>3</v>
      </c>
      <c r="CR261" s="98">
        <v>4</v>
      </c>
      <c r="CS261" s="98">
        <v>4</v>
      </c>
    </row>
    <row r="262" spans="2:97" x14ac:dyDescent="0.3">
      <c r="B262" s="83" t="s">
        <v>117</v>
      </c>
      <c r="C262" s="98">
        <v>2</v>
      </c>
      <c r="D262" s="98">
        <v>4</v>
      </c>
      <c r="E262" s="98">
        <v>3</v>
      </c>
      <c r="F262" s="98">
        <v>2</v>
      </c>
      <c r="G262" s="98">
        <v>2</v>
      </c>
      <c r="H262" s="98">
        <v>4</v>
      </c>
      <c r="I262" s="98">
        <v>3</v>
      </c>
      <c r="J262" s="98">
        <v>1</v>
      </c>
      <c r="K262" s="98">
        <v>1</v>
      </c>
      <c r="L262" s="98">
        <v>2</v>
      </c>
      <c r="M262" s="98">
        <v>1</v>
      </c>
      <c r="N262" s="98">
        <v>1</v>
      </c>
      <c r="O262" s="98">
        <v>4</v>
      </c>
      <c r="P262" s="98">
        <v>1</v>
      </c>
      <c r="Q262" s="98">
        <v>2</v>
      </c>
      <c r="R262" s="98">
        <v>2</v>
      </c>
      <c r="S262" s="98">
        <v>1</v>
      </c>
      <c r="T262" s="98">
        <v>2</v>
      </c>
      <c r="U262" s="98">
        <v>9</v>
      </c>
      <c r="V262" s="98">
        <v>2</v>
      </c>
      <c r="W262" s="98">
        <v>2</v>
      </c>
      <c r="X262" s="98">
        <v>5</v>
      </c>
      <c r="Y262" s="98">
        <v>2</v>
      </c>
      <c r="Z262" s="98">
        <v>1</v>
      </c>
      <c r="AA262" s="98">
        <v>2</v>
      </c>
      <c r="AB262" s="98">
        <v>4</v>
      </c>
      <c r="AC262" s="98">
        <v>2</v>
      </c>
      <c r="AD262" s="98">
        <v>2</v>
      </c>
      <c r="AE262" s="98">
        <v>2</v>
      </c>
      <c r="AF262" s="98">
        <v>3</v>
      </c>
      <c r="AG262" s="98">
        <v>1</v>
      </c>
      <c r="AH262" s="98">
        <v>2</v>
      </c>
      <c r="AI262" s="98">
        <v>4</v>
      </c>
      <c r="AJ262" s="98">
        <v>1</v>
      </c>
      <c r="AK262" s="98">
        <v>2</v>
      </c>
      <c r="AL262" s="98">
        <v>3</v>
      </c>
      <c r="AM262" s="98">
        <v>1</v>
      </c>
      <c r="AN262" s="98">
        <v>1</v>
      </c>
      <c r="AO262" s="98">
        <v>3</v>
      </c>
      <c r="AP262" s="98">
        <v>2</v>
      </c>
      <c r="AQ262" s="98">
        <v>1</v>
      </c>
      <c r="AR262" s="98">
        <v>1</v>
      </c>
      <c r="AS262" s="98">
        <v>1</v>
      </c>
      <c r="AT262" s="98">
        <v>1</v>
      </c>
      <c r="AU262" s="98">
        <v>3</v>
      </c>
      <c r="AV262" s="98">
        <v>2</v>
      </c>
      <c r="AW262" s="98">
        <v>8</v>
      </c>
      <c r="AX262" s="98">
        <v>1</v>
      </c>
      <c r="AY262" s="98">
        <v>1</v>
      </c>
      <c r="AZ262" s="98">
        <v>2</v>
      </c>
      <c r="BA262" s="98">
        <v>1</v>
      </c>
      <c r="BB262" s="98">
        <v>2</v>
      </c>
      <c r="BC262" s="98">
        <v>3</v>
      </c>
      <c r="BD262" s="98">
        <v>2</v>
      </c>
      <c r="BE262" s="98">
        <v>2</v>
      </c>
      <c r="BF262" s="98">
        <v>1</v>
      </c>
      <c r="BG262" s="98">
        <v>3</v>
      </c>
      <c r="BH262" s="98">
        <v>1</v>
      </c>
      <c r="BI262" s="98">
        <v>6</v>
      </c>
      <c r="BJ262" s="98">
        <v>3</v>
      </c>
      <c r="BK262" s="98">
        <v>1</v>
      </c>
      <c r="BL262" s="98">
        <v>3</v>
      </c>
      <c r="BM262" s="98">
        <v>5</v>
      </c>
      <c r="BN262" s="98">
        <v>1</v>
      </c>
      <c r="BO262" s="98">
        <v>1</v>
      </c>
      <c r="BP262" s="98">
        <v>4</v>
      </c>
      <c r="BQ262" s="98">
        <v>2</v>
      </c>
      <c r="BR262" s="98">
        <v>1</v>
      </c>
      <c r="BS262" s="98">
        <v>1</v>
      </c>
      <c r="BT262" s="98">
        <v>1</v>
      </c>
      <c r="BU262" s="98">
        <v>4</v>
      </c>
      <c r="BV262" s="98">
        <v>2</v>
      </c>
      <c r="BW262" s="98">
        <v>2</v>
      </c>
      <c r="BX262" s="98">
        <v>4</v>
      </c>
      <c r="BY262" s="98">
        <v>4</v>
      </c>
      <c r="BZ262" s="98">
        <v>2</v>
      </c>
      <c r="CA262" s="98">
        <v>2</v>
      </c>
      <c r="CB262" s="98">
        <v>3</v>
      </c>
      <c r="CC262" s="98">
        <v>7</v>
      </c>
      <c r="CD262" s="98">
        <v>2</v>
      </c>
      <c r="CE262" s="98">
        <v>1</v>
      </c>
      <c r="CF262" s="98">
        <v>4</v>
      </c>
      <c r="CG262" s="98">
        <v>2</v>
      </c>
      <c r="CH262" s="98">
        <v>2</v>
      </c>
      <c r="CI262" s="98">
        <v>1</v>
      </c>
      <c r="CJ262" s="98">
        <v>2</v>
      </c>
      <c r="CK262" s="98">
        <v>1</v>
      </c>
      <c r="CL262" s="98">
        <v>1</v>
      </c>
      <c r="CM262" s="98">
        <v>2</v>
      </c>
      <c r="CN262" s="98">
        <v>2</v>
      </c>
      <c r="CO262" s="98">
        <v>1</v>
      </c>
      <c r="CP262" s="98">
        <v>2</v>
      </c>
      <c r="CQ262" s="98">
        <v>2</v>
      </c>
      <c r="CR262" s="98">
        <v>3</v>
      </c>
      <c r="CS262" s="98">
        <v>3</v>
      </c>
    </row>
    <row r="263" spans="2:97" x14ac:dyDescent="0.3">
      <c r="B263" s="83" t="s">
        <v>118</v>
      </c>
      <c r="C263" s="98">
        <v>6</v>
      </c>
      <c r="D263" s="98">
        <v>8</v>
      </c>
      <c r="E263" s="98">
        <v>7</v>
      </c>
      <c r="F263" s="98">
        <v>6</v>
      </c>
      <c r="G263" s="98">
        <v>6</v>
      </c>
      <c r="H263" s="98">
        <v>8</v>
      </c>
      <c r="I263" s="98">
        <v>7</v>
      </c>
      <c r="J263" s="98">
        <v>5</v>
      </c>
      <c r="K263" s="98">
        <v>5</v>
      </c>
      <c r="L263" s="98">
        <v>6</v>
      </c>
      <c r="M263" s="98">
        <v>5</v>
      </c>
      <c r="N263" s="98">
        <v>5</v>
      </c>
      <c r="O263" s="98">
        <v>8</v>
      </c>
      <c r="P263" s="98">
        <v>5</v>
      </c>
      <c r="Q263" s="98">
        <v>6</v>
      </c>
      <c r="R263" s="98">
        <v>6</v>
      </c>
      <c r="S263" s="98">
        <v>5</v>
      </c>
      <c r="T263" s="98">
        <v>6</v>
      </c>
      <c r="U263" s="98">
        <v>13</v>
      </c>
      <c r="V263" s="98">
        <v>6</v>
      </c>
      <c r="W263" s="98">
        <v>6</v>
      </c>
      <c r="X263" s="98">
        <v>9</v>
      </c>
      <c r="Y263" s="98">
        <v>6</v>
      </c>
      <c r="Z263" s="98">
        <v>5</v>
      </c>
      <c r="AA263" s="98">
        <v>6</v>
      </c>
      <c r="AB263" s="98">
        <v>8</v>
      </c>
      <c r="AC263" s="98">
        <v>6</v>
      </c>
      <c r="AD263" s="98">
        <v>6</v>
      </c>
      <c r="AE263" s="98">
        <v>6</v>
      </c>
      <c r="AF263" s="98">
        <v>7</v>
      </c>
      <c r="AG263" s="98">
        <v>5</v>
      </c>
      <c r="AH263" s="98">
        <v>6</v>
      </c>
      <c r="AI263" s="98">
        <v>8</v>
      </c>
      <c r="AJ263" s="98">
        <v>5</v>
      </c>
      <c r="AK263" s="98">
        <v>6</v>
      </c>
      <c r="AL263" s="98">
        <v>7</v>
      </c>
      <c r="AM263" s="98">
        <v>5</v>
      </c>
      <c r="AN263" s="98">
        <v>5</v>
      </c>
      <c r="AO263" s="98">
        <v>7</v>
      </c>
      <c r="AP263" s="98">
        <v>6</v>
      </c>
      <c r="AQ263" s="98">
        <v>5</v>
      </c>
      <c r="AR263" s="98">
        <v>5</v>
      </c>
      <c r="AS263" s="98">
        <v>5</v>
      </c>
      <c r="AT263" s="98">
        <v>5</v>
      </c>
      <c r="AU263" s="98">
        <v>7</v>
      </c>
      <c r="AV263" s="98">
        <v>6</v>
      </c>
      <c r="AW263" s="98">
        <v>12</v>
      </c>
      <c r="AX263" s="98">
        <v>5</v>
      </c>
      <c r="AY263" s="98">
        <v>5</v>
      </c>
      <c r="AZ263" s="98">
        <v>6</v>
      </c>
      <c r="BA263" s="98">
        <v>5</v>
      </c>
      <c r="BB263" s="98">
        <v>6</v>
      </c>
      <c r="BC263" s="98">
        <v>7</v>
      </c>
      <c r="BD263" s="98">
        <v>6</v>
      </c>
      <c r="BE263" s="98">
        <v>6</v>
      </c>
      <c r="BF263" s="98">
        <v>5</v>
      </c>
      <c r="BG263" s="98">
        <v>7</v>
      </c>
      <c r="BH263" s="98">
        <v>6</v>
      </c>
      <c r="BI263" s="98">
        <v>5</v>
      </c>
      <c r="BJ263" s="98">
        <v>7</v>
      </c>
      <c r="BK263" s="98">
        <v>5</v>
      </c>
      <c r="BL263" s="98">
        <v>7</v>
      </c>
      <c r="BM263" s="98">
        <v>9</v>
      </c>
      <c r="BN263" s="98">
        <v>5</v>
      </c>
      <c r="BO263" s="98">
        <v>5</v>
      </c>
      <c r="BP263" s="98">
        <v>8</v>
      </c>
      <c r="BQ263" s="98">
        <v>6</v>
      </c>
      <c r="BR263" s="98">
        <v>5</v>
      </c>
      <c r="BS263" s="98">
        <v>5</v>
      </c>
      <c r="BT263" s="98">
        <v>5</v>
      </c>
      <c r="BU263" s="98">
        <v>8</v>
      </c>
      <c r="BV263" s="98">
        <v>6</v>
      </c>
      <c r="BW263" s="98">
        <v>6</v>
      </c>
      <c r="BX263" s="98">
        <v>8</v>
      </c>
      <c r="BY263" s="98">
        <v>8</v>
      </c>
      <c r="BZ263" s="98">
        <v>6</v>
      </c>
      <c r="CA263" s="98">
        <v>6</v>
      </c>
      <c r="CB263" s="98">
        <v>7</v>
      </c>
      <c r="CC263" s="98">
        <v>11</v>
      </c>
      <c r="CD263" s="98">
        <v>6</v>
      </c>
      <c r="CE263" s="98">
        <v>5</v>
      </c>
      <c r="CF263" s="98">
        <v>8</v>
      </c>
      <c r="CG263" s="98">
        <v>6</v>
      </c>
      <c r="CH263" s="98">
        <v>6</v>
      </c>
      <c r="CI263" s="98">
        <v>5</v>
      </c>
      <c r="CJ263" s="98">
        <v>6</v>
      </c>
      <c r="CK263" s="98">
        <v>5</v>
      </c>
      <c r="CL263" s="98">
        <v>5</v>
      </c>
      <c r="CM263" s="98">
        <v>6</v>
      </c>
      <c r="CN263" s="98">
        <v>6</v>
      </c>
      <c r="CO263" s="98">
        <v>5</v>
      </c>
      <c r="CP263" s="98">
        <v>6</v>
      </c>
      <c r="CQ263" s="98">
        <v>6</v>
      </c>
      <c r="CR263" s="98">
        <v>7</v>
      </c>
      <c r="CS263" s="98">
        <v>7</v>
      </c>
    </row>
    <row r="264" spans="2:97" x14ac:dyDescent="0.3">
      <c r="B264" s="83" t="s">
        <v>119</v>
      </c>
      <c r="C264" s="98">
        <v>3</v>
      </c>
      <c r="D264" s="98">
        <v>5</v>
      </c>
      <c r="E264" s="98">
        <v>4</v>
      </c>
      <c r="F264" s="98">
        <v>3</v>
      </c>
      <c r="G264" s="98">
        <v>3</v>
      </c>
      <c r="H264" s="98">
        <v>5</v>
      </c>
      <c r="I264" s="98">
        <v>4</v>
      </c>
      <c r="J264" s="98">
        <v>2</v>
      </c>
      <c r="K264" s="98">
        <v>2</v>
      </c>
      <c r="L264" s="98">
        <v>3</v>
      </c>
      <c r="M264" s="98">
        <v>2</v>
      </c>
      <c r="N264" s="98">
        <v>2</v>
      </c>
      <c r="O264" s="98">
        <v>5</v>
      </c>
      <c r="P264" s="98">
        <v>2</v>
      </c>
      <c r="Q264" s="98">
        <v>3</v>
      </c>
      <c r="R264" s="98">
        <v>3</v>
      </c>
      <c r="S264" s="98">
        <v>2</v>
      </c>
      <c r="T264" s="98">
        <v>3</v>
      </c>
      <c r="U264" s="98">
        <v>10</v>
      </c>
      <c r="V264" s="98">
        <v>3</v>
      </c>
      <c r="W264" s="98">
        <v>3</v>
      </c>
      <c r="X264" s="98">
        <v>6</v>
      </c>
      <c r="Y264" s="98">
        <v>3</v>
      </c>
      <c r="Z264" s="98">
        <v>2</v>
      </c>
      <c r="AA264" s="98">
        <v>3</v>
      </c>
      <c r="AB264" s="98">
        <v>5</v>
      </c>
      <c r="AC264" s="98">
        <v>3</v>
      </c>
      <c r="AD264" s="98">
        <v>3</v>
      </c>
      <c r="AE264" s="98">
        <v>3</v>
      </c>
      <c r="AF264" s="98">
        <v>4</v>
      </c>
      <c r="AG264" s="98">
        <v>2</v>
      </c>
      <c r="AH264" s="98">
        <v>3</v>
      </c>
      <c r="AI264" s="98">
        <v>5</v>
      </c>
      <c r="AJ264" s="98">
        <v>2</v>
      </c>
      <c r="AK264" s="98">
        <v>3</v>
      </c>
      <c r="AL264" s="98">
        <v>4</v>
      </c>
      <c r="AM264" s="98">
        <v>2</v>
      </c>
      <c r="AN264" s="98">
        <v>2</v>
      </c>
      <c r="AO264" s="98">
        <v>4</v>
      </c>
      <c r="AP264" s="98">
        <v>3</v>
      </c>
      <c r="AQ264" s="98">
        <v>2</v>
      </c>
      <c r="AR264" s="98">
        <v>2</v>
      </c>
      <c r="AS264" s="98">
        <v>2</v>
      </c>
      <c r="AT264" s="98">
        <v>2</v>
      </c>
      <c r="AU264" s="98">
        <v>4</v>
      </c>
      <c r="AV264" s="98">
        <v>3</v>
      </c>
      <c r="AW264" s="98">
        <v>9</v>
      </c>
      <c r="AX264" s="98">
        <v>2</v>
      </c>
      <c r="AY264" s="98">
        <v>2</v>
      </c>
      <c r="AZ264" s="98">
        <v>3</v>
      </c>
      <c r="BA264" s="98">
        <v>2</v>
      </c>
      <c r="BB264" s="98">
        <v>3</v>
      </c>
      <c r="BC264" s="98">
        <v>4</v>
      </c>
      <c r="BD264" s="98">
        <v>3</v>
      </c>
      <c r="BE264" s="98">
        <v>3</v>
      </c>
      <c r="BF264" s="98">
        <v>2</v>
      </c>
      <c r="BG264" s="98">
        <v>4</v>
      </c>
      <c r="BH264" s="98">
        <v>3</v>
      </c>
      <c r="BI264" s="98">
        <v>7</v>
      </c>
      <c r="BJ264" s="98">
        <v>2</v>
      </c>
      <c r="BK264" s="98">
        <v>2</v>
      </c>
      <c r="BL264" s="98">
        <v>4</v>
      </c>
      <c r="BM264" s="98">
        <v>6</v>
      </c>
      <c r="BN264" s="98">
        <v>2</v>
      </c>
      <c r="BO264" s="98">
        <v>2</v>
      </c>
      <c r="BP264" s="98">
        <v>5</v>
      </c>
      <c r="BQ264" s="98">
        <v>3</v>
      </c>
      <c r="BR264" s="98">
        <v>2</v>
      </c>
      <c r="BS264" s="98">
        <v>2</v>
      </c>
      <c r="BT264" s="98">
        <v>2</v>
      </c>
      <c r="BU264" s="98">
        <v>5</v>
      </c>
      <c r="BV264" s="98">
        <v>3</v>
      </c>
      <c r="BW264" s="98">
        <v>3</v>
      </c>
      <c r="BX264" s="98">
        <v>5</v>
      </c>
      <c r="BY264" s="98">
        <v>5</v>
      </c>
      <c r="BZ264" s="98">
        <v>3</v>
      </c>
      <c r="CA264" s="98">
        <v>3</v>
      </c>
      <c r="CB264" s="98">
        <v>4</v>
      </c>
      <c r="CC264" s="98">
        <v>8</v>
      </c>
      <c r="CD264" s="98">
        <v>3</v>
      </c>
      <c r="CE264" s="98">
        <v>2</v>
      </c>
      <c r="CF264" s="98">
        <v>5</v>
      </c>
      <c r="CG264" s="98">
        <v>3</v>
      </c>
      <c r="CH264" s="98">
        <v>3</v>
      </c>
      <c r="CI264" s="98">
        <v>2</v>
      </c>
      <c r="CJ264" s="98">
        <v>3</v>
      </c>
      <c r="CK264" s="98">
        <v>2</v>
      </c>
      <c r="CL264" s="98">
        <v>2</v>
      </c>
      <c r="CM264" s="98">
        <v>3</v>
      </c>
      <c r="CN264" s="98">
        <v>3</v>
      </c>
      <c r="CO264" s="98">
        <v>2</v>
      </c>
      <c r="CP264" s="98">
        <v>3</v>
      </c>
      <c r="CQ264" s="98">
        <v>3</v>
      </c>
      <c r="CR264" s="98">
        <v>4</v>
      </c>
      <c r="CS264" s="98">
        <v>4</v>
      </c>
    </row>
    <row r="265" spans="2:97" x14ac:dyDescent="0.3">
      <c r="B265" s="83" t="s">
        <v>120</v>
      </c>
      <c r="C265" s="98">
        <v>1</v>
      </c>
      <c r="D265" s="98">
        <v>3</v>
      </c>
      <c r="E265" s="98">
        <v>2</v>
      </c>
      <c r="F265" s="98">
        <v>1</v>
      </c>
      <c r="G265" s="98">
        <v>1</v>
      </c>
      <c r="H265" s="98">
        <v>3</v>
      </c>
      <c r="I265" s="98">
        <v>2</v>
      </c>
      <c r="J265" s="98">
        <v>0</v>
      </c>
      <c r="K265" s="98">
        <v>0</v>
      </c>
      <c r="L265" s="98">
        <v>1</v>
      </c>
      <c r="M265" s="98">
        <v>0</v>
      </c>
      <c r="N265" s="98">
        <v>0</v>
      </c>
      <c r="O265" s="98">
        <v>3</v>
      </c>
      <c r="P265" s="98">
        <v>0</v>
      </c>
      <c r="Q265" s="98">
        <v>1</v>
      </c>
      <c r="R265" s="98">
        <v>1</v>
      </c>
      <c r="S265" s="98">
        <v>0</v>
      </c>
      <c r="T265" s="98">
        <v>1</v>
      </c>
      <c r="U265" s="98">
        <v>8</v>
      </c>
      <c r="V265" s="98">
        <v>1</v>
      </c>
      <c r="W265" s="98">
        <v>1</v>
      </c>
      <c r="X265" s="98">
        <v>4</v>
      </c>
      <c r="Y265" s="98">
        <v>1</v>
      </c>
      <c r="Z265" s="98">
        <v>0</v>
      </c>
      <c r="AA265" s="98">
        <v>1</v>
      </c>
      <c r="AB265" s="98">
        <v>3</v>
      </c>
      <c r="AC265" s="98">
        <v>1</v>
      </c>
      <c r="AD265" s="98">
        <v>1</v>
      </c>
      <c r="AE265" s="98">
        <v>1</v>
      </c>
      <c r="AF265" s="98">
        <v>2</v>
      </c>
      <c r="AG265" s="98">
        <v>0</v>
      </c>
      <c r="AH265" s="98">
        <v>1</v>
      </c>
      <c r="AI265" s="98">
        <v>3</v>
      </c>
      <c r="AJ265" s="98">
        <v>0</v>
      </c>
      <c r="AK265" s="98">
        <v>1</v>
      </c>
      <c r="AL265" s="98">
        <v>2</v>
      </c>
      <c r="AM265" s="98">
        <v>0</v>
      </c>
      <c r="AN265" s="98">
        <v>0</v>
      </c>
      <c r="AO265" s="98">
        <v>2</v>
      </c>
      <c r="AP265" s="98">
        <v>1</v>
      </c>
      <c r="AQ265" s="98">
        <v>0</v>
      </c>
      <c r="AR265" s="98">
        <v>0</v>
      </c>
      <c r="AS265" s="98">
        <v>0</v>
      </c>
      <c r="AT265" s="98">
        <v>0</v>
      </c>
      <c r="AU265" s="98">
        <v>2</v>
      </c>
      <c r="AV265" s="98">
        <v>1</v>
      </c>
      <c r="AW265" s="98">
        <v>7</v>
      </c>
      <c r="AX265" s="98">
        <v>0</v>
      </c>
      <c r="AY265" s="98">
        <v>0</v>
      </c>
      <c r="AZ265" s="98">
        <v>1</v>
      </c>
      <c r="BA265" s="98">
        <v>0</v>
      </c>
      <c r="BB265" s="98">
        <v>1</v>
      </c>
      <c r="BC265" s="98">
        <v>2</v>
      </c>
      <c r="BD265" s="98">
        <v>1</v>
      </c>
      <c r="BE265" s="98">
        <v>1</v>
      </c>
      <c r="BF265" s="98">
        <v>0</v>
      </c>
      <c r="BG265" s="98">
        <v>2</v>
      </c>
      <c r="BH265" s="98">
        <v>1</v>
      </c>
      <c r="BI265" s="98">
        <v>5</v>
      </c>
      <c r="BJ265" s="98">
        <v>2</v>
      </c>
      <c r="BK265" s="98">
        <v>0</v>
      </c>
      <c r="BL265" s="98">
        <v>2</v>
      </c>
      <c r="BM265" s="98">
        <v>4</v>
      </c>
      <c r="BN265" s="98">
        <v>0</v>
      </c>
      <c r="BO265" s="98">
        <v>0</v>
      </c>
      <c r="BP265" s="98">
        <v>3</v>
      </c>
      <c r="BQ265" s="98">
        <v>1</v>
      </c>
      <c r="BR265" s="98">
        <v>0</v>
      </c>
      <c r="BS265" s="98">
        <v>0</v>
      </c>
      <c r="BT265" s="98">
        <v>0</v>
      </c>
      <c r="BU265" s="98">
        <v>3</v>
      </c>
      <c r="BV265" s="98">
        <v>1</v>
      </c>
      <c r="BW265" s="98">
        <v>1</v>
      </c>
      <c r="BX265" s="98">
        <v>3</v>
      </c>
      <c r="BY265" s="98">
        <v>3</v>
      </c>
      <c r="BZ265" s="98">
        <v>1</v>
      </c>
      <c r="CA265" s="98">
        <v>1</v>
      </c>
      <c r="CB265" s="98">
        <v>2</v>
      </c>
      <c r="CC265" s="98">
        <v>6</v>
      </c>
      <c r="CD265" s="98">
        <v>1</v>
      </c>
      <c r="CE265" s="98">
        <v>0</v>
      </c>
      <c r="CF265" s="98">
        <v>3</v>
      </c>
      <c r="CG265" s="98">
        <v>1</v>
      </c>
      <c r="CH265" s="98">
        <v>1</v>
      </c>
      <c r="CI265" s="98">
        <v>0</v>
      </c>
      <c r="CJ265" s="98">
        <v>1</v>
      </c>
      <c r="CK265" s="98">
        <v>0</v>
      </c>
      <c r="CL265" s="98">
        <v>0</v>
      </c>
      <c r="CM265" s="98">
        <v>1</v>
      </c>
      <c r="CN265" s="98">
        <v>1</v>
      </c>
      <c r="CO265" s="98">
        <v>0</v>
      </c>
      <c r="CP265" s="98">
        <v>1</v>
      </c>
      <c r="CQ265" s="98">
        <v>1</v>
      </c>
      <c r="CR265" s="98">
        <v>2</v>
      </c>
      <c r="CS265" s="98">
        <v>2</v>
      </c>
    </row>
    <row r="266" spans="2:97" x14ac:dyDescent="0.3">
      <c r="B266" s="83" t="s">
        <v>121</v>
      </c>
      <c r="C266" s="98">
        <v>3</v>
      </c>
      <c r="D266" s="98">
        <v>5</v>
      </c>
      <c r="E266" s="98">
        <v>4</v>
      </c>
      <c r="F266" s="98">
        <v>3</v>
      </c>
      <c r="G266" s="98">
        <v>3</v>
      </c>
      <c r="H266" s="98">
        <v>5</v>
      </c>
      <c r="I266" s="98">
        <v>4</v>
      </c>
      <c r="J266" s="98">
        <v>2</v>
      </c>
      <c r="K266" s="98">
        <v>2</v>
      </c>
      <c r="L266" s="98">
        <v>3</v>
      </c>
      <c r="M266" s="98">
        <v>2</v>
      </c>
      <c r="N266" s="98">
        <v>2</v>
      </c>
      <c r="O266" s="98">
        <v>5</v>
      </c>
      <c r="P266" s="98">
        <v>2</v>
      </c>
      <c r="Q266" s="98">
        <v>3</v>
      </c>
      <c r="R266" s="98">
        <v>3</v>
      </c>
      <c r="S266" s="98">
        <v>2</v>
      </c>
      <c r="T266" s="98">
        <v>3</v>
      </c>
      <c r="U266" s="98">
        <v>10</v>
      </c>
      <c r="V266" s="98">
        <v>3</v>
      </c>
      <c r="W266" s="98">
        <v>3</v>
      </c>
      <c r="X266" s="98">
        <v>6</v>
      </c>
      <c r="Y266" s="98">
        <v>3</v>
      </c>
      <c r="Z266" s="98">
        <v>2</v>
      </c>
      <c r="AA266" s="98">
        <v>3</v>
      </c>
      <c r="AB266" s="98">
        <v>5</v>
      </c>
      <c r="AC266" s="98">
        <v>3</v>
      </c>
      <c r="AD266" s="98">
        <v>3</v>
      </c>
      <c r="AE266" s="98">
        <v>3</v>
      </c>
      <c r="AF266" s="98">
        <v>4</v>
      </c>
      <c r="AG266" s="98">
        <v>2</v>
      </c>
      <c r="AH266" s="98">
        <v>3</v>
      </c>
      <c r="AI266" s="98">
        <v>5</v>
      </c>
      <c r="AJ266" s="98">
        <v>2</v>
      </c>
      <c r="AK266" s="98">
        <v>3</v>
      </c>
      <c r="AL266" s="98">
        <v>4</v>
      </c>
      <c r="AM266" s="98">
        <v>2</v>
      </c>
      <c r="AN266" s="98">
        <v>2</v>
      </c>
      <c r="AO266" s="98">
        <v>4</v>
      </c>
      <c r="AP266" s="98">
        <v>3</v>
      </c>
      <c r="AQ266" s="98">
        <v>2</v>
      </c>
      <c r="AR266" s="98">
        <v>2</v>
      </c>
      <c r="AS266" s="98">
        <v>2</v>
      </c>
      <c r="AT266" s="98">
        <v>2</v>
      </c>
      <c r="AU266" s="98">
        <v>4</v>
      </c>
      <c r="AV266" s="98">
        <v>3</v>
      </c>
      <c r="AW266" s="98">
        <v>9</v>
      </c>
      <c r="AX266" s="98">
        <v>2</v>
      </c>
      <c r="AY266" s="98">
        <v>2</v>
      </c>
      <c r="AZ266" s="98">
        <v>3</v>
      </c>
      <c r="BA266" s="98">
        <v>2</v>
      </c>
      <c r="BB266" s="98">
        <v>3</v>
      </c>
      <c r="BC266" s="98">
        <v>4</v>
      </c>
      <c r="BD266" s="98">
        <v>3</v>
      </c>
      <c r="BE266" s="98">
        <v>3</v>
      </c>
      <c r="BF266" s="98">
        <v>2</v>
      </c>
      <c r="BG266" s="98">
        <v>4</v>
      </c>
      <c r="BH266" s="98">
        <v>3</v>
      </c>
      <c r="BI266" s="98">
        <v>7</v>
      </c>
      <c r="BJ266" s="98">
        <v>4</v>
      </c>
      <c r="BK266" s="98">
        <v>2</v>
      </c>
      <c r="BL266" s="98">
        <v>2</v>
      </c>
      <c r="BM266" s="98">
        <v>6</v>
      </c>
      <c r="BN266" s="98">
        <v>2</v>
      </c>
      <c r="BO266" s="98">
        <v>2</v>
      </c>
      <c r="BP266" s="98">
        <v>5</v>
      </c>
      <c r="BQ266" s="98">
        <v>3</v>
      </c>
      <c r="BR266" s="98">
        <v>2</v>
      </c>
      <c r="BS266" s="98">
        <v>2</v>
      </c>
      <c r="BT266" s="98">
        <v>2</v>
      </c>
      <c r="BU266" s="98">
        <v>5</v>
      </c>
      <c r="BV266" s="98">
        <v>3</v>
      </c>
      <c r="BW266" s="98">
        <v>3</v>
      </c>
      <c r="BX266" s="98">
        <v>5</v>
      </c>
      <c r="BY266" s="98">
        <v>5</v>
      </c>
      <c r="BZ266" s="98">
        <v>3</v>
      </c>
      <c r="CA266" s="98">
        <v>3</v>
      </c>
      <c r="CB266" s="98">
        <v>4</v>
      </c>
      <c r="CC266" s="98">
        <v>8</v>
      </c>
      <c r="CD266" s="98">
        <v>3</v>
      </c>
      <c r="CE266" s="98">
        <v>2</v>
      </c>
      <c r="CF266" s="98">
        <v>5</v>
      </c>
      <c r="CG266" s="98">
        <v>3</v>
      </c>
      <c r="CH266" s="98">
        <v>3</v>
      </c>
      <c r="CI266" s="98">
        <v>2</v>
      </c>
      <c r="CJ266" s="98">
        <v>3</v>
      </c>
      <c r="CK266" s="98">
        <v>2</v>
      </c>
      <c r="CL266" s="98">
        <v>2</v>
      </c>
      <c r="CM266" s="98">
        <v>3</v>
      </c>
      <c r="CN266" s="98">
        <v>3</v>
      </c>
      <c r="CO266" s="98">
        <v>2</v>
      </c>
      <c r="CP266" s="98">
        <v>3</v>
      </c>
      <c r="CQ266" s="98">
        <v>3</v>
      </c>
      <c r="CR266" s="98">
        <v>4</v>
      </c>
      <c r="CS266" s="98">
        <v>4</v>
      </c>
    </row>
    <row r="267" spans="2:97" x14ac:dyDescent="0.3">
      <c r="B267" s="83" t="s">
        <v>122</v>
      </c>
      <c r="C267" s="98">
        <v>5</v>
      </c>
      <c r="D267" s="98">
        <v>7</v>
      </c>
      <c r="E267" s="98">
        <v>6</v>
      </c>
      <c r="F267" s="98">
        <v>5</v>
      </c>
      <c r="G267" s="98">
        <v>5</v>
      </c>
      <c r="H267" s="98">
        <v>7</v>
      </c>
      <c r="I267" s="98">
        <v>6</v>
      </c>
      <c r="J267" s="98">
        <v>4</v>
      </c>
      <c r="K267" s="98">
        <v>4</v>
      </c>
      <c r="L267" s="98">
        <v>5</v>
      </c>
      <c r="M267" s="98">
        <v>4</v>
      </c>
      <c r="N267" s="98">
        <v>4</v>
      </c>
      <c r="O267" s="98">
        <v>7</v>
      </c>
      <c r="P267" s="98">
        <v>4</v>
      </c>
      <c r="Q267" s="98">
        <v>5</v>
      </c>
      <c r="R267" s="98">
        <v>5</v>
      </c>
      <c r="S267" s="98">
        <v>4</v>
      </c>
      <c r="T267" s="98">
        <v>5</v>
      </c>
      <c r="U267" s="98">
        <v>12</v>
      </c>
      <c r="V267" s="98">
        <v>5</v>
      </c>
      <c r="W267" s="98">
        <v>5</v>
      </c>
      <c r="X267" s="98">
        <v>8</v>
      </c>
      <c r="Y267" s="98">
        <v>5</v>
      </c>
      <c r="Z267" s="98">
        <v>4</v>
      </c>
      <c r="AA267" s="98">
        <v>5</v>
      </c>
      <c r="AB267" s="98">
        <v>7</v>
      </c>
      <c r="AC267" s="98">
        <v>5</v>
      </c>
      <c r="AD267" s="98">
        <v>5</v>
      </c>
      <c r="AE267" s="98">
        <v>5</v>
      </c>
      <c r="AF267" s="98">
        <v>6</v>
      </c>
      <c r="AG267" s="98">
        <v>4</v>
      </c>
      <c r="AH267" s="98">
        <v>5</v>
      </c>
      <c r="AI267" s="98">
        <v>7</v>
      </c>
      <c r="AJ267" s="98">
        <v>4</v>
      </c>
      <c r="AK267" s="98">
        <v>5</v>
      </c>
      <c r="AL267" s="98">
        <v>6</v>
      </c>
      <c r="AM267" s="98">
        <v>4</v>
      </c>
      <c r="AN267" s="98">
        <v>4</v>
      </c>
      <c r="AO267" s="98">
        <v>6</v>
      </c>
      <c r="AP267" s="98">
        <v>5</v>
      </c>
      <c r="AQ267" s="98">
        <v>4</v>
      </c>
      <c r="AR267" s="98">
        <v>4</v>
      </c>
      <c r="AS267" s="98">
        <v>4</v>
      </c>
      <c r="AT267" s="98">
        <v>4</v>
      </c>
      <c r="AU267" s="98">
        <v>6</v>
      </c>
      <c r="AV267" s="98">
        <v>5</v>
      </c>
      <c r="AW267" s="98">
        <v>11</v>
      </c>
      <c r="AX267" s="98">
        <v>4</v>
      </c>
      <c r="AY267" s="98">
        <v>4</v>
      </c>
      <c r="AZ267" s="98">
        <v>5</v>
      </c>
      <c r="BA267" s="98">
        <v>4</v>
      </c>
      <c r="BB267" s="98">
        <v>5</v>
      </c>
      <c r="BC267" s="98">
        <v>6</v>
      </c>
      <c r="BD267" s="98">
        <v>5</v>
      </c>
      <c r="BE267" s="98">
        <v>5</v>
      </c>
      <c r="BF267" s="98">
        <v>4</v>
      </c>
      <c r="BG267" s="98">
        <v>6</v>
      </c>
      <c r="BH267" s="98">
        <v>5</v>
      </c>
      <c r="BI267" s="98">
        <v>9</v>
      </c>
      <c r="BJ267" s="98">
        <v>6</v>
      </c>
      <c r="BK267" s="98">
        <v>4</v>
      </c>
      <c r="BL267" s="98">
        <v>6</v>
      </c>
      <c r="BM267" s="98">
        <v>4</v>
      </c>
      <c r="BN267" s="98">
        <v>4</v>
      </c>
      <c r="BO267" s="98">
        <v>4</v>
      </c>
      <c r="BP267" s="98">
        <v>7</v>
      </c>
      <c r="BQ267" s="98">
        <v>5</v>
      </c>
      <c r="BR267" s="98">
        <v>4</v>
      </c>
      <c r="BS267" s="98">
        <v>4</v>
      </c>
      <c r="BT267" s="98">
        <v>4</v>
      </c>
      <c r="BU267" s="98">
        <v>7</v>
      </c>
      <c r="BV267" s="98">
        <v>5</v>
      </c>
      <c r="BW267" s="98">
        <v>5</v>
      </c>
      <c r="BX267" s="98">
        <v>7</v>
      </c>
      <c r="BY267" s="98">
        <v>7</v>
      </c>
      <c r="BZ267" s="98">
        <v>5</v>
      </c>
      <c r="CA267" s="98">
        <v>5</v>
      </c>
      <c r="CB267" s="98">
        <v>6</v>
      </c>
      <c r="CC267" s="98">
        <v>10</v>
      </c>
      <c r="CD267" s="98">
        <v>5</v>
      </c>
      <c r="CE267" s="98">
        <v>4</v>
      </c>
      <c r="CF267" s="98">
        <v>7</v>
      </c>
      <c r="CG267" s="98">
        <v>5</v>
      </c>
      <c r="CH267" s="98">
        <v>5</v>
      </c>
      <c r="CI267" s="98">
        <v>4</v>
      </c>
      <c r="CJ267" s="98">
        <v>5</v>
      </c>
      <c r="CK267" s="98">
        <v>4</v>
      </c>
      <c r="CL267" s="98">
        <v>4</v>
      </c>
      <c r="CM267" s="98">
        <v>5</v>
      </c>
      <c r="CN267" s="98">
        <v>5</v>
      </c>
      <c r="CO267" s="98">
        <v>4</v>
      </c>
      <c r="CP267" s="98">
        <v>5</v>
      </c>
      <c r="CQ267" s="98">
        <v>5</v>
      </c>
      <c r="CR267" s="98">
        <v>6</v>
      </c>
      <c r="CS267" s="98">
        <v>6</v>
      </c>
    </row>
    <row r="268" spans="2:97" x14ac:dyDescent="0.3">
      <c r="B268" s="83" t="s">
        <v>123</v>
      </c>
      <c r="C268" s="98">
        <v>1</v>
      </c>
      <c r="D268" s="98">
        <v>3</v>
      </c>
      <c r="E268" s="98">
        <v>2</v>
      </c>
      <c r="F268" s="98">
        <v>1</v>
      </c>
      <c r="G268" s="98">
        <v>1</v>
      </c>
      <c r="H268" s="98">
        <v>3</v>
      </c>
      <c r="I268" s="98">
        <v>2</v>
      </c>
      <c r="J268" s="98">
        <v>0</v>
      </c>
      <c r="K268" s="98">
        <v>0</v>
      </c>
      <c r="L268" s="98">
        <v>1</v>
      </c>
      <c r="M268" s="98">
        <v>0</v>
      </c>
      <c r="N268" s="98">
        <v>0</v>
      </c>
      <c r="O268" s="98">
        <v>3</v>
      </c>
      <c r="P268" s="98">
        <v>0</v>
      </c>
      <c r="Q268" s="98">
        <v>1</v>
      </c>
      <c r="R268" s="98">
        <v>1</v>
      </c>
      <c r="S268" s="98">
        <v>0</v>
      </c>
      <c r="T268" s="98">
        <v>1</v>
      </c>
      <c r="U268" s="98">
        <v>8</v>
      </c>
      <c r="V268" s="98">
        <v>1</v>
      </c>
      <c r="W268" s="98">
        <v>1</v>
      </c>
      <c r="X268" s="98">
        <v>4</v>
      </c>
      <c r="Y268" s="98">
        <v>1</v>
      </c>
      <c r="Z268" s="98">
        <v>0</v>
      </c>
      <c r="AA268" s="98">
        <v>1</v>
      </c>
      <c r="AB268" s="98">
        <v>3</v>
      </c>
      <c r="AC268" s="98">
        <v>1</v>
      </c>
      <c r="AD268" s="98">
        <v>1</v>
      </c>
      <c r="AE268" s="98">
        <v>1</v>
      </c>
      <c r="AF268" s="98">
        <v>2</v>
      </c>
      <c r="AG268" s="98">
        <v>0</v>
      </c>
      <c r="AH268" s="98">
        <v>1</v>
      </c>
      <c r="AI268" s="98">
        <v>3</v>
      </c>
      <c r="AJ268" s="98">
        <v>0</v>
      </c>
      <c r="AK268" s="98">
        <v>1</v>
      </c>
      <c r="AL268" s="98">
        <v>2</v>
      </c>
      <c r="AM268" s="98">
        <v>0</v>
      </c>
      <c r="AN268" s="98">
        <v>0</v>
      </c>
      <c r="AO268" s="98">
        <v>2</v>
      </c>
      <c r="AP268" s="98">
        <v>1</v>
      </c>
      <c r="AQ268" s="98">
        <v>0</v>
      </c>
      <c r="AR268" s="98">
        <v>0</v>
      </c>
      <c r="AS268" s="98">
        <v>0</v>
      </c>
      <c r="AT268" s="98">
        <v>0</v>
      </c>
      <c r="AU268" s="98">
        <v>2</v>
      </c>
      <c r="AV268" s="98">
        <v>1</v>
      </c>
      <c r="AW268" s="98">
        <v>7</v>
      </c>
      <c r="AX268" s="98">
        <v>0</v>
      </c>
      <c r="AY268" s="98">
        <v>0</v>
      </c>
      <c r="AZ268" s="98">
        <v>1</v>
      </c>
      <c r="BA268" s="98">
        <v>0</v>
      </c>
      <c r="BB268" s="98">
        <v>1</v>
      </c>
      <c r="BC268" s="98">
        <v>2</v>
      </c>
      <c r="BD268" s="98">
        <v>1</v>
      </c>
      <c r="BE268" s="98">
        <v>1</v>
      </c>
      <c r="BF268" s="98">
        <v>0</v>
      </c>
      <c r="BG268" s="98">
        <v>2</v>
      </c>
      <c r="BH268" s="98">
        <v>1</v>
      </c>
      <c r="BI268" s="98">
        <v>5</v>
      </c>
      <c r="BJ268" s="98">
        <v>2</v>
      </c>
      <c r="BK268" s="98">
        <v>0</v>
      </c>
      <c r="BL268" s="98">
        <v>2</v>
      </c>
      <c r="BM268" s="98">
        <v>4</v>
      </c>
      <c r="BN268" s="98">
        <v>0</v>
      </c>
      <c r="BO268" s="98">
        <v>0</v>
      </c>
      <c r="BP268" s="98">
        <v>3</v>
      </c>
      <c r="BQ268" s="98">
        <v>1</v>
      </c>
      <c r="BR268" s="98">
        <v>0</v>
      </c>
      <c r="BS268" s="98">
        <v>0</v>
      </c>
      <c r="BT268" s="98">
        <v>0</v>
      </c>
      <c r="BU268" s="98">
        <v>3</v>
      </c>
      <c r="BV268" s="98">
        <v>1</v>
      </c>
      <c r="BW268" s="98">
        <v>1</v>
      </c>
      <c r="BX268" s="98">
        <v>3</v>
      </c>
      <c r="BY268" s="98">
        <v>3</v>
      </c>
      <c r="BZ268" s="98">
        <v>1</v>
      </c>
      <c r="CA268" s="98">
        <v>1</v>
      </c>
      <c r="CB268" s="98">
        <v>2</v>
      </c>
      <c r="CC268" s="98">
        <v>6</v>
      </c>
      <c r="CD268" s="98">
        <v>1</v>
      </c>
      <c r="CE268" s="98">
        <v>0</v>
      </c>
      <c r="CF268" s="98">
        <v>3</v>
      </c>
      <c r="CG268" s="98">
        <v>1</v>
      </c>
      <c r="CH268" s="98">
        <v>1</v>
      </c>
      <c r="CI268" s="98">
        <v>0</v>
      </c>
      <c r="CJ268" s="98">
        <v>1</v>
      </c>
      <c r="CK268" s="98">
        <v>0</v>
      </c>
      <c r="CL268" s="98">
        <v>0</v>
      </c>
      <c r="CM268" s="98">
        <v>1</v>
      </c>
      <c r="CN268" s="98">
        <v>1</v>
      </c>
      <c r="CO268" s="98">
        <v>0</v>
      </c>
      <c r="CP268" s="98">
        <v>1</v>
      </c>
      <c r="CQ268" s="98">
        <v>1</v>
      </c>
      <c r="CR268" s="98">
        <v>2</v>
      </c>
      <c r="CS268" s="98">
        <v>2</v>
      </c>
    </row>
    <row r="269" spans="2:97" x14ac:dyDescent="0.3">
      <c r="B269" s="83" t="s">
        <v>124</v>
      </c>
      <c r="C269" s="98">
        <v>1</v>
      </c>
      <c r="D269" s="98">
        <v>3</v>
      </c>
      <c r="E269" s="98">
        <v>2</v>
      </c>
      <c r="F269" s="98">
        <v>1</v>
      </c>
      <c r="G269" s="98">
        <v>1</v>
      </c>
      <c r="H269" s="98">
        <v>3</v>
      </c>
      <c r="I269" s="98">
        <v>2</v>
      </c>
      <c r="J269" s="98">
        <v>0</v>
      </c>
      <c r="K269" s="98">
        <v>0</v>
      </c>
      <c r="L269" s="98">
        <v>1</v>
      </c>
      <c r="M269" s="98">
        <v>0</v>
      </c>
      <c r="N269" s="98">
        <v>0</v>
      </c>
      <c r="O269" s="98">
        <v>3</v>
      </c>
      <c r="P269" s="98">
        <v>0</v>
      </c>
      <c r="Q269" s="98">
        <v>1</v>
      </c>
      <c r="R269" s="98">
        <v>1</v>
      </c>
      <c r="S269" s="98">
        <v>0</v>
      </c>
      <c r="T269" s="98">
        <v>1</v>
      </c>
      <c r="U269" s="98">
        <v>8</v>
      </c>
      <c r="V269" s="98">
        <v>1</v>
      </c>
      <c r="W269" s="98">
        <v>1</v>
      </c>
      <c r="X269" s="98">
        <v>4</v>
      </c>
      <c r="Y269" s="98">
        <v>1</v>
      </c>
      <c r="Z269" s="98">
        <v>0</v>
      </c>
      <c r="AA269" s="98">
        <v>1</v>
      </c>
      <c r="AB269" s="98">
        <v>3</v>
      </c>
      <c r="AC269" s="98">
        <v>1</v>
      </c>
      <c r="AD269" s="98">
        <v>1</v>
      </c>
      <c r="AE269" s="98">
        <v>1</v>
      </c>
      <c r="AF269" s="98">
        <v>2</v>
      </c>
      <c r="AG269" s="98">
        <v>0</v>
      </c>
      <c r="AH269" s="98">
        <v>1</v>
      </c>
      <c r="AI269" s="98">
        <v>3</v>
      </c>
      <c r="AJ269" s="98">
        <v>0</v>
      </c>
      <c r="AK269" s="98">
        <v>1</v>
      </c>
      <c r="AL269" s="98">
        <v>2</v>
      </c>
      <c r="AM269" s="98">
        <v>0</v>
      </c>
      <c r="AN269" s="98">
        <v>0</v>
      </c>
      <c r="AO269" s="98">
        <v>2</v>
      </c>
      <c r="AP269" s="98">
        <v>1</v>
      </c>
      <c r="AQ269" s="98">
        <v>0</v>
      </c>
      <c r="AR269" s="98">
        <v>0</v>
      </c>
      <c r="AS269" s="98">
        <v>0</v>
      </c>
      <c r="AT269" s="98">
        <v>0</v>
      </c>
      <c r="AU269" s="98">
        <v>2</v>
      </c>
      <c r="AV269" s="98">
        <v>1</v>
      </c>
      <c r="AW269" s="98">
        <v>7</v>
      </c>
      <c r="AX269" s="98">
        <v>0</v>
      </c>
      <c r="AY269" s="98">
        <v>0</v>
      </c>
      <c r="AZ269" s="98">
        <v>1</v>
      </c>
      <c r="BA269" s="98">
        <v>0</v>
      </c>
      <c r="BB269" s="98">
        <v>1</v>
      </c>
      <c r="BC269" s="98">
        <v>2</v>
      </c>
      <c r="BD269" s="98">
        <v>1</v>
      </c>
      <c r="BE269" s="98">
        <v>1</v>
      </c>
      <c r="BF269" s="98">
        <v>0</v>
      </c>
      <c r="BG269" s="98">
        <v>2</v>
      </c>
      <c r="BH269" s="98">
        <v>1</v>
      </c>
      <c r="BI269" s="98">
        <v>5</v>
      </c>
      <c r="BJ269" s="98">
        <v>2</v>
      </c>
      <c r="BK269" s="98">
        <v>0</v>
      </c>
      <c r="BL269" s="98">
        <v>2</v>
      </c>
      <c r="BM269" s="98">
        <v>4</v>
      </c>
      <c r="BN269" s="98">
        <v>0</v>
      </c>
      <c r="BO269" s="98">
        <v>0</v>
      </c>
      <c r="BP269" s="98">
        <v>3</v>
      </c>
      <c r="BQ269" s="98">
        <v>1</v>
      </c>
      <c r="BR269" s="98">
        <v>0</v>
      </c>
      <c r="BS269" s="98">
        <v>0</v>
      </c>
      <c r="BT269" s="98">
        <v>0</v>
      </c>
      <c r="BU269" s="98">
        <v>3</v>
      </c>
      <c r="BV269" s="98">
        <v>1</v>
      </c>
      <c r="BW269" s="98">
        <v>1</v>
      </c>
      <c r="BX269" s="98">
        <v>3</v>
      </c>
      <c r="BY269" s="98">
        <v>3</v>
      </c>
      <c r="BZ269" s="98">
        <v>1</v>
      </c>
      <c r="CA269" s="98">
        <v>1</v>
      </c>
      <c r="CB269" s="98">
        <v>2</v>
      </c>
      <c r="CC269" s="98">
        <v>6</v>
      </c>
      <c r="CD269" s="98">
        <v>1</v>
      </c>
      <c r="CE269" s="98">
        <v>0</v>
      </c>
      <c r="CF269" s="98">
        <v>3</v>
      </c>
      <c r="CG269" s="98">
        <v>1</v>
      </c>
      <c r="CH269" s="98">
        <v>1</v>
      </c>
      <c r="CI269" s="98">
        <v>0</v>
      </c>
      <c r="CJ269" s="98">
        <v>1</v>
      </c>
      <c r="CK269" s="98">
        <v>0</v>
      </c>
      <c r="CL269" s="98">
        <v>0</v>
      </c>
      <c r="CM269" s="98">
        <v>1</v>
      </c>
      <c r="CN269" s="98">
        <v>1</v>
      </c>
      <c r="CO269" s="98">
        <v>0</v>
      </c>
      <c r="CP269" s="98">
        <v>1</v>
      </c>
      <c r="CQ269" s="98">
        <v>1</v>
      </c>
      <c r="CR269" s="98">
        <v>2</v>
      </c>
      <c r="CS269" s="98">
        <v>2</v>
      </c>
    </row>
    <row r="270" spans="2:97" x14ac:dyDescent="0.3">
      <c r="B270" s="83" t="s">
        <v>125</v>
      </c>
      <c r="C270" s="98">
        <v>4</v>
      </c>
      <c r="D270" s="98">
        <v>6</v>
      </c>
      <c r="E270" s="98">
        <v>5</v>
      </c>
      <c r="F270" s="98">
        <v>4</v>
      </c>
      <c r="G270" s="98">
        <v>4</v>
      </c>
      <c r="H270" s="98">
        <v>6</v>
      </c>
      <c r="I270" s="98">
        <v>5</v>
      </c>
      <c r="J270" s="98">
        <v>3</v>
      </c>
      <c r="K270" s="98">
        <v>3</v>
      </c>
      <c r="L270" s="98">
        <v>4</v>
      </c>
      <c r="M270" s="98">
        <v>3</v>
      </c>
      <c r="N270" s="98">
        <v>3</v>
      </c>
      <c r="O270" s="98">
        <v>6</v>
      </c>
      <c r="P270" s="98">
        <v>3</v>
      </c>
      <c r="Q270" s="98">
        <v>4</v>
      </c>
      <c r="R270" s="98">
        <v>4</v>
      </c>
      <c r="S270" s="98">
        <v>3</v>
      </c>
      <c r="T270" s="98">
        <v>4</v>
      </c>
      <c r="U270" s="98">
        <v>11</v>
      </c>
      <c r="V270" s="98">
        <v>4</v>
      </c>
      <c r="W270" s="98">
        <v>4</v>
      </c>
      <c r="X270" s="98">
        <v>7</v>
      </c>
      <c r="Y270" s="98">
        <v>4</v>
      </c>
      <c r="Z270" s="98">
        <v>3</v>
      </c>
      <c r="AA270" s="98">
        <v>4</v>
      </c>
      <c r="AB270" s="98">
        <v>6</v>
      </c>
      <c r="AC270" s="98">
        <v>4</v>
      </c>
      <c r="AD270" s="98">
        <v>4</v>
      </c>
      <c r="AE270" s="98">
        <v>4</v>
      </c>
      <c r="AF270" s="98">
        <v>5</v>
      </c>
      <c r="AG270" s="98">
        <v>3</v>
      </c>
      <c r="AH270" s="98">
        <v>4</v>
      </c>
      <c r="AI270" s="98">
        <v>6</v>
      </c>
      <c r="AJ270" s="98">
        <v>3</v>
      </c>
      <c r="AK270" s="98">
        <v>4</v>
      </c>
      <c r="AL270" s="98">
        <v>5</v>
      </c>
      <c r="AM270" s="98">
        <v>3</v>
      </c>
      <c r="AN270" s="98">
        <v>3</v>
      </c>
      <c r="AO270" s="98">
        <v>5</v>
      </c>
      <c r="AP270" s="98">
        <v>4</v>
      </c>
      <c r="AQ270" s="98">
        <v>3</v>
      </c>
      <c r="AR270" s="98">
        <v>3</v>
      </c>
      <c r="AS270" s="98">
        <v>3</v>
      </c>
      <c r="AT270" s="98">
        <v>3</v>
      </c>
      <c r="AU270" s="98">
        <v>5</v>
      </c>
      <c r="AV270" s="98">
        <v>4</v>
      </c>
      <c r="AW270" s="98">
        <v>10</v>
      </c>
      <c r="AX270" s="98">
        <v>3</v>
      </c>
      <c r="AY270" s="98">
        <v>3</v>
      </c>
      <c r="AZ270" s="98">
        <v>4</v>
      </c>
      <c r="BA270" s="98">
        <v>3</v>
      </c>
      <c r="BB270" s="98">
        <v>4</v>
      </c>
      <c r="BC270" s="98">
        <v>5</v>
      </c>
      <c r="BD270" s="98">
        <v>4</v>
      </c>
      <c r="BE270" s="98">
        <v>4</v>
      </c>
      <c r="BF270" s="98">
        <v>3</v>
      </c>
      <c r="BG270" s="98">
        <v>5</v>
      </c>
      <c r="BH270" s="98">
        <v>4</v>
      </c>
      <c r="BI270" s="98">
        <v>8</v>
      </c>
      <c r="BJ270" s="98">
        <v>5</v>
      </c>
      <c r="BK270" s="98">
        <v>3</v>
      </c>
      <c r="BL270" s="98">
        <v>5</v>
      </c>
      <c r="BM270" s="98">
        <v>7</v>
      </c>
      <c r="BN270" s="98">
        <v>3</v>
      </c>
      <c r="BO270" s="98">
        <v>3</v>
      </c>
      <c r="BP270" s="98">
        <v>3</v>
      </c>
      <c r="BQ270" s="98">
        <v>4</v>
      </c>
      <c r="BR270" s="98">
        <v>3</v>
      </c>
      <c r="BS270" s="98">
        <v>3</v>
      </c>
      <c r="BT270" s="98">
        <v>3</v>
      </c>
      <c r="BU270" s="98">
        <v>6</v>
      </c>
      <c r="BV270" s="98">
        <v>4</v>
      </c>
      <c r="BW270" s="98">
        <v>4</v>
      </c>
      <c r="BX270" s="98">
        <v>6</v>
      </c>
      <c r="BY270" s="98">
        <v>6</v>
      </c>
      <c r="BZ270" s="98">
        <v>4</v>
      </c>
      <c r="CA270" s="98">
        <v>4</v>
      </c>
      <c r="CB270" s="98">
        <v>5</v>
      </c>
      <c r="CC270" s="98">
        <v>9</v>
      </c>
      <c r="CD270" s="98">
        <v>4</v>
      </c>
      <c r="CE270" s="98">
        <v>3</v>
      </c>
      <c r="CF270" s="98">
        <v>6</v>
      </c>
      <c r="CG270" s="98">
        <v>4</v>
      </c>
      <c r="CH270" s="98">
        <v>4</v>
      </c>
      <c r="CI270" s="98">
        <v>3</v>
      </c>
      <c r="CJ270" s="98">
        <v>4</v>
      </c>
      <c r="CK270" s="98">
        <v>3</v>
      </c>
      <c r="CL270" s="98">
        <v>3</v>
      </c>
      <c r="CM270" s="98">
        <v>4</v>
      </c>
      <c r="CN270" s="98">
        <v>4</v>
      </c>
      <c r="CO270" s="98">
        <v>3</v>
      </c>
      <c r="CP270" s="98">
        <v>4</v>
      </c>
      <c r="CQ270" s="98">
        <v>4</v>
      </c>
      <c r="CR270" s="98">
        <v>5</v>
      </c>
      <c r="CS270" s="98">
        <v>5</v>
      </c>
    </row>
    <row r="271" spans="2:97" x14ac:dyDescent="0.3">
      <c r="B271" s="83" t="s">
        <v>126</v>
      </c>
      <c r="C271" s="98">
        <v>2</v>
      </c>
      <c r="D271" s="98">
        <v>4</v>
      </c>
      <c r="E271" s="98">
        <v>3</v>
      </c>
      <c r="F271" s="98">
        <v>2</v>
      </c>
      <c r="G271" s="98">
        <v>2</v>
      </c>
      <c r="H271" s="98">
        <v>4</v>
      </c>
      <c r="I271" s="98">
        <v>3</v>
      </c>
      <c r="J271" s="98">
        <v>1</v>
      </c>
      <c r="K271" s="98">
        <v>1</v>
      </c>
      <c r="L271" s="98">
        <v>2</v>
      </c>
      <c r="M271" s="98">
        <v>1</v>
      </c>
      <c r="N271" s="98">
        <v>1</v>
      </c>
      <c r="O271" s="98">
        <v>4</v>
      </c>
      <c r="P271" s="98">
        <v>1</v>
      </c>
      <c r="Q271" s="98">
        <v>2</v>
      </c>
      <c r="R271" s="98">
        <v>2</v>
      </c>
      <c r="S271" s="98">
        <v>1</v>
      </c>
      <c r="T271" s="98">
        <v>2</v>
      </c>
      <c r="U271" s="98">
        <v>9</v>
      </c>
      <c r="V271" s="98">
        <v>2</v>
      </c>
      <c r="W271" s="98">
        <v>2</v>
      </c>
      <c r="X271" s="98">
        <v>5</v>
      </c>
      <c r="Y271" s="98">
        <v>2</v>
      </c>
      <c r="Z271" s="98">
        <v>1</v>
      </c>
      <c r="AA271" s="98">
        <v>2</v>
      </c>
      <c r="AB271" s="98">
        <v>4</v>
      </c>
      <c r="AC271" s="98">
        <v>2</v>
      </c>
      <c r="AD271" s="98">
        <v>2</v>
      </c>
      <c r="AE271" s="98">
        <v>2</v>
      </c>
      <c r="AF271" s="98">
        <v>3</v>
      </c>
      <c r="AG271" s="98">
        <v>1</v>
      </c>
      <c r="AH271" s="98">
        <v>2</v>
      </c>
      <c r="AI271" s="98">
        <v>4</v>
      </c>
      <c r="AJ271" s="98">
        <v>1</v>
      </c>
      <c r="AK271" s="98">
        <v>2</v>
      </c>
      <c r="AL271" s="98">
        <v>3</v>
      </c>
      <c r="AM271" s="98">
        <v>1</v>
      </c>
      <c r="AN271" s="98">
        <v>1</v>
      </c>
      <c r="AO271" s="98">
        <v>3</v>
      </c>
      <c r="AP271" s="98">
        <v>2</v>
      </c>
      <c r="AQ271" s="98">
        <v>1</v>
      </c>
      <c r="AR271" s="98">
        <v>1</v>
      </c>
      <c r="AS271" s="98">
        <v>1</v>
      </c>
      <c r="AT271" s="98">
        <v>1</v>
      </c>
      <c r="AU271" s="98">
        <v>3</v>
      </c>
      <c r="AV271" s="98">
        <v>2</v>
      </c>
      <c r="AW271" s="98">
        <v>8</v>
      </c>
      <c r="AX271" s="98">
        <v>1</v>
      </c>
      <c r="AY271" s="98">
        <v>1</v>
      </c>
      <c r="AZ271" s="98">
        <v>2</v>
      </c>
      <c r="BA271" s="98">
        <v>1</v>
      </c>
      <c r="BB271" s="98">
        <v>2</v>
      </c>
      <c r="BC271" s="98">
        <v>3</v>
      </c>
      <c r="BD271" s="98">
        <v>2</v>
      </c>
      <c r="BE271" s="98">
        <v>2</v>
      </c>
      <c r="BF271" s="98">
        <v>1</v>
      </c>
      <c r="BG271" s="98">
        <v>3</v>
      </c>
      <c r="BH271" s="98">
        <v>2</v>
      </c>
      <c r="BI271" s="98">
        <v>6</v>
      </c>
      <c r="BJ271" s="98">
        <v>3</v>
      </c>
      <c r="BK271" s="98">
        <v>1</v>
      </c>
      <c r="BL271" s="98">
        <v>3</v>
      </c>
      <c r="BM271" s="98">
        <v>5</v>
      </c>
      <c r="BN271" s="98">
        <v>1</v>
      </c>
      <c r="BO271" s="98">
        <v>1</v>
      </c>
      <c r="BP271" s="98">
        <v>4</v>
      </c>
      <c r="BQ271" s="98">
        <v>1</v>
      </c>
      <c r="BR271" s="98">
        <v>1</v>
      </c>
      <c r="BS271" s="98">
        <v>1</v>
      </c>
      <c r="BT271" s="98">
        <v>1</v>
      </c>
      <c r="BU271" s="98">
        <v>4</v>
      </c>
      <c r="BV271" s="98">
        <v>2</v>
      </c>
      <c r="BW271" s="98">
        <v>2</v>
      </c>
      <c r="BX271" s="98">
        <v>4</v>
      </c>
      <c r="BY271" s="98">
        <v>4</v>
      </c>
      <c r="BZ271" s="98">
        <v>2</v>
      </c>
      <c r="CA271" s="98">
        <v>2</v>
      </c>
      <c r="CB271" s="98">
        <v>3</v>
      </c>
      <c r="CC271" s="98">
        <v>7</v>
      </c>
      <c r="CD271" s="98">
        <v>2</v>
      </c>
      <c r="CE271" s="98">
        <v>1</v>
      </c>
      <c r="CF271" s="98">
        <v>4</v>
      </c>
      <c r="CG271" s="98">
        <v>2</v>
      </c>
      <c r="CH271" s="98">
        <v>2</v>
      </c>
      <c r="CI271" s="98">
        <v>1</v>
      </c>
      <c r="CJ271" s="98">
        <v>2</v>
      </c>
      <c r="CK271" s="98">
        <v>1</v>
      </c>
      <c r="CL271" s="98">
        <v>1</v>
      </c>
      <c r="CM271" s="98">
        <v>2</v>
      </c>
      <c r="CN271" s="98">
        <v>2</v>
      </c>
      <c r="CO271" s="98">
        <v>1</v>
      </c>
      <c r="CP271" s="98">
        <v>2</v>
      </c>
      <c r="CQ271" s="98">
        <v>2</v>
      </c>
      <c r="CR271" s="98">
        <v>3</v>
      </c>
      <c r="CS271" s="98">
        <v>3</v>
      </c>
    </row>
    <row r="272" spans="2:97" x14ac:dyDescent="0.3">
      <c r="B272" s="83" t="s">
        <v>127</v>
      </c>
      <c r="C272" s="98">
        <v>1</v>
      </c>
      <c r="D272" s="98">
        <v>3</v>
      </c>
      <c r="E272" s="98">
        <v>2</v>
      </c>
      <c r="F272" s="98">
        <v>1</v>
      </c>
      <c r="G272" s="98">
        <v>1</v>
      </c>
      <c r="H272" s="98">
        <v>3</v>
      </c>
      <c r="I272" s="98">
        <v>2</v>
      </c>
      <c r="J272" s="98">
        <v>0</v>
      </c>
      <c r="K272" s="98">
        <v>0</v>
      </c>
      <c r="L272" s="98">
        <v>1</v>
      </c>
      <c r="M272" s="98">
        <v>0</v>
      </c>
      <c r="N272" s="98">
        <v>0</v>
      </c>
      <c r="O272" s="98">
        <v>3</v>
      </c>
      <c r="P272" s="98">
        <v>0</v>
      </c>
      <c r="Q272" s="98">
        <v>1</v>
      </c>
      <c r="R272" s="98">
        <v>1</v>
      </c>
      <c r="S272" s="98">
        <v>0</v>
      </c>
      <c r="T272" s="98">
        <v>1</v>
      </c>
      <c r="U272" s="98">
        <v>8</v>
      </c>
      <c r="V272" s="98">
        <v>1</v>
      </c>
      <c r="W272" s="98">
        <v>1</v>
      </c>
      <c r="X272" s="98">
        <v>4</v>
      </c>
      <c r="Y272" s="98">
        <v>1</v>
      </c>
      <c r="Z272" s="98">
        <v>0</v>
      </c>
      <c r="AA272" s="98">
        <v>1</v>
      </c>
      <c r="AB272" s="98">
        <v>3</v>
      </c>
      <c r="AC272" s="98">
        <v>1</v>
      </c>
      <c r="AD272" s="98">
        <v>1</v>
      </c>
      <c r="AE272" s="98">
        <v>1</v>
      </c>
      <c r="AF272" s="98">
        <v>2</v>
      </c>
      <c r="AG272" s="98">
        <v>0</v>
      </c>
      <c r="AH272" s="98">
        <v>1</v>
      </c>
      <c r="AI272" s="98">
        <v>3</v>
      </c>
      <c r="AJ272" s="98">
        <v>0</v>
      </c>
      <c r="AK272" s="98">
        <v>1</v>
      </c>
      <c r="AL272" s="98">
        <v>2</v>
      </c>
      <c r="AM272" s="98">
        <v>0</v>
      </c>
      <c r="AN272" s="98">
        <v>0</v>
      </c>
      <c r="AO272" s="98">
        <v>2</v>
      </c>
      <c r="AP272" s="98">
        <v>1</v>
      </c>
      <c r="AQ272" s="98">
        <v>0</v>
      </c>
      <c r="AR272" s="98">
        <v>0</v>
      </c>
      <c r="AS272" s="98">
        <v>0</v>
      </c>
      <c r="AT272" s="98">
        <v>0</v>
      </c>
      <c r="AU272" s="98">
        <v>2</v>
      </c>
      <c r="AV272" s="98">
        <v>1</v>
      </c>
      <c r="AW272" s="98">
        <v>7</v>
      </c>
      <c r="AX272" s="98">
        <v>0</v>
      </c>
      <c r="AY272" s="98">
        <v>0</v>
      </c>
      <c r="AZ272" s="98">
        <v>1</v>
      </c>
      <c r="BA272" s="98">
        <v>0</v>
      </c>
      <c r="BB272" s="98">
        <v>1</v>
      </c>
      <c r="BC272" s="98">
        <v>2</v>
      </c>
      <c r="BD272" s="98">
        <v>1</v>
      </c>
      <c r="BE272" s="98">
        <v>1</v>
      </c>
      <c r="BF272" s="98">
        <v>0</v>
      </c>
      <c r="BG272" s="98">
        <v>2</v>
      </c>
      <c r="BH272" s="98">
        <v>1</v>
      </c>
      <c r="BI272" s="98">
        <v>5</v>
      </c>
      <c r="BJ272" s="98">
        <v>2</v>
      </c>
      <c r="BK272" s="98">
        <v>0</v>
      </c>
      <c r="BL272" s="98">
        <v>2</v>
      </c>
      <c r="BM272" s="98">
        <v>4</v>
      </c>
      <c r="BN272" s="98">
        <v>0</v>
      </c>
      <c r="BO272" s="98">
        <v>0</v>
      </c>
      <c r="BP272" s="98">
        <v>3</v>
      </c>
      <c r="BQ272" s="98">
        <v>1</v>
      </c>
      <c r="BR272" s="98">
        <v>0</v>
      </c>
      <c r="BS272" s="98">
        <v>0</v>
      </c>
      <c r="BT272" s="98">
        <v>0</v>
      </c>
      <c r="BU272" s="98">
        <v>3</v>
      </c>
      <c r="BV272" s="98">
        <v>1</v>
      </c>
      <c r="BW272" s="98">
        <v>1</v>
      </c>
      <c r="BX272" s="98">
        <v>3</v>
      </c>
      <c r="BY272" s="98">
        <v>3</v>
      </c>
      <c r="BZ272" s="98">
        <v>1</v>
      </c>
      <c r="CA272" s="98">
        <v>1</v>
      </c>
      <c r="CB272" s="98">
        <v>2</v>
      </c>
      <c r="CC272" s="98">
        <v>6</v>
      </c>
      <c r="CD272" s="98">
        <v>1</v>
      </c>
      <c r="CE272" s="98">
        <v>0</v>
      </c>
      <c r="CF272" s="98">
        <v>3</v>
      </c>
      <c r="CG272" s="98">
        <v>1</v>
      </c>
      <c r="CH272" s="98">
        <v>1</v>
      </c>
      <c r="CI272" s="98">
        <v>0</v>
      </c>
      <c r="CJ272" s="98">
        <v>1</v>
      </c>
      <c r="CK272" s="98">
        <v>0</v>
      </c>
      <c r="CL272" s="98">
        <v>0</v>
      </c>
      <c r="CM272" s="98">
        <v>1</v>
      </c>
      <c r="CN272" s="98">
        <v>1</v>
      </c>
      <c r="CO272" s="98">
        <v>0</v>
      </c>
      <c r="CP272" s="98">
        <v>1</v>
      </c>
      <c r="CQ272" s="98">
        <v>1</v>
      </c>
      <c r="CR272" s="98">
        <v>2</v>
      </c>
      <c r="CS272" s="98">
        <v>2</v>
      </c>
    </row>
    <row r="273" spans="2:97" x14ac:dyDescent="0.3">
      <c r="B273" s="83" t="s">
        <v>128</v>
      </c>
      <c r="C273" s="98">
        <v>1</v>
      </c>
      <c r="D273" s="98">
        <v>3</v>
      </c>
      <c r="E273" s="98">
        <v>2</v>
      </c>
      <c r="F273" s="98">
        <v>1</v>
      </c>
      <c r="G273" s="98">
        <v>1</v>
      </c>
      <c r="H273" s="98">
        <v>3</v>
      </c>
      <c r="I273" s="98">
        <v>2</v>
      </c>
      <c r="J273" s="98">
        <v>0</v>
      </c>
      <c r="K273" s="98">
        <v>0</v>
      </c>
      <c r="L273" s="98">
        <v>1</v>
      </c>
      <c r="M273" s="98">
        <v>0</v>
      </c>
      <c r="N273" s="98">
        <v>0</v>
      </c>
      <c r="O273" s="98">
        <v>3</v>
      </c>
      <c r="P273" s="98">
        <v>0</v>
      </c>
      <c r="Q273" s="98">
        <v>1</v>
      </c>
      <c r="R273" s="98">
        <v>1</v>
      </c>
      <c r="S273" s="98">
        <v>0</v>
      </c>
      <c r="T273" s="98">
        <v>1</v>
      </c>
      <c r="U273" s="98">
        <v>8</v>
      </c>
      <c r="V273" s="98">
        <v>1</v>
      </c>
      <c r="W273" s="98">
        <v>1</v>
      </c>
      <c r="X273" s="98">
        <v>4</v>
      </c>
      <c r="Y273" s="98">
        <v>1</v>
      </c>
      <c r="Z273" s="98">
        <v>0</v>
      </c>
      <c r="AA273" s="98">
        <v>1</v>
      </c>
      <c r="AB273" s="98">
        <v>3</v>
      </c>
      <c r="AC273" s="98">
        <v>1</v>
      </c>
      <c r="AD273" s="98">
        <v>1</v>
      </c>
      <c r="AE273" s="98">
        <v>1</v>
      </c>
      <c r="AF273" s="98">
        <v>2</v>
      </c>
      <c r="AG273" s="98">
        <v>0</v>
      </c>
      <c r="AH273" s="98">
        <v>1</v>
      </c>
      <c r="AI273" s="98">
        <v>3</v>
      </c>
      <c r="AJ273" s="98">
        <v>0</v>
      </c>
      <c r="AK273" s="98">
        <v>1</v>
      </c>
      <c r="AL273" s="98">
        <v>2</v>
      </c>
      <c r="AM273" s="98">
        <v>0</v>
      </c>
      <c r="AN273" s="98">
        <v>0</v>
      </c>
      <c r="AO273" s="98">
        <v>2</v>
      </c>
      <c r="AP273" s="98">
        <v>1</v>
      </c>
      <c r="AQ273" s="98">
        <v>0</v>
      </c>
      <c r="AR273" s="98">
        <v>0</v>
      </c>
      <c r="AS273" s="98">
        <v>0</v>
      </c>
      <c r="AT273" s="98">
        <v>0</v>
      </c>
      <c r="AU273" s="98">
        <v>2</v>
      </c>
      <c r="AV273" s="98">
        <v>1</v>
      </c>
      <c r="AW273" s="98">
        <v>7</v>
      </c>
      <c r="AX273" s="98">
        <v>0</v>
      </c>
      <c r="AY273" s="98">
        <v>0</v>
      </c>
      <c r="AZ273" s="98">
        <v>1</v>
      </c>
      <c r="BA273" s="98">
        <v>0</v>
      </c>
      <c r="BB273" s="98">
        <v>1</v>
      </c>
      <c r="BC273" s="98">
        <v>2</v>
      </c>
      <c r="BD273" s="98">
        <v>1</v>
      </c>
      <c r="BE273" s="98">
        <v>1</v>
      </c>
      <c r="BF273" s="98">
        <v>0</v>
      </c>
      <c r="BG273" s="98">
        <v>2</v>
      </c>
      <c r="BH273" s="98">
        <v>1</v>
      </c>
      <c r="BI273" s="98">
        <v>5</v>
      </c>
      <c r="BJ273" s="98">
        <v>2</v>
      </c>
      <c r="BK273" s="98">
        <v>0</v>
      </c>
      <c r="BL273" s="98">
        <v>2</v>
      </c>
      <c r="BM273" s="98">
        <v>4</v>
      </c>
      <c r="BN273" s="98">
        <v>0</v>
      </c>
      <c r="BO273" s="98">
        <v>0</v>
      </c>
      <c r="BP273" s="98">
        <v>3</v>
      </c>
      <c r="BQ273" s="98">
        <v>1</v>
      </c>
      <c r="BR273" s="98">
        <v>0</v>
      </c>
      <c r="BS273" s="98">
        <v>0</v>
      </c>
      <c r="BT273" s="98">
        <v>0</v>
      </c>
      <c r="BU273" s="98">
        <v>3</v>
      </c>
      <c r="BV273" s="98">
        <v>1</v>
      </c>
      <c r="BW273" s="98">
        <v>1</v>
      </c>
      <c r="BX273" s="98">
        <v>3</v>
      </c>
      <c r="BY273" s="98">
        <v>3</v>
      </c>
      <c r="BZ273" s="98">
        <v>1</v>
      </c>
      <c r="CA273" s="98">
        <v>1</v>
      </c>
      <c r="CB273" s="98">
        <v>2</v>
      </c>
      <c r="CC273" s="98">
        <v>6</v>
      </c>
      <c r="CD273" s="98">
        <v>1</v>
      </c>
      <c r="CE273" s="98">
        <v>0</v>
      </c>
      <c r="CF273" s="98">
        <v>3</v>
      </c>
      <c r="CG273" s="98">
        <v>1</v>
      </c>
      <c r="CH273" s="98">
        <v>1</v>
      </c>
      <c r="CI273" s="98">
        <v>0</v>
      </c>
      <c r="CJ273" s="98">
        <v>1</v>
      </c>
      <c r="CK273" s="98">
        <v>0</v>
      </c>
      <c r="CL273" s="98">
        <v>0</v>
      </c>
      <c r="CM273" s="98">
        <v>1</v>
      </c>
      <c r="CN273" s="98">
        <v>1</v>
      </c>
      <c r="CO273" s="98">
        <v>0</v>
      </c>
      <c r="CP273" s="98">
        <v>1</v>
      </c>
      <c r="CQ273" s="98">
        <v>1</v>
      </c>
      <c r="CR273" s="98">
        <v>2</v>
      </c>
      <c r="CS273" s="98">
        <v>2</v>
      </c>
    </row>
    <row r="274" spans="2:97" x14ac:dyDescent="0.3">
      <c r="B274" s="83" t="s">
        <v>129</v>
      </c>
      <c r="C274" s="98">
        <v>1</v>
      </c>
      <c r="D274" s="98">
        <v>3</v>
      </c>
      <c r="E274" s="98">
        <v>2</v>
      </c>
      <c r="F274" s="98">
        <v>1</v>
      </c>
      <c r="G274" s="98">
        <v>1</v>
      </c>
      <c r="H274" s="98">
        <v>3</v>
      </c>
      <c r="I274" s="98">
        <v>2</v>
      </c>
      <c r="J274" s="98">
        <v>0</v>
      </c>
      <c r="K274" s="98">
        <v>0</v>
      </c>
      <c r="L274" s="98">
        <v>1</v>
      </c>
      <c r="M274" s="98">
        <v>0</v>
      </c>
      <c r="N274" s="98">
        <v>0</v>
      </c>
      <c r="O274" s="98">
        <v>3</v>
      </c>
      <c r="P274" s="98">
        <v>0</v>
      </c>
      <c r="Q274" s="98">
        <v>1</v>
      </c>
      <c r="R274" s="98">
        <v>1</v>
      </c>
      <c r="S274" s="98">
        <v>0</v>
      </c>
      <c r="T274" s="98">
        <v>1</v>
      </c>
      <c r="U274" s="98">
        <v>8</v>
      </c>
      <c r="V274" s="98">
        <v>1</v>
      </c>
      <c r="W274" s="98">
        <v>1</v>
      </c>
      <c r="X274" s="98">
        <v>4</v>
      </c>
      <c r="Y274" s="98">
        <v>1</v>
      </c>
      <c r="Z274" s="98">
        <v>0</v>
      </c>
      <c r="AA274" s="98">
        <v>1</v>
      </c>
      <c r="AB274" s="98">
        <v>3</v>
      </c>
      <c r="AC274" s="98">
        <v>1</v>
      </c>
      <c r="AD274" s="98">
        <v>1</v>
      </c>
      <c r="AE274" s="98">
        <v>1</v>
      </c>
      <c r="AF274" s="98">
        <v>2</v>
      </c>
      <c r="AG274" s="98">
        <v>0</v>
      </c>
      <c r="AH274" s="98">
        <v>1</v>
      </c>
      <c r="AI274" s="98">
        <v>3</v>
      </c>
      <c r="AJ274" s="98">
        <v>0</v>
      </c>
      <c r="AK274" s="98">
        <v>1</v>
      </c>
      <c r="AL274" s="98">
        <v>2</v>
      </c>
      <c r="AM274" s="98">
        <v>0</v>
      </c>
      <c r="AN274" s="98">
        <v>0</v>
      </c>
      <c r="AO274" s="98">
        <v>2</v>
      </c>
      <c r="AP274" s="98">
        <v>1</v>
      </c>
      <c r="AQ274" s="98">
        <v>0</v>
      </c>
      <c r="AR274" s="98">
        <v>0</v>
      </c>
      <c r="AS274" s="98">
        <v>0</v>
      </c>
      <c r="AT274" s="98">
        <v>0</v>
      </c>
      <c r="AU274" s="98">
        <v>2</v>
      </c>
      <c r="AV274" s="98">
        <v>1</v>
      </c>
      <c r="AW274" s="98">
        <v>7</v>
      </c>
      <c r="AX274" s="98">
        <v>0</v>
      </c>
      <c r="AY274" s="98">
        <v>0</v>
      </c>
      <c r="AZ274" s="98">
        <v>1</v>
      </c>
      <c r="BA274" s="98">
        <v>0</v>
      </c>
      <c r="BB274" s="98">
        <v>1</v>
      </c>
      <c r="BC274" s="98">
        <v>2</v>
      </c>
      <c r="BD274" s="98">
        <v>1</v>
      </c>
      <c r="BE274" s="98">
        <v>1</v>
      </c>
      <c r="BF274" s="98">
        <v>0</v>
      </c>
      <c r="BG274" s="98">
        <v>2</v>
      </c>
      <c r="BH274" s="98">
        <v>1</v>
      </c>
      <c r="BI274" s="98">
        <v>5</v>
      </c>
      <c r="BJ274" s="98">
        <v>2</v>
      </c>
      <c r="BK274" s="98">
        <v>0</v>
      </c>
      <c r="BL274" s="98">
        <v>2</v>
      </c>
      <c r="BM274" s="98">
        <v>4</v>
      </c>
      <c r="BN274" s="98">
        <v>0</v>
      </c>
      <c r="BO274" s="98">
        <v>0</v>
      </c>
      <c r="BP274" s="98">
        <v>3</v>
      </c>
      <c r="BQ274" s="98">
        <v>1</v>
      </c>
      <c r="BR274" s="98">
        <v>0</v>
      </c>
      <c r="BS274" s="98">
        <v>0</v>
      </c>
      <c r="BT274" s="98">
        <v>0</v>
      </c>
      <c r="BU274" s="98">
        <v>3</v>
      </c>
      <c r="BV274" s="98">
        <v>1</v>
      </c>
      <c r="BW274" s="98">
        <v>1</v>
      </c>
      <c r="BX274" s="98">
        <v>3</v>
      </c>
      <c r="BY274" s="98">
        <v>3</v>
      </c>
      <c r="BZ274" s="98">
        <v>1</v>
      </c>
      <c r="CA274" s="98">
        <v>1</v>
      </c>
      <c r="CB274" s="98">
        <v>2</v>
      </c>
      <c r="CC274" s="98">
        <v>6</v>
      </c>
      <c r="CD274" s="98">
        <v>1</v>
      </c>
      <c r="CE274" s="98">
        <v>0</v>
      </c>
      <c r="CF274" s="98">
        <v>3</v>
      </c>
      <c r="CG274" s="98">
        <v>1</v>
      </c>
      <c r="CH274" s="98">
        <v>1</v>
      </c>
      <c r="CI274" s="98">
        <v>0</v>
      </c>
      <c r="CJ274" s="98">
        <v>1</v>
      </c>
      <c r="CK274" s="98">
        <v>0</v>
      </c>
      <c r="CL274" s="98">
        <v>0</v>
      </c>
      <c r="CM274" s="98">
        <v>1</v>
      </c>
      <c r="CN274" s="98">
        <v>1</v>
      </c>
      <c r="CO274" s="98">
        <v>0</v>
      </c>
      <c r="CP274" s="98">
        <v>1</v>
      </c>
      <c r="CQ274" s="98">
        <v>1</v>
      </c>
      <c r="CR274" s="98">
        <v>2</v>
      </c>
      <c r="CS274" s="98">
        <v>2</v>
      </c>
    </row>
    <row r="275" spans="2:97" x14ac:dyDescent="0.3">
      <c r="B275" s="83" t="s">
        <v>130</v>
      </c>
      <c r="C275" s="98">
        <v>4</v>
      </c>
      <c r="D275" s="98">
        <v>6</v>
      </c>
      <c r="E275" s="98">
        <v>5</v>
      </c>
      <c r="F275" s="98">
        <v>4</v>
      </c>
      <c r="G275" s="98">
        <v>4</v>
      </c>
      <c r="H275" s="98">
        <v>6</v>
      </c>
      <c r="I275" s="98">
        <v>5</v>
      </c>
      <c r="J275" s="98">
        <v>3</v>
      </c>
      <c r="K275" s="98">
        <v>3</v>
      </c>
      <c r="L275" s="98">
        <v>4</v>
      </c>
      <c r="M275" s="98">
        <v>3</v>
      </c>
      <c r="N275" s="98">
        <v>3</v>
      </c>
      <c r="O275" s="98">
        <v>6</v>
      </c>
      <c r="P275" s="98">
        <v>3</v>
      </c>
      <c r="Q275" s="98">
        <v>4</v>
      </c>
      <c r="R275" s="98">
        <v>4</v>
      </c>
      <c r="S275" s="98">
        <v>3</v>
      </c>
      <c r="T275" s="98">
        <v>4</v>
      </c>
      <c r="U275" s="98">
        <v>11</v>
      </c>
      <c r="V275" s="98">
        <v>4</v>
      </c>
      <c r="W275" s="98">
        <v>4</v>
      </c>
      <c r="X275" s="98">
        <v>7</v>
      </c>
      <c r="Y275" s="98">
        <v>4</v>
      </c>
      <c r="Z275" s="98">
        <v>3</v>
      </c>
      <c r="AA275" s="98">
        <v>4</v>
      </c>
      <c r="AB275" s="98">
        <v>6</v>
      </c>
      <c r="AC275" s="98">
        <v>4</v>
      </c>
      <c r="AD275" s="98">
        <v>4</v>
      </c>
      <c r="AE275" s="98">
        <v>4</v>
      </c>
      <c r="AF275" s="98">
        <v>5</v>
      </c>
      <c r="AG275" s="98">
        <v>3</v>
      </c>
      <c r="AH275" s="98">
        <v>4</v>
      </c>
      <c r="AI275" s="98">
        <v>6</v>
      </c>
      <c r="AJ275" s="98">
        <v>3</v>
      </c>
      <c r="AK275" s="98">
        <v>4</v>
      </c>
      <c r="AL275" s="98">
        <v>5</v>
      </c>
      <c r="AM275" s="98">
        <v>3</v>
      </c>
      <c r="AN275" s="98">
        <v>3</v>
      </c>
      <c r="AO275" s="98">
        <v>5</v>
      </c>
      <c r="AP275" s="98">
        <v>4</v>
      </c>
      <c r="AQ275" s="98">
        <v>3</v>
      </c>
      <c r="AR275" s="98">
        <v>3</v>
      </c>
      <c r="AS275" s="98">
        <v>3</v>
      </c>
      <c r="AT275" s="98">
        <v>3</v>
      </c>
      <c r="AU275" s="98">
        <v>5</v>
      </c>
      <c r="AV275" s="98">
        <v>4</v>
      </c>
      <c r="AW275" s="98">
        <v>10</v>
      </c>
      <c r="AX275" s="98">
        <v>3</v>
      </c>
      <c r="AY275" s="98">
        <v>3</v>
      </c>
      <c r="AZ275" s="98">
        <v>4</v>
      </c>
      <c r="BA275" s="98">
        <v>3</v>
      </c>
      <c r="BB275" s="98">
        <v>4</v>
      </c>
      <c r="BC275" s="98">
        <v>5</v>
      </c>
      <c r="BD275" s="98">
        <v>4</v>
      </c>
      <c r="BE275" s="98">
        <v>4</v>
      </c>
      <c r="BF275" s="98">
        <v>3</v>
      </c>
      <c r="BG275" s="98">
        <v>5</v>
      </c>
      <c r="BH275" s="98">
        <v>4</v>
      </c>
      <c r="BI275" s="98">
        <v>8</v>
      </c>
      <c r="BJ275" s="98">
        <v>5</v>
      </c>
      <c r="BK275" s="98">
        <v>3</v>
      </c>
      <c r="BL275" s="98">
        <v>5</v>
      </c>
      <c r="BM275" s="98">
        <v>7</v>
      </c>
      <c r="BN275" s="98">
        <v>3</v>
      </c>
      <c r="BO275" s="98">
        <v>3</v>
      </c>
      <c r="BP275" s="98">
        <v>6</v>
      </c>
      <c r="BQ275" s="98">
        <v>4</v>
      </c>
      <c r="BR275" s="98">
        <v>3</v>
      </c>
      <c r="BS275" s="98">
        <v>3</v>
      </c>
      <c r="BT275" s="98">
        <v>3</v>
      </c>
      <c r="BU275" s="98">
        <v>3</v>
      </c>
      <c r="BV275" s="98">
        <v>4</v>
      </c>
      <c r="BW275" s="98">
        <v>4</v>
      </c>
      <c r="BX275" s="98">
        <v>6</v>
      </c>
      <c r="BY275" s="98">
        <v>6</v>
      </c>
      <c r="BZ275" s="98">
        <v>4</v>
      </c>
      <c r="CA275" s="98">
        <v>4</v>
      </c>
      <c r="CB275" s="98">
        <v>5</v>
      </c>
      <c r="CC275" s="98">
        <v>9</v>
      </c>
      <c r="CD275" s="98">
        <v>4</v>
      </c>
      <c r="CE275" s="98">
        <v>3</v>
      </c>
      <c r="CF275" s="98">
        <v>6</v>
      </c>
      <c r="CG275" s="98">
        <v>4</v>
      </c>
      <c r="CH275" s="98">
        <v>4</v>
      </c>
      <c r="CI275" s="98">
        <v>3</v>
      </c>
      <c r="CJ275" s="98">
        <v>4</v>
      </c>
      <c r="CK275" s="98">
        <v>3</v>
      </c>
      <c r="CL275" s="98">
        <v>3</v>
      </c>
      <c r="CM275" s="98">
        <v>4</v>
      </c>
      <c r="CN275" s="98">
        <v>4</v>
      </c>
      <c r="CO275" s="98">
        <v>3</v>
      </c>
      <c r="CP275" s="98">
        <v>4</v>
      </c>
      <c r="CQ275" s="98">
        <v>4</v>
      </c>
      <c r="CR275" s="98">
        <v>5</v>
      </c>
      <c r="CS275" s="98">
        <v>5</v>
      </c>
    </row>
    <row r="276" spans="2:97" x14ac:dyDescent="0.3">
      <c r="B276" s="83" t="s">
        <v>131</v>
      </c>
      <c r="C276" s="98">
        <v>2</v>
      </c>
      <c r="D276" s="98">
        <v>4</v>
      </c>
      <c r="E276" s="98">
        <v>3</v>
      </c>
      <c r="F276" s="98">
        <v>2</v>
      </c>
      <c r="G276" s="98">
        <v>2</v>
      </c>
      <c r="H276" s="98">
        <v>4</v>
      </c>
      <c r="I276" s="98">
        <v>3</v>
      </c>
      <c r="J276" s="98">
        <v>1</v>
      </c>
      <c r="K276" s="98">
        <v>1</v>
      </c>
      <c r="L276" s="98">
        <v>2</v>
      </c>
      <c r="M276" s="98">
        <v>1</v>
      </c>
      <c r="N276" s="98">
        <v>1</v>
      </c>
      <c r="O276" s="98">
        <v>4</v>
      </c>
      <c r="P276" s="98">
        <v>1</v>
      </c>
      <c r="Q276" s="98">
        <v>2</v>
      </c>
      <c r="R276" s="98">
        <v>2</v>
      </c>
      <c r="S276" s="98">
        <v>1</v>
      </c>
      <c r="T276" s="98">
        <v>2</v>
      </c>
      <c r="U276" s="98">
        <v>9</v>
      </c>
      <c r="V276" s="98">
        <v>2</v>
      </c>
      <c r="W276" s="98">
        <v>2</v>
      </c>
      <c r="X276" s="98">
        <v>5</v>
      </c>
      <c r="Y276" s="98">
        <v>2</v>
      </c>
      <c r="Z276" s="98">
        <v>1</v>
      </c>
      <c r="AA276" s="98">
        <v>2</v>
      </c>
      <c r="AB276" s="98">
        <v>4</v>
      </c>
      <c r="AC276" s="98">
        <v>2</v>
      </c>
      <c r="AD276" s="98">
        <v>2</v>
      </c>
      <c r="AE276" s="98">
        <v>2</v>
      </c>
      <c r="AF276" s="98">
        <v>3</v>
      </c>
      <c r="AG276" s="98">
        <v>1</v>
      </c>
      <c r="AH276" s="98">
        <v>2</v>
      </c>
      <c r="AI276" s="98">
        <v>4</v>
      </c>
      <c r="AJ276" s="98">
        <v>1</v>
      </c>
      <c r="AK276" s="98">
        <v>2</v>
      </c>
      <c r="AL276" s="98">
        <v>3</v>
      </c>
      <c r="AM276" s="98">
        <v>1</v>
      </c>
      <c r="AN276" s="98">
        <v>1</v>
      </c>
      <c r="AO276" s="98">
        <v>3</v>
      </c>
      <c r="AP276" s="98">
        <v>2</v>
      </c>
      <c r="AQ276" s="98">
        <v>1</v>
      </c>
      <c r="AR276" s="98">
        <v>1</v>
      </c>
      <c r="AS276" s="98">
        <v>1</v>
      </c>
      <c r="AT276" s="98">
        <v>1</v>
      </c>
      <c r="AU276" s="98">
        <v>3</v>
      </c>
      <c r="AV276" s="98">
        <v>2</v>
      </c>
      <c r="AW276" s="98">
        <v>8</v>
      </c>
      <c r="AX276" s="98">
        <v>1</v>
      </c>
      <c r="AY276" s="98">
        <v>1</v>
      </c>
      <c r="AZ276" s="98">
        <v>2</v>
      </c>
      <c r="BA276" s="98">
        <v>1</v>
      </c>
      <c r="BB276" s="98">
        <v>2</v>
      </c>
      <c r="BC276" s="98">
        <v>3</v>
      </c>
      <c r="BD276" s="98">
        <v>2</v>
      </c>
      <c r="BE276" s="98">
        <v>2</v>
      </c>
      <c r="BF276" s="98">
        <v>1</v>
      </c>
      <c r="BG276" s="98">
        <v>3</v>
      </c>
      <c r="BH276" s="98">
        <v>2</v>
      </c>
      <c r="BI276" s="98">
        <v>6</v>
      </c>
      <c r="BJ276" s="98">
        <v>3</v>
      </c>
      <c r="BK276" s="98">
        <v>1</v>
      </c>
      <c r="BL276" s="98">
        <v>3</v>
      </c>
      <c r="BM276" s="98">
        <v>5</v>
      </c>
      <c r="BN276" s="98">
        <v>1</v>
      </c>
      <c r="BO276" s="98">
        <v>1</v>
      </c>
      <c r="BP276" s="98">
        <v>4</v>
      </c>
      <c r="BQ276" s="98">
        <v>2</v>
      </c>
      <c r="BR276" s="98">
        <v>1</v>
      </c>
      <c r="BS276" s="98">
        <v>1</v>
      </c>
      <c r="BT276" s="98">
        <v>1</v>
      </c>
      <c r="BU276" s="98">
        <v>4</v>
      </c>
      <c r="BV276" s="98">
        <v>1</v>
      </c>
      <c r="BW276" s="98">
        <v>2</v>
      </c>
      <c r="BX276" s="98">
        <v>4</v>
      </c>
      <c r="BY276" s="98">
        <v>4</v>
      </c>
      <c r="BZ276" s="98">
        <v>2</v>
      </c>
      <c r="CA276" s="98">
        <v>2</v>
      </c>
      <c r="CB276" s="98">
        <v>3</v>
      </c>
      <c r="CC276" s="98">
        <v>7</v>
      </c>
      <c r="CD276" s="98">
        <v>2</v>
      </c>
      <c r="CE276" s="98">
        <v>1</v>
      </c>
      <c r="CF276" s="98">
        <v>4</v>
      </c>
      <c r="CG276" s="98">
        <v>2</v>
      </c>
      <c r="CH276" s="98">
        <v>2</v>
      </c>
      <c r="CI276" s="98">
        <v>1</v>
      </c>
      <c r="CJ276" s="98">
        <v>2</v>
      </c>
      <c r="CK276" s="98">
        <v>1</v>
      </c>
      <c r="CL276" s="98">
        <v>1</v>
      </c>
      <c r="CM276" s="98">
        <v>2</v>
      </c>
      <c r="CN276" s="98">
        <v>2</v>
      </c>
      <c r="CO276" s="98">
        <v>1</v>
      </c>
      <c r="CP276" s="98">
        <v>2</v>
      </c>
      <c r="CQ276" s="98">
        <v>2</v>
      </c>
      <c r="CR276" s="98">
        <v>3</v>
      </c>
      <c r="CS276" s="98">
        <v>3</v>
      </c>
    </row>
    <row r="277" spans="2:97" x14ac:dyDescent="0.3">
      <c r="B277" s="83" t="s">
        <v>132</v>
      </c>
      <c r="C277" s="98">
        <v>2</v>
      </c>
      <c r="D277" s="98">
        <v>4</v>
      </c>
      <c r="E277" s="98">
        <v>3</v>
      </c>
      <c r="F277" s="98">
        <v>2</v>
      </c>
      <c r="G277" s="98">
        <v>2</v>
      </c>
      <c r="H277" s="98">
        <v>4</v>
      </c>
      <c r="I277" s="98">
        <v>3</v>
      </c>
      <c r="J277" s="98">
        <v>1</v>
      </c>
      <c r="K277" s="98">
        <v>1</v>
      </c>
      <c r="L277" s="98">
        <v>2</v>
      </c>
      <c r="M277" s="98">
        <v>1</v>
      </c>
      <c r="N277" s="98">
        <v>1</v>
      </c>
      <c r="O277" s="98">
        <v>4</v>
      </c>
      <c r="P277" s="98">
        <v>1</v>
      </c>
      <c r="Q277" s="98">
        <v>2</v>
      </c>
      <c r="R277" s="98">
        <v>2</v>
      </c>
      <c r="S277" s="98">
        <v>1</v>
      </c>
      <c r="T277" s="98">
        <v>2</v>
      </c>
      <c r="U277" s="98">
        <v>9</v>
      </c>
      <c r="V277" s="98">
        <v>2</v>
      </c>
      <c r="W277" s="98">
        <v>2</v>
      </c>
      <c r="X277" s="98">
        <v>5</v>
      </c>
      <c r="Y277" s="98">
        <v>2</v>
      </c>
      <c r="Z277" s="98">
        <v>1</v>
      </c>
      <c r="AA277" s="98">
        <v>2</v>
      </c>
      <c r="AB277" s="98">
        <v>4</v>
      </c>
      <c r="AC277" s="98">
        <v>2</v>
      </c>
      <c r="AD277" s="98">
        <v>2</v>
      </c>
      <c r="AE277" s="98">
        <v>2</v>
      </c>
      <c r="AF277" s="98">
        <v>3</v>
      </c>
      <c r="AG277" s="98">
        <v>1</v>
      </c>
      <c r="AH277" s="98">
        <v>2</v>
      </c>
      <c r="AI277" s="98">
        <v>4</v>
      </c>
      <c r="AJ277" s="98">
        <v>1</v>
      </c>
      <c r="AK277" s="98">
        <v>2</v>
      </c>
      <c r="AL277" s="98">
        <v>3</v>
      </c>
      <c r="AM277" s="98">
        <v>1</v>
      </c>
      <c r="AN277" s="98">
        <v>1</v>
      </c>
      <c r="AO277" s="98">
        <v>3</v>
      </c>
      <c r="AP277" s="98">
        <v>2</v>
      </c>
      <c r="AQ277" s="98">
        <v>1</v>
      </c>
      <c r="AR277" s="98">
        <v>1</v>
      </c>
      <c r="AS277" s="98">
        <v>1</v>
      </c>
      <c r="AT277" s="98">
        <v>1</v>
      </c>
      <c r="AU277" s="98">
        <v>3</v>
      </c>
      <c r="AV277" s="98">
        <v>2</v>
      </c>
      <c r="AW277" s="98">
        <v>8</v>
      </c>
      <c r="AX277" s="98">
        <v>1</v>
      </c>
      <c r="AY277" s="98">
        <v>1</v>
      </c>
      <c r="AZ277" s="98">
        <v>2</v>
      </c>
      <c r="BA277" s="98">
        <v>1</v>
      </c>
      <c r="BB277" s="98">
        <v>2</v>
      </c>
      <c r="BC277" s="98">
        <v>3</v>
      </c>
      <c r="BD277" s="98">
        <v>2</v>
      </c>
      <c r="BE277" s="98">
        <v>2</v>
      </c>
      <c r="BF277" s="98">
        <v>1</v>
      </c>
      <c r="BG277" s="98">
        <v>3</v>
      </c>
      <c r="BH277" s="98">
        <v>2</v>
      </c>
      <c r="BI277" s="98">
        <v>6</v>
      </c>
      <c r="BJ277" s="98">
        <v>3</v>
      </c>
      <c r="BK277" s="98">
        <v>1</v>
      </c>
      <c r="BL277" s="98">
        <v>3</v>
      </c>
      <c r="BM277" s="98">
        <v>5</v>
      </c>
      <c r="BN277" s="98">
        <v>1</v>
      </c>
      <c r="BO277" s="98">
        <v>1</v>
      </c>
      <c r="BP277" s="98">
        <v>4</v>
      </c>
      <c r="BQ277" s="98">
        <v>2</v>
      </c>
      <c r="BR277" s="98">
        <v>1</v>
      </c>
      <c r="BS277" s="98">
        <v>1</v>
      </c>
      <c r="BT277" s="98">
        <v>1</v>
      </c>
      <c r="BU277" s="98">
        <v>4</v>
      </c>
      <c r="BV277" s="98">
        <v>2</v>
      </c>
      <c r="BW277" s="98">
        <v>1</v>
      </c>
      <c r="BX277" s="98">
        <v>4</v>
      </c>
      <c r="BY277" s="98">
        <v>4</v>
      </c>
      <c r="BZ277" s="98">
        <v>2</v>
      </c>
      <c r="CA277" s="98">
        <v>2</v>
      </c>
      <c r="CB277" s="98">
        <v>3</v>
      </c>
      <c r="CC277" s="98">
        <v>7</v>
      </c>
      <c r="CD277" s="98">
        <v>2</v>
      </c>
      <c r="CE277" s="98">
        <v>1</v>
      </c>
      <c r="CF277" s="98">
        <v>4</v>
      </c>
      <c r="CG277" s="98">
        <v>2</v>
      </c>
      <c r="CH277" s="98">
        <v>2</v>
      </c>
      <c r="CI277" s="98">
        <v>1</v>
      </c>
      <c r="CJ277" s="98">
        <v>2</v>
      </c>
      <c r="CK277" s="98">
        <v>1</v>
      </c>
      <c r="CL277" s="98">
        <v>1</v>
      </c>
      <c r="CM277" s="98">
        <v>2</v>
      </c>
      <c r="CN277" s="98">
        <v>2</v>
      </c>
      <c r="CO277" s="98">
        <v>1</v>
      </c>
      <c r="CP277" s="98">
        <v>2</v>
      </c>
      <c r="CQ277" s="98">
        <v>2</v>
      </c>
      <c r="CR277" s="98">
        <v>3</v>
      </c>
      <c r="CS277" s="98">
        <v>3</v>
      </c>
    </row>
    <row r="278" spans="2:97" x14ac:dyDescent="0.3">
      <c r="B278" s="83" t="s">
        <v>133</v>
      </c>
      <c r="C278" s="98">
        <v>4</v>
      </c>
      <c r="D278" s="98">
        <v>6</v>
      </c>
      <c r="E278" s="98">
        <v>5</v>
      </c>
      <c r="F278" s="98">
        <v>4</v>
      </c>
      <c r="G278" s="98">
        <v>4</v>
      </c>
      <c r="H278" s="98">
        <v>6</v>
      </c>
      <c r="I278" s="98">
        <v>5</v>
      </c>
      <c r="J278" s="98">
        <v>3</v>
      </c>
      <c r="K278" s="98">
        <v>3</v>
      </c>
      <c r="L278" s="98">
        <v>4</v>
      </c>
      <c r="M278" s="98">
        <v>3</v>
      </c>
      <c r="N278" s="98">
        <v>3</v>
      </c>
      <c r="O278" s="98">
        <v>6</v>
      </c>
      <c r="P278" s="98">
        <v>3</v>
      </c>
      <c r="Q278" s="98">
        <v>4</v>
      </c>
      <c r="R278" s="98">
        <v>4</v>
      </c>
      <c r="S278" s="98">
        <v>3</v>
      </c>
      <c r="T278" s="98">
        <v>4</v>
      </c>
      <c r="U278" s="98">
        <v>11</v>
      </c>
      <c r="V278" s="98">
        <v>4</v>
      </c>
      <c r="W278" s="98">
        <v>4</v>
      </c>
      <c r="X278" s="98">
        <v>7</v>
      </c>
      <c r="Y278" s="98">
        <v>4</v>
      </c>
      <c r="Z278" s="98">
        <v>3</v>
      </c>
      <c r="AA278" s="98">
        <v>4</v>
      </c>
      <c r="AB278" s="98">
        <v>6</v>
      </c>
      <c r="AC278" s="98">
        <v>4</v>
      </c>
      <c r="AD278" s="98">
        <v>4</v>
      </c>
      <c r="AE278" s="98">
        <v>4</v>
      </c>
      <c r="AF278" s="98">
        <v>5</v>
      </c>
      <c r="AG278" s="98">
        <v>3</v>
      </c>
      <c r="AH278" s="98">
        <v>4</v>
      </c>
      <c r="AI278" s="98">
        <v>6</v>
      </c>
      <c r="AJ278" s="98">
        <v>3</v>
      </c>
      <c r="AK278" s="98">
        <v>4</v>
      </c>
      <c r="AL278" s="98">
        <v>5</v>
      </c>
      <c r="AM278" s="98">
        <v>3</v>
      </c>
      <c r="AN278" s="98">
        <v>3</v>
      </c>
      <c r="AO278" s="98">
        <v>5</v>
      </c>
      <c r="AP278" s="98">
        <v>4</v>
      </c>
      <c r="AQ278" s="98">
        <v>3</v>
      </c>
      <c r="AR278" s="98">
        <v>3</v>
      </c>
      <c r="AS278" s="98">
        <v>3</v>
      </c>
      <c r="AT278" s="98">
        <v>3</v>
      </c>
      <c r="AU278" s="98">
        <v>5</v>
      </c>
      <c r="AV278" s="98">
        <v>4</v>
      </c>
      <c r="AW278" s="98">
        <v>10</v>
      </c>
      <c r="AX278" s="98">
        <v>3</v>
      </c>
      <c r="AY278" s="98">
        <v>3</v>
      </c>
      <c r="AZ278" s="98">
        <v>4</v>
      </c>
      <c r="BA278" s="98">
        <v>3</v>
      </c>
      <c r="BB278" s="98">
        <v>4</v>
      </c>
      <c r="BC278" s="98">
        <v>5</v>
      </c>
      <c r="BD278" s="98">
        <v>4</v>
      </c>
      <c r="BE278" s="98">
        <v>4</v>
      </c>
      <c r="BF278" s="98">
        <v>3</v>
      </c>
      <c r="BG278" s="98">
        <v>5</v>
      </c>
      <c r="BH278" s="98">
        <v>4</v>
      </c>
      <c r="BI278" s="98">
        <v>8</v>
      </c>
      <c r="BJ278" s="98">
        <v>5</v>
      </c>
      <c r="BK278" s="98">
        <v>3</v>
      </c>
      <c r="BL278" s="98">
        <v>5</v>
      </c>
      <c r="BM278" s="98">
        <v>7</v>
      </c>
      <c r="BN278" s="98">
        <v>3</v>
      </c>
      <c r="BO278" s="98">
        <v>3</v>
      </c>
      <c r="BP278" s="98">
        <v>6</v>
      </c>
      <c r="BQ278" s="98">
        <v>4</v>
      </c>
      <c r="BR278" s="98">
        <v>3</v>
      </c>
      <c r="BS278" s="98">
        <v>3</v>
      </c>
      <c r="BT278" s="98">
        <v>3</v>
      </c>
      <c r="BU278" s="98">
        <v>6</v>
      </c>
      <c r="BV278" s="98">
        <v>4</v>
      </c>
      <c r="BW278" s="98">
        <v>4</v>
      </c>
      <c r="BX278" s="98">
        <v>3</v>
      </c>
      <c r="BY278" s="98">
        <v>6</v>
      </c>
      <c r="BZ278" s="98">
        <v>4</v>
      </c>
      <c r="CA278" s="98">
        <v>4</v>
      </c>
      <c r="CB278" s="98">
        <v>5</v>
      </c>
      <c r="CC278" s="98">
        <v>9</v>
      </c>
      <c r="CD278" s="98">
        <v>4</v>
      </c>
      <c r="CE278" s="98">
        <v>3</v>
      </c>
      <c r="CF278" s="98">
        <v>6</v>
      </c>
      <c r="CG278" s="98">
        <v>4</v>
      </c>
      <c r="CH278" s="98">
        <v>4</v>
      </c>
      <c r="CI278" s="98">
        <v>3</v>
      </c>
      <c r="CJ278" s="98">
        <v>4</v>
      </c>
      <c r="CK278" s="98">
        <v>3</v>
      </c>
      <c r="CL278" s="98">
        <v>3</v>
      </c>
      <c r="CM278" s="98">
        <v>4</v>
      </c>
      <c r="CN278" s="98">
        <v>4</v>
      </c>
      <c r="CO278" s="98">
        <v>3</v>
      </c>
      <c r="CP278" s="98">
        <v>4</v>
      </c>
      <c r="CQ278" s="98">
        <v>4</v>
      </c>
      <c r="CR278" s="98">
        <v>5</v>
      </c>
      <c r="CS278" s="98">
        <v>5</v>
      </c>
    </row>
    <row r="279" spans="2:97" x14ac:dyDescent="0.3">
      <c r="B279" s="83" t="s">
        <v>134</v>
      </c>
      <c r="C279" s="98">
        <v>4</v>
      </c>
      <c r="D279" s="98">
        <v>6</v>
      </c>
      <c r="E279" s="98">
        <v>5</v>
      </c>
      <c r="F279" s="98">
        <v>4</v>
      </c>
      <c r="G279" s="98">
        <v>4</v>
      </c>
      <c r="H279" s="98">
        <v>6</v>
      </c>
      <c r="I279" s="98">
        <v>5</v>
      </c>
      <c r="J279" s="98">
        <v>3</v>
      </c>
      <c r="K279" s="98">
        <v>3</v>
      </c>
      <c r="L279" s="98">
        <v>4</v>
      </c>
      <c r="M279" s="98">
        <v>3</v>
      </c>
      <c r="N279" s="98">
        <v>3</v>
      </c>
      <c r="O279" s="98">
        <v>6</v>
      </c>
      <c r="P279" s="98">
        <v>3</v>
      </c>
      <c r="Q279" s="98">
        <v>4</v>
      </c>
      <c r="R279" s="98">
        <v>4</v>
      </c>
      <c r="S279" s="98">
        <v>3</v>
      </c>
      <c r="T279" s="98">
        <v>4</v>
      </c>
      <c r="U279" s="98">
        <v>11</v>
      </c>
      <c r="V279" s="98">
        <v>4</v>
      </c>
      <c r="W279" s="98">
        <v>4</v>
      </c>
      <c r="X279" s="98">
        <v>7</v>
      </c>
      <c r="Y279" s="98">
        <v>4</v>
      </c>
      <c r="Z279" s="98">
        <v>3</v>
      </c>
      <c r="AA279" s="98">
        <v>4</v>
      </c>
      <c r="AB279" s="98">
        <v>6</v>
      </c>
      <c r="AC279" s="98">
        <v>4</v>
      </c>
      <c r="AD279" s="98">
        <v>4</v>
      </c>
      <c r="AE279" s="98">
        <v>4</v>
      </c>
      <c r="AF279" s="98">
        <v>5</v>
      </c>
      <c r="AG279" s="98">
        <v>3</v>
      </c>
      <c r="AH279" s="98">
        <v>4</v>
      </c>
      <c r="AI279" s="98">
        <v>6</v>
      </c>
      <c r="AJ279" s="98">
        <v>3</v>
      </c>
      <c r="AK279" s="98">
        <v>4</v>
      </c>
      <c r="AL279" s="98">
        <v>5</v>
      </c>
      <c r="AM279" s="98">
        <v>3</v>
      </c>
      <c r="AN279" s="98">
        <v>3</v>
      </c>
      <c r="AO279" s="98">
        <v>5</v>
      </c>
      <c r="AP279" s="98">
        <v>4</v>
      </c>
      <c r="AQ279" s="98">
        <v>3</v>
      </c>
      <c r="AR279" s="98">
        <v>3</v>
      </c>
      <c r="AS279" s="98">
        <v>3</v>
      </c>
      <c r="AT279" s="98">
        <v>3</v>
      </c>
      <c r="AU279" s="98">
        <v>5</v>
      </c>
      <c r="AV279" s="98">
        <v>4</v>
      </c>
      <c r="AW279" s="98">
        <v>10</v>
      </c>
      <c r="AX279" s="98">
        <v>3</v>
      </c>
      <c r="AY279" s="98">
        <v>3</v>
      </c>
      <c r="AZ279" s="98">
        <v>4</v>
      </c>
      <c r="BA279" s="98">
        <v>3</v>
      </c>
      <c r="BB279" s="98">
        <v>4</v>
      </c>
      <c r="BC279" s="98">
        <v>5</v>
      </c>
      <c r="BD279" s="98">
        <v>4</v>
      </c>
      <c r="BE279" s="98">
        <v>4</v>
      </c>
      <c r="BF279" s="98">
        <v>3</v>
      </c>
      <c r="BG279" s="98">
        <v>5</v>
      </c>
      <c r="BH279" s="98">
        <v>4</v>
      </c>
      <c r="BI279" s="98">
        <v>8</v>
      </c>
      <c r="BJ279" s="98">
        <v>5</v>
      </c>
      <c r="BK279" s="98">
        <v>3</v>
      </c>
      <c r="BL279" s="98">
        <v>5</v>
      </c>
      <c r="BM279" s="98">
        <v>7</v>
      </c>
      <c r="BN279" s="98">
        <v>3</v>
      </c>
      <c r="BO279" s="98">
        <v>3</v>
      </c>
      <c r="BP279" s="98">
        <v>6</v>
      </c>
      <c r="BQ279" s="98">
        <v>4</v>
      </c>
      <c r="BR279" s="98">
        <v>3</v>
      </c>
      <c r="BS279" s="98">
        <v>3</v>
      </c>
      <c r="BT279" s="98">
        <v>3</v>
      </c>
      <c r="BU279" s="98">
        <v>6</v>
      </c>
      <c r="BV279" s="98">
        <v>4</v>
      </c>
      <c r="BW279" s="98">
        <v>4</v>
      </c>
      <c r="BX279" s="98">
        <v>6</v>
      </c>
      <c r="BY279" s="98">
        <v>3</v>
      </c>
      <c r="BZ279" s="98">
        <v>4</v>
      </c>
      <c r="CA279" s="98">
        <v>4</v>
      </c>
      <c r="CB279" s="98">
        <v>5</v>
      </c>
      <c r="CC279" s="98">
        <v>9</v>
      </c>
      <c r="CD279" s="98">
        <v>4</v>
      </c>
      <c r="CE279" s="98">
        <v>3</v>
      </c>
      <c r="CF279" s="98">
        <v>6</v>
      </c>
      <c r="CG279" s="98">
        <v>4</v>
      </c>
      <c r="CH279" s="98">
        <v>4</v>
      </c>
      <c r="CI279" s="98">
        <v>3</v>
      </c>
      <c r="CJ279" s="98">
        <v>4</v>
      </c>
      <c r="CK279" s="98">
        <v>3</v>
      </c>
      <c r="CL279" s="98">
        <v>3</v>
      </c>
      <c r="CM279" s="98">
        <v>4</v>
      </c>
      <c r="CN279" s="98">
        <v>4</v>
      </c>
      <c r="CO279" s="98">
        <v>3</v>
      </c>
      <c r="CP279" s="98">
        <v>4</v>
      </c>
      <c r="CQ279" s="98">
        <v>4</v>
      </c>
      <c r="CR279" s="98">
        <v>5</v>
      </c>
      <c r="CS279" s="98">
        <v>5</v>
      </c>
    </row>
    <row r="280" spans="2:97" x14ac:dyDescent="0.3">
      <c r="B280" s="83" t="s">
        <v>135</v>
      </c>
      <c r="C280" s="98">
        <v>2</v>
      </c>
      <c r="D280" s="98">
        <v>4</v>
      </c>
      <c r="E280" s="98">
        <v>3</v>
      </c>
      <c r="F280" s="98">
        <v>2</v>
      </c>
      <c r="G280" s="98">
        <v>2</v>
      </c>
      <c r="H280" s="98">
        <v>4</v>
      </c>
      <c r="I280" s="98">
        <v>3</v>
      </c>
      <c r="J280" s="98">
        <v>1</v>
      </c>
      <c r="K280" s="98">
        <v>1</v>
      </c>
      <c r="L280" s="98">
        <v>2</v>
      </c>
      <c r="M280" s="98">
        <v>1</v>
      </c>
      <c r="N280" s="98">
        <v>1</v>
      </c>
      <c r="O280" s="98">
        <v>4</v>
      </c>
      <c r="P280" s="98">
        <v>1</v>
      </c>
      <c r="Q280" s="98">
        <v>2</v>
      </c>
      <c r="R280" s="98">
        <v>2</v>
      </c>
      <c r="S280" s="98">
        <v>1</v>
      </c>
      <c r="T280" s="98">
        <v>2</v>
      </c>
      <c r="U280" s="98">
        <v>9</v>
      </c>
      <c r="V280" s="98">
        <v>2</v>
      </c>
      <c r="W280" s="98">
        <v>2</v>
      </c>
      <c r="X280" s="98">
        <v>5</v>
      </c>
      <c r="Y280" s="98">
        <v>2</v>
      </c>
      <c r="Z280" s="98">
        <v>1</v>
      </c>
      <c r="AA280" s="98">
        <v>2</v>
      </c>
      <c r="AB280" s="98">
        <v>4</v>
      </c>
      <c r="AC280" s="98">
        <v>2</v>
      </c>
      <c r="AD280" s="98">
        <v>2</v>
      </c>
      <c r="AE280" s="98">
        <v>2</v>
      </c>
      <c r="AF280" s="98">
        <v>3</v>
      </c>
      <c r="AG280" s="98">
        <v>1</v>
      </c>
      <c r="AH280" s="98">
        <v>2</v>
      </c>
      <c r="AI280" s="98">
        <v>4</v>
      </c>
      <c r="AJ280" s="98">
        <v>1</v>
      </c>
      <c r="AK280" s="98">
        <v>2</v>
      </c>
      <c r="AL280" s="98">
        <v>3</v>
      </c>
      <c r="AM280" s="98">
        <v>1</v>
      </c>
      <c r="AN280" s="98">
        <v>1</v>
      </c>
      <c r="AO280" s="98">
        <v>3</v>
      </c>
      <c r="AP280" s="98">
        <v>2</v>
      </c>
      <c r="AQ280" s="98">
        <v>1</v>
      </c>
      <c r="AR280" s="98">
        <v>1</v>
      </c>
      <c r="AS280" s="98">
        <v>1</v>
      </c>
      <c r="AT280" s="98">
        <v>1</v>
      </c>
      <c r="AU280" s="98">
        <v>3</v>
      </c>
      <c r="AV280" s="98">
        <v>2</v>
      </c>
      <c r="AW280" s="98">
        <v>8</v>
      </c>
      <c r="AX280" s="98">
        <v>1</v>
      </c>
      <c r="AY280" s="98">
        <v>1</v>
      </c>
      <c r="AZ280" s="98">
        <v>2</v>
      </c>
      <c r="BA280" s="98">
        <v>1</v>
      </c>
      <c r="BB280" s="98">
        <v>2</v>
      </c>
      <c r="BC280" s="98">
        <v>3</v>
      </c>
      <c r="BD280" s="98">
        <v>2</v>
      </c>
      <c r="BE280" s="98">
        <v>2</v>
      </c>
      <c r="BF280" s="98">
        <v>1</v>
      </c>
      <c r="BG280" s="98">
        <v>3</v>
      </c>
      <c r="BH280" s="98">
        <v>2</v>
      </c>
      <c r="BI280" s="98">
        <v>6</v>
      </c>
      <c r="BJ280" s="98">
        <v>3</v>
      </c>
      <c r="BK280" s="98">
        <v>1</v>
      </c>
      <c r="BL280" s="98">
        <v>3</v>
      </c>
      <c r="BM280" s="98">
        <v>5</v>
      </c>
      <c r="BN280" s="98">
        <v>1</v>
      </c>
      <c r="BO280" s="98">
        <v>1</v>
      </c>
      <c r="BP280" s="98">
        <v>4</v>
      </c>
      <c r="BQ280" s="98">
        <v>2</v>
      </c>
      <c r="BR280" s="98">
        <v>1</v>
      </c>
      <c r="BS280" s="98">
        <v>1</v>
      </c>
      <c r="BT280" s="98">
        <v>1</v>
      </c>
      <c r="BU280" s="98">
        <v>4</v>
      </c>
      <c r="BV280" s="98">
        <v>2</v>
      </c>
      <c r="BW280" s="98">
        <v>2</v>
      </c>
      <c r="BX280" s="98">
        <v>4</v>
      </c>
      <c r="BY280" s="98">
        <v>4</v>
      </c>
      <c r="BZ280" s="98">
        <v>1</v>
      </c>
      <c r="CA280" s="98">
        <v>2</v>
      </c>
      <c r="CB280" s="98">
        <v>3</v>
      </c>
      <c r="CC280" s="98">
        <v>7</v>
      </c>
      <c r="CD280" s="98">
        <v>2</v>
      </c>
      <c r="CE280" s="98">
        <v>1</v>
      </c>
      <c r="CF280" s="98">
        <v>4</v>
      </c>
      <c r="CG280" s="98">
        <v>2</v>
      </c>
      <c r="CH280" s="98">
        <v>2</v>
      </c>
      <c r="CI280" s="98">
        <v>1</v>
      </c>
      <c r="CJ280" s="98">
        <v>2</v>
      </c>
      <c r="CK280" s="98">
        <v>1</v>
      </c>
      <c r="CL280" s="98">
        <v>1</v>
      </c>
      <c r="CM280" s="98">
        <v>2</v>
      </c>
      <c r="CN280" s="98">
        <v>2</v>
      </c>
      <c r="CO280" s="98">
        <v>1</v>
      </c>
      <c r="CP280" s="98">
        <v>2</v>
      </c>
      <c r="CQ280" s="98">
        <v>2</v>
      </c>
      <c r="CR280" s="98">
        <v>3</v>
      </c>
      <c r="CS280" s="98">
        <v>3</v>
      </c>
    </row>
    <row r="281" spans="2:97" x14ac:dyDescent="0.3">
      <c r="B281" s="83" t="s">
        <v>136</v>
      </c>
      <c r="C281" s="98">
        <v>2</v>
      </c>
      <c r="D281" s="98">
        <v>4</v>
      </c>
      <c r="E281" s="98">
        <v>3</v>
      </c>
      <c r="F281" s="98">
        <v>2</v>
      </c>
      <c r="G281" s="98">
        <v>2</v>
      </c>
      <c r="H281" s="98">
        <v>4</v>
      </c>
      <c r="I281" s="98">
        <v>3</v>
      </c>
      <c r="J281" s="98">
        <v>1</v>
      </c>
      <c r="K281" s="98">
        <v>1</v>
      </c>
      <c r="L281" s="98">
        <v>2</v>
      </c>
      <c r="M281" s="98">
        <v>1</v>
      </c>
      <c r="N281" s="98">
        <v>1</v>
      </c>
      <c r="O281" s="98">
        <v>4</v>
      </c>
      <c r="P281" s="98">
        <v>1</v>
      </c>
      <c r="Q281" s="98">
        <v>2</v>
      </c>
      <c r="R281" s="98">
        <v>2</v>
      </c>
      <c r="S281" s="98">
        <v>1</v>
      </c>
      <c r="T281" s="98">
        <v>2</v>
      </c>
      <c r="U281" s="98">
        <v>9</v>
      </c>
      <c r="V281" s="98">
        <v>2</v>
      </c>
      <c r="W281" s="98">
        <v>2</v>
      </c>
      <c r="X281" s="98">
        <v>5</v>
      </c>
      <c r="Y281" s="98">
        <v>2</v>
      </c>
      <c r="Z281" s="98">
        <v>1</v>
      </c>
      <c r="AA281" s="98">
        <v>2</v>
      </c>
      <c r="AB281" s="98">
        <v>4</v>
      </c>
      <c r="AC281" s="98">
        <v>2</v>
      </c>
      <c r="AD281" s="98">
        <v>2</v>
      </c>
      <c r="AE281" s="98">
        <v>2</v>
      </c>
      <c r="AF281" s="98">
        <v>3</v>
      </c>
      <c r="AG281" s="98">
        <v>1</v>
      </c>
      <c r="AH281" s="98">
        <v>2</v>
      </c>
      <c r="AI281" s="98">
        <v>4</v>
      </c>
      <c r="AJ281" s="98">
        <v>1</v>
      </c>
      <c r="AK281" s="98">
        <v>2</v>
      </c>
      <c r="AL281" s="98">
        <v>3</v>
      </c>
      <c r="AM281" s="98">
        <v>1</v>
      </c>
      <c r="AN281" s="98">
        <v>1</v>
      </c>
      <c r="AO281" s="98">
        <v>3</v>
      </c>
      <c r="AP281" s="98">
        <v>2</v>
      </c>
      <c r="AQ281" s="98">
        <v>1</v>
      </c>
      <c r="AR281" s="98">
        <v>1</v>
      </c>
      <c r="AS281" s="98">
        <v>1</v>
      </c>
      <c r="AT281" s="98">
        <v>1</v>
      </c>
      <c r="AU281" s="98">
        <v>3</v>
      </c>
      <c r="AV281" s="98">
        <v>2</v>
      </c>
      <c r="AW281" s="98">
        <v>8</v>
      </c>
      <c r="AX281" s="98">
        <v>1</v>
      </c>
      <c r="AY281" s="98">
        <v>1</v>
      </c>
      <c r="AZ281" s="98">
        <v>2</v>
      </c>
      <c r="BA281" s="98">
        <v>1</v>
      </c>
      <c r="BB281" s="98">
        <v>2</v>
      </c>
      <c r="BC281" s="98">
        <v>3</v>
      </c>
      <c r="BD281" s="98">
        <v>2</v>
      </c>
      <c r="BE281" s="98">
        <v>2</v>
      </c>
      <c r="BF281" s="98">
        <v>1</v>
      </c>
      <c r="BG281" s="98">
        <v>3</v>
      </c>
      <c r="BH281" s="98">
        <v>2</v>
      </c>
      <c r="BI281" s="98">
        <v>6</v>
      </c>
      <c r="BJ281" s="98">
        <v>3</v>
      </c>
      <c r="BK281" s="98">
        <v>1</v>
      </c>
      <c r="BL281" s="98">
        <v>3</v>
      </c>
      <c r="BM281" s="98">
        <v>5</v>
      </c>
      <c r="BN281" s="98">
        <v>1</v>
      </c>
      <c r="BO281" s="98">
        <v>1</v>
      </c>
      <c r="BP281" s="98">
        <v>4</v>
      </c>
      <c r="BQ281" s="98">
        <v>2</v>
      </c>
      <c r="BR281" s="98">
        <v>1</v>
      </c>
      <c r="BS281" s="98">
        <v>1</v>
      </c>
      <c r="BT281" s="98">
        <v>1</v>
      </c>
      <c r="BU281" s="98">
        <v>4</v>
      </c>
      <c r="BV281" s="98">
        <v>2</v>
      </c>
      <c r="BW281" s="98">
        <v>2</v>
      </c>
      <c r="BX281" s="98">
        <v>4</v>
      </c>
      <c r="BY281" s="98">
        <v>4</v>
      </c>
      <c r="BZ281" s="98">
        <v>2</v>
      </c>
      <c r="CA281" s="98">
        <v>1</v>
      </c>
      <c r="CB281" s="98">
        <v>3</v>
      </c>
      <c r="CC281" s="98">
        <v>7</v>
      </c>
      <c r="CD281" s="98">
        <v>2</v>
      </c>
      <c r="CE281" s="98">
        <v>1</v>
      </c>
      <c r="CF281" s="98">
        <v>4</v>
      </c>
      <c r="CG281" s="98">
        <v>2</v>
      </c>
      <c r="CH281" s="98">
        <v>2</v>
      </c>
      <c r="CI281" s="98">
        <v>1</v>
      </c>
      <c r="CJ281" s="98">
        <v>2</v>
      </c>
      <c r="CK281" s="98">
        <v>1</v>
      </c>
      <c r="CL281" s="98">
        <v>1</v>
      </c>
      <c r="CM281" s="98">
        <v>2</v>
      </c>
      <c r="CN281" s="98">
        <v>2</v>
      </c>
      <c r="CO281" s="98">
        <v>1</v>
      </c>
      <c r="CP281" s="98">
        <v>2</v>
      </c>
      <c r="CQ281" s="98">
        <v>2</v>
      </c>
      <c r="CR281" s="98">
        <v>3</v>
      </c>
      <c r="CS281" s="98">
        <v>3</v>
      </c>
    </row>
    <row r="282" spans="2:97" x14ac:dyDescent="0.3">
      <c r="B282" s="83" t="s">
        <v>137</v>
      </c>
      <c r="C282" s="98">
        <v>3</v>
      </c>
      <c r="D282" s="98">
        <v>5</v>
      </c>
      <c r="E282" s="98">
        <v>4</v>
      </c>
      <c r="F282" s="98">
        <v>3</v>
      </c>
      <c r="G282" s="98">
        <v>3</v>
      </c>
      <c r="H282" s="98">
        <v>5</v>
      </c>
      <c r="I282" s="98">
        <v>4</v>
      </c>
      <c r="J282" s="98">
        <v>2</v>
      </c>
      <c r="K282" s="98">
        <v>2</v>
      </c>
      <c r="L282" s="98">
        <v>3</v>
      </c>
      <c r="M282" s="98">
        <v>2</v>
      </c>
      <c r="N282" s="98">
        <v>2</v>
      </c>
      <c r="O282" s="98">
        <v>5</v>
      </c>
      <c r="P282" s="98">
        <v>2</v>
      </c>
      <c r="Q282" s="98">
        <v>3</v>
      </c>
      <c r="R282" s="98">
        <v>3</v>
      </c>
      <c r="S282" s="98">
        <v>2</v>
      </c>
      <c r="T282" s="98">
        <v>3</v>
      </c>
      <c r="U282" s="98">
        <v>10</v>
      </c>
      <c r="V282" s="98">
        <v>3</v>
      </c>
      <c r="W282" s="98">
        <v>3</v>
      </c>
      <c r="X282" s="98">
        <v>6</v>
      </c>
      <c r="Y282" s="98">
        <v>3</v>
      </c>
      <c r="Z282" s="98">
        <v>2</v>
      </c>
      <c r="AA282" s="98">
        <v>3</v>
      </c>
      <c r="AB282" s="98">
        <v>5</v>
      </c>
      <c r="AC282" s="98">
        <v>3</v>
      </c>
      <c r="AD282" s="98">
        <v>3</v>
      </c>
      <c r="AE282" s="98">
        <v>3</v>
      </c>
      <c r="AF282" s="98">
        <v>4</v>
      </c>
      <c r="AG282" s="98">
        <v>2</v>
      </c>
      <c r="AH282" s="98">
        <v>3</v>
      </c>
      <c r="AI282" s="98">
        <v>5</v>
      </c>
      <c r="AJ282" s="98">
        <v>2</v>
      </c>
      <c r="AK282" s="98">
        <v>3</v>
      </c>
      <c r="AL282" s="98">
        <v>4</v>
      </c>
      <c r="AM282" s="98">
        <v>2</v>
      </c>
      <c r="AN282" s="98">
        <v>2</v>
      </c>
      <c r="AO282" s="98">
        <v>4</v>
      </c>
      <c r="AP282" s="98">
        <v>3</v>
      </c>
      <c r="AQ282" s="98">
        <v>2</v>
      </c>
      <c r="AR282" s="98">
        <v>2</v>
      </c>
      <c r="AS282" s="98">
        <v>2</v>
      </c>
      <c r="AT282" s="98">
        <v>2</v>
      </c>
      <c r="AU282" s="98">
        <v>4</v>
      </c>
      <c r="AV282" s="98">
        <v>3</v>
      </c>
      <c r="AW282" s="98">
        <v>9</v>
      </c>
      <c r="AX282" s="98">
        <v>2</v>
      </c>
      <c r="AY282" s="98">
        <v>2</v>
      </c>
      <c r="AZ282" s="98">
        <v>3</v>
      </c>
      <c r="BA282" s="98">
        <v>2</v>
      </c>
      <c r="BB282" s="98">
        <v>3</v>
      </c>
      <c r="BC282" s="98">
        <v>4</v>
      </c>
      <c r="BD282" s="98">
        <v>3</v>
      </c>
      <c r="BE282" s="98">
        <v>3</v>
      </c>
      <c r="BF282" s="98">
        <v>2</v>
      </c>
      <c r="BG282" s="98">
        <v>4</v>
      </c>
      <c r="BH282" s="98">
        <v>3</v>
      </c>
      <c r="BI282" s="98">
        <v>7</v>
      </c>
      <c r="BJ282" s="98">
        <v>4</v>
      </c>
      <c r="BK282" s="98">
        <v>2</v>
      </c>
      <c r="BL282" s="98">
        <v>4</v>
      </c>
      <c r="BM282" s="98">
        <v>6</v>
      </c>
      <c r="BN282" s="98">
        <v>2</v>
      </c>
      <c r="BO282" s="98">
        <v>2</v>
      </c>
      <c r="BP282" s="98">
        <v>5</v>
      </c>
      <c r="BQ282" s="98">
        <v>3</v>
      </c>
      <c r="BR282" s="98">
        <v>2</v>
      </c>
      <c r="BS282" s="98">
        <v>2</v>
      </c>
      <c r="BT282" s="98">
        <v>2</v>
      </c>
      <c r="BU282" s="98">
        <v>5</v>
      </c>
      <c r="BV282" s="98">
        <v>3</v>
      </c>
      <c r="BW282" s="98">
        <v>3</v>
      </c>
      <c r="BX282" s="98">
        <v>5</v>
      </c>
      <c r="BY282" s="98">
        <v>5</v>
      </c>
      <c r="BZ282" s="98">
        <v>3</v>
      </c>
      <c r="CA282" s="98">
        <v>3</v>
      </c>
      <c r="CB282" s="98">
        <v>2</v>
      </c>
      <c r="CC282" s="98">
        <v>8</v>
      </c>
      <c r="CD282" s="98">
        <v>3</v>
      </c>
      <c r="CE282" s="98">
        <v>2</v>
      </c>
      <c r="CF282" s="98">
        <v>5</v>
      </c>
      <c r="CG282" s="98">
        <v>3</v>
      </c>
      <c r="CH282" s="98">
        <v>3</v>
      </c>
      <c r="CI282" s="98">
        <v>2</v>
      </c>
      <c r="CJ282" s="98">
        <v>3</v>
      </c>
      <c r="CK282" s="98">
        <v>2</v>
      </c>
      <c r="CL282" s="98">
        <v>2</v>
      </c>
      <c r="CM282" s="98">
        <v>3</v>
      </c>
      <c r="CN282" s="98">
        <v>3</v>
      </c>
      <c r="CO282" s="98">
        <v>2</v>
      </c>
      <c r="CP282" s="98">
        <v>3</v>
      </c>
      <c r="CQ282" s="98">
        <v>3</v>
      </c>
      <c r="CR282" s="98">
        <v>4</v>
      </c>
      <c r="CS282" s="98">
        <v>4</v>
      </c>
    </row>
    <row r="283" spans="2:97" x14ac:dyDescent="0.3">
      <c r="B283" s="83" t="s">
        <v>138</v>
      </c>
      <c r="C283" s="98">
        <v>7</v>
      </c>
      <c r="D283" s="98">
        <v>9</v>
      </c>
      <c r="E283" s="98">
        <v>8</v>
      </c>
      <c r="F283" s="98">
        <v>7</v>
      </c>
      <c r="G283" s="98">
        <v>7</v>
      </c>
      <c r="H283" s="98">
        <v>9</v>
      </c>
      <c r="I283" s="98">
        <v>8</v>
      </c>
      <c r="J283" s="98">
        <v>6</v>
      </c>
      <c r="K283" s="98">
        <v>6</v>
      </c>
      <c r="L283" s="98">
        <v>7</v>
      </c>
      <c r="M283" s="98">
        <v>6</v>
      </c>
      <c r="N283" s="98">
        <v>6</v>
      </c>
      <c r="O283" s="98">
        <v>9</v>
      </c>
      <c r="P283" s="98">
        <v>6</v>
      </c>
      <c r="Q283" s="98">
        <v>7</v>
      </c>
      <c r="R283" s="98">
        <v>7</v>
      </c>
      <c r="S283" s="98">
        <v>6</v>
      </c>
      <c r="T283" s="98">
        <v>7</v>
      </c>
      <c r="U283" s="98">
        <v>14</v>
      </c>
      <c r="V283" s="98">
        <v>7</v>
      </c>
      <c r="W283" s="98">
        <v>7</v>
      </c>
      <c r="X283" s="98">
        <v>10</v>
      </c>
      <c r="Y283" s="98">
        <v>7</v>
      </c>
      <c r="Z283" s="98">
        <v>6</v>
      </c>
      <c r="AA283" s="98">
        <v>7</v>
      </c>
      <c r="AB283" s="98">
        <v>9</v>
      </c>
      <c r="AC283" s="98">
        <v>7</v>
      </c>
      <c r="AD283" s="98">
        <v>7</v>
      </c>
      <c r="AE283" s="98">
        <v>7</v>
      </c>
      <c r="AF283" s="98">
        <v>8</v>
      </c>
      <c r="AG283" s="98">
        <v>6</v>
      </c>
      <c r="AH283" s="98">
        <v>7</v>
      </c>
      <c r="AI283" s="98">
        <v>9</v>
      </c>
      <c r="AJ283" s="98">
        <v>6</v>
      </c>
      <c r="AK283" s="98">
        <v>7</v>
      </c>
      <c r="AL283" s="98">
        <v>8</v>
      </c>
      <c r="AM283" s="98">
        <v>6</v>
      </c>
      <c r="AN283" s="98">
        <v>6</v>
      </c>
      <c r="AO283" s="98">
        <v>8</v>
      </c>
      <c r="AP283" s="98">
        <v>7</v>
      </c>
      <c r="AQ283" s="98">
        <v>6</v>
      </c>
      <c r="AR283" s="98">
        <v>6</v>
      </c>
      <c r="AS283" s="98">
        <v>6</v>
      </c>
      <c r="AT283" s="98">
        <v>6</v>
      </c>
      <c r="AU283" s="98">
        <v>8</v>
      </c>
      <c r="AV283" s="98">
        <v>7</v>
      </c>
      <c r="AW283" s="98">
        <v>13</v>
      </c>
      <c r="AX283" s="98">
        <v>6</v>
      </c>
      <c r="AY283" s="98">
        <v>6</v>
      </c>
      <c r="AZ283" s="98">
        <v>7</v>
      </c>
      <c r="BA283" s="98">
        <v>6</v>
      </c>
      <c r="BB283" s="98">
        <v>7</v>
      </c>
      <c r="BC283" s="98">
        <v>8</v>
      </c>
      <c r="BD283" s="98">
        <v>7</v>
      </c>
      <c r="BE283" s="98">
        <v>7</v>
      </c>
      <c r="BF283" s="98">
        <v>6</v>
      </c>
      <c r="BG283" s="98">
        <v>8</v>
      </c>
      <c r="BH283" s="98">
        <v>7</v>
      </c>
      <c r="BI283" s="98">
        <v>11</v>
      </c>
      <c r="BJ283" s="98">
        <v>8</v>
      </c>
      <c r="BK283" s="98">
        <v>6</v>
      </c>
      <c r="BL283" s="98">
        <v>8</v>
      </c>
      <c r="BM283" s="98">
        <v>10</v>
      </c>
      <c r="BN283" s="98">
        <v>6</v>
      </c>
      <c r="BO283" s="98">
        <v>6</v>
      </c>
      <c r="BP283" s="98">
        <v>9</v>
      </c>
      <c r="BQ283" s="98">
        <v>7</v>
      </c>
      <c r="BR283" s="98">
        <v>6</v>
      </c>
      <c r="BS283" s="98">
        <v>6</v>
      </c>
      <c r="BT283" s="98">
        <v>6</v>
      </c>
      <c r="BU283" s="98">
        <v>9</v>
      </c>
      <c r="BV283" s="98">
        <v>7</v>
      </c>
      <c r="BW283" s="98">
        <v>7</v>
      </c>
      <c r="BX283" s="98">
        <v>9</v>
      </c>
      <c r="BY283" s="98">
        <v>9</v>
      </c>
      <c r="BZ283" s="98">
        <v>7</v>
      </c>
      <c r="CA283" s="98">
        <v>7</v>
      </c>
      <c r="CB283" s="98">
        <v>8</v>
      </c>
      <c r="CC283" s="98">
        <v>6</v>
      </c>
      <c r="CD283" s="98">
        <v>7</v>
      </c>
      <c r="CE283" s="98">
        <v>6</v>
      </c>
      <c r="CF283" s="98">
        <v>9</v>
      </c>
      <c r="CG283" s="98">
        <v>7</v>
      </c>
      <c r="CH283" s="98">
        <v>7</v>
      </c>
      <c r="CI283" s="98">
        <v>6</v>
      </c>
      <c r="CJ283" s="98">
        <v>7</v>
      </c>
      <c r="CK283" s="98">
        <v>6</v>
      </c>
      <c r="CL283" s="98">
        <v>6</v>
      </c>
      <c r="CM283" s="98">
        <v>7</v>
      </c>
      <c r="CN283" s="98">
        <v>7</v>
      </c>
      <c r="CO283" s="98">
        <v>6</v>
      </c>
      <c r="CP283" s="98">
        <v>7</v>
      </c>
      <c r="CQ283" s="98">
        <v>7</v>
      </c>
      <c r="CR283" s="98">
        <v>8</v>
      </c>
      <c r="CS283" s="98">
        <v>8</v>
      </c>
    </row>
    <row r="284" spans="2:97" x14ac:dyDescent="0.3">
      <c r="B284" s="83" t="s">
        <v>139</v>
      </c>
      <c r="C284" s="98">
        <v>2</v>
      </c>
      <c r="D284" s="98">
        <v>4</v>
      </c>
      <c r="E284" s="98">
        <v>3</v>
      </c>
      <c r="F284" s="98">
        <v>2</v>
      </c>
      <c r="G284" s="98">
        <v>2</v>
      </c>
      <c r="H284" s="98">
        <v>4</v>
      </c>
      <c r="I284" s="98">
        <v>3</v>
      </c>
      <c r="J284" s="98">
        <v>1</v>
      </c>
      <c r="K284" s="98">
        <v>1</v>
      </c>
      <c r="L284" s="98">
        <v>2</v>
      </c>
      <c r="M284" s="98">
        <v>1</v>
      </c>
      <c r="N284" s="98">
        <v>1</v>
      </c>
      <c r="O284" s="98">
        <v>4</v>
      </c>
      <c r="P284" s="98">
        <v>1</v>
      </c>
      <c r="Q284" s="98">
        <v>2</v>
      </c>
      <c r="R284" s="98">
        <v>2</v>
      </c>
      <c r="S284" s="98">
        <v>1</v>
      </c>
      <c r="T284" s="98">
        <v>2</v>
      </c>
      <c r="U284" s="98">
        <v>9</v>
      </c>
      <c r="V284" s="98">
        <v>2</v>
      </c>
      <c r="W284" s="98">
        <v>2</v>
      </c>
      <c r="X284" s="98">
        <v>5</v>
      </c>
      <c r="Y284" s="98">
        <v>2</v>
      </c>
      <c r="Z284" s="98">
        <v>1</v>
      </c>
      <c r="AA284" s="98">
        <v>2</v>
      </c>
      <c r="AB284" s="98">
        <v>4</v>
      </c>
      <c r="AC284" s="98">
        <v>2</v>
      </c>
      <c r="AD284" s="98">
        <v>2</v>
      </c>
      <c r="AE284" s="98">
        <v>2</v>
      </c>
      <c r="AF284" s="98">
        <v>3</v>
      </c>
      <c r="AG284" s="98">
        <v>1</v>
      </c>
      <c r="AH284" s="98">
        <v>2</v>
      </c>
      <c r="AI284" s="98">
        <v>4</v>
      </c>
      <c r="AJ284" s="98">
        <v>1</v>
      </c>
      <c r="AK284" s="98">
        <v>2</v>
      </c>
      <c r="AL284" s="98">
        <v>3</v>
      </c>
      <c r="AM284" s="98">
        <v>1</v>
      </c>
      <c r="AN284" s="98">
        <v>1</v>
      </c>
      <c r="AO284" s="98">
        <v>3</v>
      </c>
      <c r="AP284" s="98">
        <v>2</v>
      </c>
      <c r="AQ284" s="98">
        <v>1</v>
      </c>
      <c r="AR284" s="98">
        <v>1</v>
      </c>
      <c r="AS284" s="98">
        <v>1</v>
      </c>
      <c r="AT284" s="98">
        <v>1</v>
      </c>
      <c r="AU284" s="98">
        <v>3</v>
      </c>
      <c r="AV284" s="98">
        <v>2</v>
      </c>
      <c r="AW284" s="98">
        <v>8</v>
      </c>
      <c r="AX284" s="98">
        <v>1</v>
      </c>
      <c r="AY284" s="98">
        <v>1</v>
      </c>
      <c r="AZ284" s="98">
        <v>2</v>
      </c>
      <c r="BA284" s="98">
        <v>1</v>
      </c>
      <c r="BB284" s="98">
        <v>2</v>
      </c>
      <c r="BC284" s="98">
        <v>3</v>
      </c>
      <c r="BD284" s="98">
        <v>2</v>
      </c>
      <c r="BE284" s="98">
        <v>2</v>
      </c>
      <c r="BF284" s="98">
        <v>1</v>
      </c>
      <c r="BG284" s="98">
        <v>3</v>
      </c>
      <c r="BH284" s="98">
        <v>2</v>
      </c>
      <c r="BI284" s="98">
        <v>6</v>
      </c>
      <c r="BJ284" s="98">
        <v>3</v>
      </c>
      <c r="BK284" s="98">
        <v>1</v>
      </c>
      <c r="BL284" s="98">
        <v>3</v>
      </c>
      <c r="BM284" s="98">
        <v>5</v>
      </c>
      <c r="BN284" s="98">
        <v>1</v>
      </c>
      <c r="BO284" s="98">
        <v>1</v>
      </c>
      <c r="BP284" s="98">
        <v>4</v>
      </c>
      <c r="BQ284" s="98">
        <v>2</v>
      </c>
      <c r="BR284" s="98">
        <v>1</v>
      </c>
      <c r="BS284" s="98">
        <v>1</v>
      </c>
      <c r="BT284" s="98">
        <v>1</v>
      </c>
      <c r="BU284" s="98">
        <v>4</v>
      </c>
      <c r="BV284" s="98">
        <v>2</v>
      </c>
      <c r="BW284" s="98">
        <v>2</v>
      </c>
      <c r="BX284" s="98">
        <v>4</v>
      </c>
      <c r="BY284" s="98">
        <v>4</v>
      </c>
      <c r="BZ284" s="98">
        <v>2</v>
      </c>
      <c r="CA284" s="98">
        <v>2</v>
      </c>
      <c r="CB284" s="98">
        <v>3</v>
      </c>
      <c r="CC284" s="98">
        <v>7</v>
      </c>
      <c r="CD284" s="98">
        <v>1</v>
      </c>
      <c r="CE284" s="98">
        <v>1</v>
      </c>
      <c r="CF284" s="98">
        <v>4</v>
      </c>
      <c r="CG284" s="98">
        <v>2</v>
      </c>
      <c r="CH284" s="98">
        <v>2</v>
      </c>
      <c r="CI284" s="98">
        <v>1</v>
      </c>
      <c r="CJ284" s="98">
        <v>2</v>
      </c>
      <c r="CK284" s="98">
        <v>1</v>
      </c>
      <c r="CL284" s="98">
        <v>1</v>
      </c>
      <c r="CM284" s="98">
        <v>2</v>
      </c>
      <c r="CN284" s="98">
        <v>2</v>
      </c>
      <c r="CO284" s="98">
        <v>1</v>
      </c>
      <c r="CP284" s="98">
        <v>2</v>
      </c>
      <c r="CQ284" s="98">
        <v>2</v>
      </c>
      <c r="CR284" s="98">
        <v>3</v>
      </c>
      <c r="CS284" s="98">
        <v>3</v>
      </c>
    </row>
    <row r="285" spans="2:97" x14ac:dyDescent="0.3">
      <c r="B285" s="83" t="s">
        <v>140</v>
      </c>
      <c r="C285" s="98">
        <v>1</v>
      </c>
      <c r="D285" s="98">
        <v>3</v>
      </c>
      <c r="E285" s="98">
        <v>2</v>
      </c>
      <c r="F285" s="98">
        <v>1</v>
      </c>
      <c r="G285" s="98">
        <v>1</v>
      </c>
      <c r="H285" s="98">
        <v>3</v>
      </c>
      <c r="I285" s="98">
        <v>2</v>
      </c>
      <c r="J285" s="98">
        <v>0</v>
      </c>
      <c r="K285" s="98">
        <v>0</v>
      </c>
      <c r="L285" s="98">
        <v>1</v>
      </c>
      <c r="M285" s="98">
        <v>0</v>
      </c>
      <c r="N285" s="98">
        <v>0</v>
      </c>
      <c r="O285" s="98">
        <v>3</v>
      </c>
      <c r="P285" s="98">
        <v>0</v>
      </c>
      <c r="Q285" s="98">
        <v>1</v>
      </c>
      <c r="R285" s="98">
        <v>1</v>
      </c>
      <c r="S285" s="98">
        <v>0</v>
      </c>
      <c r="T285" s="98">
        <v>1</v>
      </c>
      <c r="U285" s="98">
        <v>8</v>
      </c>
      <c r="V285" s="98">
        <v>1</v>
      </c>
      <c r="W285" s="98">
        <v>1</v>
      </c>
      <c r="X285" s="98">
        <v>4</v>
      </c>
      <c r="Y285" s="98">
        <v>1</v>
      </c>
      <c r="Z285" s="98">
        <v>0</v>
      </c>
      <c r="AA285" s="98">
        <v>1</v>
      </c>
      <c r="AB285" s="98">
        <v>3</v>
      </c>
      <c r="AC285" s="98">
        <v>1</v>
      </c>
      <c r="AD285" s="98">
        <v>1</v>
      </c>
      <c r="AE285" s="98">
        <v>1</v>
      </c>
      <c r="AF285" s="98">
        <v>2</v>
      </c>
      <c r="AG285" s="98">
        <v>0</v>
      </c>
      <c r="AH285" s="98">
        <v>1</v>
      </c>
      <c r="AI285" s="98">
        <v>3</v>
      </c>
      <c r="AJ285" s="98">
        <v>0</v>
      </c>
      <c r="AK285" s="98">
        <v>1</v>
      </c>
      <c r="AL285" s="98">
        <v>2</v>
      </c>
      <c r="AM285" s="98">
        <v>0</v>
      </c>
      <c r="AN285" s="98">
        <v>0</v>
      </c>
      <c r="AO285" s="98">
        <v>2</v>
      </c>
      <c r="AP285" s="98">
        <v>1</v>
      </c>
      <c r="AQ285" s="98">
        <v>0</v>
      </c>
      <c r="AR285" s="98">
        <v>0</v>
      </c>
      <c r="AS285" s="98">
        <v>0</v>
      </c>
      <c r="AT285" s="98">
        <v>0</v>
      </c>
      <c r="AU285" s="98">
        <v>2</v>
      </c>
      <c r="AV285" s="98">
        <v>1</v>
      </c>
      <c r="AW285" s="98">
        <v>7</v>
      </c>
      <c r="AX285" s="98">
        <v>0</v>
      </c>
      <c r="AY285" s="98">
        <v>0</v>
      </c>
      <c r="AZ285" s="98">
        <v>1</v>
      </c>
      <c r="BA285" s="98">
        <v>0</v>
      </c>
      <c r="BB285" s="98">
        <v>1</v>
      </c>
      <c r="BC285" s="98">
        <v>2</v>
      </c>
      <c r="BD285" s="98">
        <v>1</v>
      </c>
      <c r="BE285" s="98">
        <v>1</v>
      </c>
      <c r="BF285" s="98">
        <v>0</v>
      </c>
      <c r="BG285" s="98">
        <v>2</v>
      </c>
      <c r="BH285" s="98">
        <v>1</v>
      </c>
      <c r="BI285" s="98">
        <v>5</v>
      </c>
      <c r="BJ285" s="98">
        <v>2</v>
      </c>
      <c r="BK285" s="98">
        <v>0</v>
      </c>
      <c r="BL285" s="98">
        <v>2</v>
      </c>
      <c r="BM285" s="98">
        <v>4</v>
      </c>
      <c r="BN285" s="98">
        <v>0</v>
      </c>
      <c r="BO285" s="98">
        <v>0</v>
      </c>
      <c r="BP285" s="98">
        <v>3</v>
      </c>
      <c r="BQ285" s="98">
        <v>1</v>
      </c>
      <c r="BR285" s="98">
        <v>0</v>
      </c>
      <c r="BS285" s="98">
        <v>0</v>
      </c>
      <c r="BT285" s="98">
        <v>0</v>
      </c>
      <c r="BU285" s="98">
        <v>3</v>
      </c>
      <c r="BV285" s="98">
        <v>1</v>
      </c>
      <c r="BW285" s="98">
        <v>1</v>
      </c>
      <c r="BX285" s="98">
        <v>3</v>
      </c>
      <c r="BY285" s="98">
        <v>3</v>
      </c>
      <c r="BZ285" s="98">
        <v>1</v>
      </c>
      <c r="CA285" s="98">
        <v>1</v>
      </c>
      <c r="CB285" s="98">
        <v>2</v>
      </c>
      <c r="CC285" s="98">
        <v>6</v>
      </c>
      <c r="CD285" s="98">
        <v>1</v>
      </c>
      <c r="CE285" s="98">
        <v>0</v>
      </c>
      <c r="CF285" s="98">
        <v>3</v>
      </c>
      <c r="CG285" s="98">
        <v>1</v>
      </c>
      <c r="CH285" s="98">
        <v>1</v>
      </c>
      <c r="CI285" s="98">
        <v>0</v>
      </c>
      <c r="CJ285" s="98">
        <v>1</v>
      </c>
      <c r="CK285" s="98">
        <v>0</v>
      </c>
      <c r="CL285" s="98">
        <v>0</v>
      </c>
      <c r="CM285" s="98">
        <v>1</v>
      </c>
      <c r="CN285" s="98">
        <v>1</v>
      </c>
      <c r="CO285" s="98">
        <v>0</v>
      </c>
      <c r="CP285" s="98">
        <v>1</v>
      </c>
      <c r="CQ285" s="98">
        <v>1</v>
      </c>
      <c r="CR285" s="98">
        <v>2</v>
      </c>
      <c r="CS285" s="98">
        <v>2</v>
      </c>
    </row>
    <row r="286" spans="2:97" x14ac:dyDescent="0.3">
      <c r="B286" s="83" t="s">
        <v>141</v>
      </c>
      <c r="C286" s="98">
        <v>4</v>
      </c>
      <c r="D286" s="98">
        <v>6</v>
      </c>
      <c r="E286" s="98">
        <v>5</v>
      </c>
      <c r="F286" s="98">
        <v>4</v>
      </c>
      <c r="G286" s="98">
        <v>4</v>
      </c>
      <c r="H286" s="98">
        <v>6</v>
      </c>
      <c r="I286" s="98">
        <v>5</v>
      </c>
      <c r="J286" s="98">
        <v>3</v>
      </c>
      <c r="K286" s="98">
        <v>3</v>
      </c>
      <c r="L286" s="98">
        <v>4</v>
      </c>
      <c r="M286" s="98">
        <v>3</v>
      </c>
      <c r="N286" s="98">
        <v>3</v>
      </c>
      <c r="O286" s="98">
        <v>6</v>
      </c>
      <c r="P286" s="98">
        <v>3</v>
      </c>
      <c r="Q286" s="98">
        <v>4</v>
      </c>
      <c r="R286" s="98">
        <v>4</v>
      </c>
      <c r="S286" s="98">
        <v>3</v>
      </c>
      <c r="T286" s="98">
        <v>4</v>
      </c>
      <c r="U286" s="98">
        <v>11</v>
      </c>
      <c r="V286" s="98">
        <v>4</v>
      </c>
      <c r="W286" s="98">
        <v>4</v>
      </c>
      <c r="X286" s="98">
        <v>7</v>
      </c>
      <c r="Y286" s="98">
        <v>4</v>
      </c>
      <c r="Z286" s="98">
        <v>3</v>
      </c>
      <c r="AA286" s="98">
        <v>4</v>
      </c>
      <c r="AB286" s="98">
        <v>6</v>
      </c>
      <c r="AC286" s="98">
        <v>4</v>
      </c>
      <c r="AD286" s="98">
        <v>4</v>
      </c>
      <c r="AE286" s="98">
        <v>4</v>
      </c>
      <c r="AF286" s="98">
        <v>5</v>
      </c>
      <c r="AG286" s="98">
        <v>3</v>
      </c>
      <c r="AH286" s="98">
        <v>4</v>
      </c>
      <c r="AI286" s="98">
        <v>6</v>
      </c>
      <c r="AJ286" s="98">
        <v>3</v>
      </c>
      <c r="AK286" s="98">
        <v>4</v>
      </c>
      <c r="AL286" s="98">
        <v>5</v>
      </c>
      <c r="AM286" s="98">
        <v>3</v>
      </c>
      <c r="AN286" s="98">
        <v>3</v>
      </c>
      <c r="AO286" s="98">
        <v>5</v>
      </c>
      <c r="AP286" s="98">
        <v>4</v>
      </c>
      <c r="AQ286" s="98">
        <v>3</v>
      </c>
      <c r="AR286" s="98">
        <v>3</v>
      </c>
      <c r="AS286" s="98">
        <v>3</v>
      </c>
      <c r="AT286" s="98">
        <v>3</v>
      </c>
      <c r="AU286" s="98">
        <v>5</v>
      </c>
      <c r="AV286" s="98">
        <v>4</v>
      </c>
      <c r="AW286" s="98">
        <v>10</v>
      </c>
      <c r="AX286" s="98">
        <v>3</v>
      </c>
      <c r="AY286" s="98">
        <v>3</v>
      </c>
      <c r="AZ286" s="98">
        <v>4</v>
      </c>
      <c r="BA286" s="98">
        <v>3</v>
      </c>
      <c r="BB286" s="98">
        <v>4</v>
      </c>
      <c r="BC286" s="98">
        <v>5</v>
      </c>
      <c r="BD286" s="98">
        <v>4</v>
      </c>
      <c r="BE286" s="98">
        <v>4</v>
      </c>
      <c r="BF286" s="98">
        <v>3</v>
      </c>
      <c r="BG286" s="98">
        <v>5</v>
      </c>
      <c r="BH286" s="98">
        <v>4</v>
      </c>
      <c r="BI286" s="98">
        <v>8</v>
      </c>
      <c r="BJ286" s="98">
        <v>5</v>
      </c>
      <c r="BK286" s="98">
        <v>3</v>
      </c>
      <c r="BL286" s="98">
        <v>5</v>
      </c>
      <c r="BM286" s="98">
        <v>7</v>
      </c>
      <c r="BN286" s="98">
        <v>3</v>
      </c>
      <c r="BO286" s="98">
        <v>3</v>
      </c>
      <c r="BP286" s="98">
        <v>6</v>
      </c>
      <c r="BQ286" s="98">
        <v>4</v>
      </c>
      <c r="BR286" s="98">
        <v>3</v>
      </c>
      <c r="BS286" s="98">
        <v>3</v>
      </c>
      <c r="BT286" s="98">
        <v>3</v>
      </c>
      <c r="BU286" s="98">
        <v>6</v>
      </c>
      <c r="BV286" s="98">
        <v>4</v>
      </c>
      <c r="BW286" s="98">
        <v>4</v>
      </c>
      <c r="BX286" s="98">
        <v>6</v>
      </c>
      <c r="BY286" s="98">
        <v>6</v>
      </c>
      <c r="BZ286" s="98">
        <v>4</v>
      </c>
      <c r="CA286" s="98">
        <v>4</v>
      </c>
      <c r="CB286" s="98">
        <v>5</v>
      </c>
      <c r="CC286" s="98">
        <v>9</v>
      </c>
      <c r="CD286" s="98">
        <v>4</v>
      </c>
      <c r="CE286" s="98">
        <v>3</v>
      </c>
      <c r="CF286" s="98">
        <v>3</v>
      </c>
      <c r="CG286" s="98">
        <v>4</v>
      </c>
      <c r="CH286" s="98">
        <v>4</v>
      </c>
      <c r="CI286" s="98">
        <v>3</v>
      </c>
      <c r="CJ286" s="98">
        <v>4</v>
      </c>
      <c r="CK286" s="98">
        <v>3</v>
      </c>
      <c r="CL286" s="98">
        <v>3</v>
      </c>
      <c r="CM286" s="98">
        <v>4</v>
      </c>
      <c r="CN286" s="98">
        <v>4</v>
      </c>
      <c r="CO286" s="98">
        <v>3</v>
      </c>
      <c r="CP286" s="98">
        <v>4</v>
      </c>
      <c r="CQ286" s="98">
        <v>4</v>
      </c>
      <c r="CR286" s="98">
        <v>5</v>
      </c>
      <c r="CS286" s="98">
        <v>5</v>
      </c>
    </row>
    <row r="287" spans="2:97" x14ac:dyDescent="0.3">
      <c r="B287" s="83" t="s">
        <v>142</v>
      </c>
      <c r="C287" s="98">
        <v>2</v>
      </c>
      <c r="D287" s="98">
        <v>4</v>
      </c>
      <c r="E287" s="98">
        <v>3</v>
      </c>
      <c r="F287" s="98">
        <v>2</v>
      </c>
      <c r="G287" s="98">
        <v>2</v>
      </c>
      <c r="H287" s="98">
        <v>4</v>
      </c>
      <c r="I287" s="98">
        <v>3</v>
      </c>
      <c r="J287" s="98">
        <v>1</v>
      </c>
      <c r="K287" s="98">
        <v>1</v>
      </c>
      <c r="L287" s="98">
        <v>2</v>
      </c>
      <c r="M287" s="98">
        <v>1</v>
      </c>
      <c r="N287" s="98">
        <v>1</v>
      </c>
      <c r="O287" s="98">
        <v>4</v>
      </c>
      <c r="P287" s="98">
        <v>1</v>
      </c>
      <c r="Q287" s="98">
        <v>2</v>
      </c>
      <c r="R287" s="98">
        <v>2</v>
      </c>
      <c r="S287" s="98">
        <v>1</v>
      </c>
      <c r="T287" s="98">
        <v>2</v>
      </c>
      <c r="U287" s="98">
        <v>9</v>
      </c>
      <c r="V287" s="98">
        <v>2</v>
      </c>
      <c r="W287" s="98">
        <v>2</v>
      </c>
      <c r="X287" s="98">
        <v>5</v>
      </c>
      <c r="Y287" s="98">
        <v>2</v>
      </c>
      <c r="Z287" s="98">
        <v>1</v>
      </c>
      <c r="AA287" s="98">
        <v>2</v>
      </c>
      <c r="AB287" s="98">
        <v>4</v>
      </c>
      <c r="AC287" s="98">
        <v>2</v>
      </c>
      <c r="AD287" s="98">
        <v>2</v>
      </c>
      <c r="AE287" s="98">
        <v>2</v>
      </c>
      <c r="AF287" s="98">
        <v>3</v>
      </c>
      <c r="AG287" s="98">
        <v>1</v>
      </c>
      <c r="AH287" s="98">
        <v>2</v>
      </c>
      <c r="AI287" s="98">
        <v>4</v>
      </c>
      <c r="AJ287" s="98">
        <v>1</v>
      </c>
      <c r="AK287" s="98">
        <v>2</v>
      </c>
      <c r="AL287" s="98">
        <v>3</v>
      </c>
      <c r="AM287" s="98">
        <v>1</v>
      </c>
      <c r="AN287" s="98">
        <v>1</v>
      </c>
      <c r="AO287" s="98">
        <v>3</v>
      </c>
      <c r="AP287" s="98">
        <v>2</v>
      </c>
      <c r="AQ287" s="98">
        <v>1</v>
      </c>
      <c r="AR287" s="98">
        <v>1</v>
      </c>
      <c r="AS287" s="98">
        <v>1</v>
      </c>
      <c r="AT287" s="98">
        <v>1</v>
      </c>
      <c r="AU287" s="98">
        <v>3</v>
      </c>
      <c r="AV287" s="98">
        <v>2</v>
      </c>
      <c r="AW287" s="98">
        <v>8</v>
      </c>
      <c r="AX287" s="98">
        <v>1</v>
      </c>
      <c r="AY287" s="98">
        <v>1</v>
      </c>
      <c r="AZ287" s="98">
        <v>2</v>
      </c>
      <c r="BA287" s="98">
        <v>1</v>
      </c>
      <c r="BB287" s="98">
        <v>2</v>
      </c>
      <c r="BC287" s="98">
        <v>3</v>
      </c>
      <c r="BD287" s="98">
        <v>2</v>
      </c>
      <c r="BE287" s="98">
        <v>2</v>
      </c>
      <c r="BF287" s="98">
        <v>1</v>
      </c>
      <c r="BG287" s="98">
        <v>3</v>
      </c>
      <c r="BH287" s="98">
        <v>2</v>
      </c>
      <c r="BI287" s="98">
        <v>6</v>
      </c>
      <c r="BJ287" s="98">
        <v>3</v>
      </c>
      <c r="BK287" s="98">
        <v>1</v>
      </c>
      <c r="BL287" s="98">
        <v>3</v>
      </c>
      <c r="BM287" s="98">
        <v>5</v>
      </c>
      <c r="BN287" s="98">
        <v>1</v>
      </c>
      <c r="BO287" s="98">
        <v>1</v>
      </c>
      <c r="BP287" s="98">
        <v>4</v>
      </c>
      <c r="BQ287" s="98">
        <v>2</v>
      </c>
      <c r="BR287" s="98">
        <v>1</v>
      </c>
      <c r="BS287" s="98">
        <v>1</v>
      </c>
      <c r="BT287" s="98">
        <v>1</v>
      </c>
      <c r="BU287" s="98">
        <v>4</v>
      </c>
      <c r="BV287" s="98">
        <v>2</v>
      </c>
      <c r="BW287" s="98">
        <v>2</v>
      </c>
      <c r="BX287" s="98">
        <v>4</v>
      </c>
      <c r="BY287" s="98">
        <v>4</v>
      </c>
      <c r="BZ287" s="98">
        <v>2</v>
      </c>
      <c r="CA287" s="98">
        <v>2</v>
      </c>
      <c r="CB287" s="98">
        <v>3</v>
      </c>
      <c r="CC287" s="98">
        <v>7</v>
      </c>
      <c r="CD287" s="98">
        <v>2</v>
      </c>
      <c r="CE287" s="98">
        <v>1</v>
      </c>
      <c r="CF287" s="98">
        <v>4</v>
      </c>
      <c r="CG287" s="98">
        <v>1</v>
      </c>
      <c r="CH287" s="98">
        <v>2</v>
      </c>
      <c r="CI287" s="98">
        <v>1</v>
      </c>
      <c r="CJ287" s="98">
        <v>2</v>
      </c>
      <c r="CK287" s="98">
        <v>1</v>
      </c>
      <c r="CL287" s="98">
        <v>1</v>
      </c>
      <c r="CM287" s="98">
        <v>2</v>
      </c>
      <c r="CN287" s="98">
        <v>2</v>
      </c>
      <c r="CO287" s="98">
        <v>1</v>
      </c>
      <c r="CP287" s="98">
        <v>2</v>
      </c>
      <c r="CQ287" s="98">
        <v>2</v>
      </c>
      <c r="CR287" s="98">
        <v>3</v>
      </c>
      <c r="CS287" s="98">
        <v>3</v>
      </c>
    </row>
    <row r="288" spans="2:97" x14ac:dyDescent="0.3">
      <c r="B288" s="83" t="s">
        <v>143</v>
      </c>
      <c r="C288" s="98">
        <v>2</v>
      </c>
      <c r="D288" s="98">
        <v>4</v>
      </c>
      <c r="E288" s="98">
        <v>3</v>
      </c>
      <c r="F288" s="98">
        <v>2</v>
      </c>
      <c r="G288" s="98">
        <v>2</v>
      </c>
      <c r="H288" s="98">
        <v>4</v>
      </c>
      <c r="I288" s="98">
        <v>3</v>
      </c>
      <c r="J288" s="98">
        <v>1</v>
      </c>
      <c r="K288" s="98">
        <v>1</v>
      </c>
      <c r="L288" s="98">
        <v>2</v>
      </c>
      <c r="M288" s="98">
        <v>1</v>
      </c>
      <c r="N288" s="98">
        <v>1</v>
      </c>
      <c r="O288" s="98">
        <v>4</v>
      </c>
      <c r="P288" s="98">
        <v>1</v>
      </c>
      <c r="Q288" s="98">
        <v>2</v>
      </c>
      <c r="R288" s="98">
        <v>2</v>
      </c>
      <c r="S288" s="98">
        <v>1</v>
      </c>
      <c r="T288" s="98">
        <v>2</v>
      </c>
      <c r="U288" s="98">
        <v>9</v>
      </c>
      <c r="V288" s="98">
        <v>2</v>
      </c>
      <c r="W288" s="98">
        <v>2</v>
      </c>
      <c r="X288" s="98">
        <v>5</v>
      </c>
      <c r="Y288" s="98">
        <v>2</v>
      </c>
      <c r="Z288" s="98">
        <v>1</v>
      </c>
      <c r="AA288" s="98">
        <v>2</v>
      </c>
      <c r="AB288" s="98">
        <v>4</v>
      </c>
      <c r="AC288" s="98">
        <v>2</v>
      </c>
      <c r="AD288" s="98">
        <v>2</v>
      </c>
      <c r="AE288" s="98">
        <v>2</v>
      </c>
      <c r="AF288" s="98">
        <v>3</v>
      </c>
      <c r="AG288" s="98">
        <v>1</v>
      </c>
      <c r="AH288" s="98">
        <v>2</v>
      </c>
      <c r="AI288" s="98">
        <v>4</v>
      </c>
      <c r="AJ288" s="98">
        <v>1</v>
      </c>
      <c r="AK288" s="98">
        <v>2</v>
      </c>
      <c r="AL288" s="98">
        <v>3</v>
      </c>
      <c r="AM288" s="98">
        <v>1</v>
      </c>
      <c r="AN288" s="98">
        <v>1</v>
      </c>
      <c r="AO288" s="98">
        <v>3</v>
      </c>
      <c r="AP288" s="98">
        <v>2</v>
      </c>
      <c r="AQ288" s="98">
        <v>1</v>
      </c>
      <c r="AR288" s="98">
        <v>1</v>
      </c>
      <c r="AS288" s="98">
        <v>1</v>
      </c>
      <c r="AT288" s="98">
        <v>1</v>
      </c>
      <c r="AU288" s="98">
        <v>3</v>
      </c>
      <c r="AV288" s="98">
        <v>2</v>
      </c>
      <c r="AW288" s="98">
        <v>8</v>
      </c>
      <c r="AX288" s="98">
        <v>1</v>
      </c>
      <c r="AY288" s="98">
        <v>1</v>
      </c>
      <c r="AZ288" s="98">
        <v>2</v>
      </c>
      <c r="BA288" s="98">
        <v>1</v>
      </c>
      <c r="BB288" s="98">
        <v>2</v>
      </c>
      <c r="BC288" s="98">
        <v>3</v>
      </c>
      <c r="BD288" s="98">
        <v>2</v>
      </c>
      <c r="BE288" s="98">
        <v>2</v>
      </c>
      <c r="BF288" s="98">
        <v>1</v>
      </c>
      <c r="BG288" s="98">
        <v>3</v>
      </c>
      <c r="BH288" s="98">
        <v>2</v>
      </c>
      <c r="BI288" s="98">
        <v>6</v>
      </c>
      <c r="BJ288" s="98">
        <v>3</v>
      </c>
      <c r="BK288" s="98">
        <v>1</v>
      </c>
      <c r="BL288" s="98">
        <v>3</v>
      </c>
      <c r="BM288" s="98">
        <v>5</v>
      </c>
      <c r="BN288" s="98">
        <v>1</v>
      </c>
      <c r="BO288" s="98">
        <v>1</v>
      </c>
      <c r="BP288" s="98">
        <v>4</v>
      </c>
      <c r="BQ288" s="98">
        <v>2</v>
      </c>
      <c r="BR288" s="98">
        <v>1</v>
      </c>
      <c r="BS288" s="98">
        <v>1</v>
      </c>
      <c r="BT288" s="98">
        <v>1</v>
      </c>
      <c r="BU288" s="98">
        <v>4</v>
      </c>
      <c r="BV288" s="98">
        <v>2</v>
      </c>
      <c r="BW288" s="98">
        <v>2</v>
      </c>
      <c r="BX288" s="98">
        <v>4</v>
      </c>
      <c r="BY288" s="98">
        <v>4</v>
      </c>
      <c r="BZ288" s="98">
        <v>2</v>
      </c>
      <c r="CA288" s="98">
        <v>2</v>
      </c>
      <c r="CB288" s="98">
        <v>3</v>
      </c>
      <c r="CC288" s="98">
        <v>7</v>
      </c>
      <c r="CD288" s="98">
        <v>2</v>
      </c>
      <c r="CE288" s="98">
        <v>1</v>
      </c>
      <c r="CF288" s="98">
        <v>4</v>
      </c>
      <c r="CG288" s="98">
        <v>2</v>
      </c>
      <c r="CH288" s="98">
        <v>1</v>
      </c>
      <c r="CI288" s="98">
        <v>1</v>
      </c>
      <c r="CJ288" s="98">
        <v>2</v>
      </c>
      <c r="CK288" s="98">
        <v>1</v>
      </c>
      <c r="CL288" s="98">
        <v>1</v>
      </c>
      <c r="CM288" s="98">
        <v>2</v>
      </c>
      <c r="CN288" s="98">
        <v>2</v>
      </c>
      <c r="CO288" s="98">
        <v>1</v>
      </c>
      <c r="CP288" s="98">
        <v>2</v>
      </c>
      <c r="CQ288" s="98">
        <v>2</v>
      </c>
      <c r="CR288" s="98">
        <v>3</v>
      </c>
      <c r="CS288" s="98">
        <v>3</v>
      </c>
    </row>
    <row r="289" spans="2:97" x14ac:dyDescent="0.3">
      <c r="B289" s="83" t="s">
        <v>144</v>
      </c>
      <c r="C289" s="98">
        <v>1</v>
      </c>
      <c r="D289" s="98">
        <v>3</v>
      </c>
      <c r="E289" s="98">
        <v>2</v>
      </c>
      <c r="F289" s="98">
        <v>1</v>
      </c>
      <c r="G289" s="98">
        <v>1</v>
      </c>
      <c r="H289" s="98">
        <v>3</v>
      </c>
      <c r="I289" s="98">
        <v>2</v>
      </c>
      <c r="J289" s="98">
        <v>0</v>
      </c>
      <c r="K289" s="98">
        <v>0</v>
      </c>
      <c r="L289" s="98">
        <v>1</v>
      </c>
      <c r="M289" s="98">
        <v>0</v>
      </c>
      <c r="N289" s="98">
        <v>0</v>
      </c>
      <c r="O289" s="98">
        <v>3</v>
      </c>
      <c r="P289" s="98">
        <v>0</v>
      </c>
      <c r="Q289" s="98">
        <v>1</v>
      </c>
      <c r="R289" s="98">
        <v>1</v>
      </c>
      <c r="S289" s="98">
        <v>0</v>
      </c>
      <c r="T289" s="98">
        <v>1</v>
      </c>
      <c r="U289" s="98">
        <v>8</v>
      </c>
      <c r="V289" s="98">
        <v>1</v>
      </c>
      <c r="W289" s="98">
        <v>1</v>
      </c>
      <c r="X289" s="98">
        <v>4</v>
      </c>
      <c r="Y289" s="98">
        <v>1</v>
      </c>
      <c r="Z289" s="98">
        <v>0</v>
      </c>
      <c r="AA289" s="98">
        <v>1</v>
      </c>
      <c r="AB289" s="98">
        <v>3</v>
      </c>
      <c r="AC289" s="98">
        <v>1</v>
      </c>
      <c r="AD289" s="98">
        <v>1</v>
      </c>
      <c r="AE289" s="98">
        <v>1</v>
      </c>
      <c r="AF289" s="98">
        <v>2</v>
      </c>
      <c r="AG289" s="98">
        <v>0</v>
      </c>
      <c r="AH289" s="98">
        <v>1</v>
      </c>
      <c r="AI289" s="98">
        <v>3</v>
      </c>
      <c r="AJ289" s="98">
        <v>0</v>
      </c>
      <c r="AK289" s="98">
        <v>1</v>
      </c>
      <c r="AL289" s="98">
        <v>2</v>
      </c>
      <c r="AM289" s="98">
        <v>0</v>
      </c>
      <c r="AN289" s="98">
        <v>0</v>
      </c>
      <c r="AO289" s="98">
        <v>2</v>
      </c>
      <c r="AP289" s="98">
        <v>1</v>
      </c>
      <c r="AQ289" s="98">
        <v>0</v>
      </c>
      <c r="AR289" s="98">
        <v>0</v>
      </c>
      <c r="AS289" s="98">
        <v>0</v>
      </c>
      <c r="AT289" s="98">
        <v>0</v>
      </c>
      <c r="AU289" s="98">
        <v>2</v>
      </c>
      <c r="AV289" s="98">
        <v>1</v>
      </c>
      <c r="AW289" s="98">
        <v>7</v>
      </c>
      <c r="AX289" s="98">
        <v>0</v>
      </c>
      <c r="AY289" s="98">
        <v>0</v>
      </c>
      <c r="AZ289" s="98">
        <v>1</v>
      </c>
      <c r="BA289" s="98">
        <v>0</v>
      </c>
      <c r="BB289" s="98">
        <v>1</v>
      </c>
      <c r="BC289" s="98">
        <v>2</v>
      </c>
      <c r="BD289" s="98">
        <v>1</v>
      </c>
      <c r="BE289" s="98">
        <v>1</v>
      </c>
      <c r="BF289" s="98">
        <v>0</v>
      </c>
      <c r="BG289" s="98">
        <v>2</v>
      </c>
      <c r="BH289" s="98">
        <v>1</v>
      </c>
      <c r="BI289" s="98">
        <v>5</v>
      </c>
      <c r="BJ289" s="98">
        <v>2</v>
      </c>
      <c r="BK289" s="98">
        <v>0</v>
      </c>
      <c r="BL289" s="98">
        <v>2</v>
      </c>
      <c r="BM289" s="98">
        <v>4</v>
      </c>
      <c r="BN289" s="98">
        <v>0</v>
      </c>
      <c r="BO289" s="98">
        <v>0</v>
      </c>
      <c r="BP289" s="98">
        <v>3</v>
      </c>
      <c r="BQ289" s="98">
        <v>1</v>
      </c>
      <c r="BR289" s="98">
        <v>0</v>
      </c>
      <c r="BS289" s="98">
        <v>0</v>
      </c>
      <c r="BT289" s="98">
        <v>0</v>
      </c>
      <c r="BU289" s="98">
        <v>3</v>
      </c>
      <c r="BV289" s="98">
        <v>1</v>
      </c>
      <c r="BW289" s="98">
        <v>1</v>
      </c>
      <c r="BX289" s="98">
        <v>3</v>
      </c>
      <c r="BY289" s="98">
        <v>3</v>
      </c>
      <c r="BZ289" s="98">
        <v>1</v>
      </c>
      <c r="CA289" s="98">
        <v>1</v>
      </c>
      <c r="CB289" s="98">
        <v>2</v>
      </c>
      <c r="CC289" s="98">
        <v>6</v>
      </c>
      <c r="CD289" s="98">
        <v>1</v>
      </c>
      <c r="CE289" s="98">
        <v>0</v>
      </c>
      <c r="CF289" s="98">
        <v>3</v>
      </c>
      <c r="CG289" s="98">
        <v>1</v>
      </c>
      <c r="CH289" s="98">
        <v>1</v>
      </c>
      <c r="CI289" s="98">
        <v>0</v>
      </c>
      <c r="CJ289" s="98">
        <v>1</v>
      </c>
      <c r="CK289" s="98">
        <v>0</v>
      </c>
      <c r="CL289" s="98">
        <v>0</v>
      </c>
      <c r="CM289" s="98">
        <v>1</v>
      </c>
      <c r="CN289" s="98">
        <v>1</v>
      </c>
      <c r="CO289" s="98">
        <v>0</v>
      </c>
      <c r="CP289" s="98">
        <v>1</v>
      </c>
      <c r="CQ289" s="98">
        <v>1</v>
      </c>
      <c r="CR289" s="98">
        <v>2</v>
      </c>
      <c r="CS289" s="98">
        <v>2</v>
      </c>
    </row>
    <row r="290" spans="2:97" x14ac:dyDescent="0.3">
      <c r="B290" s="83" t="s">
        <v>145</v>
      </c>
      <c r="C290" s="98">
        <v>2</v>
      </c>
      <c r="D290" s="98">
        <v>4</v>
      </c>
      <c r="E290" s="98">
        <v>3</v>
      </c>
      <c r="F290" s="98">
        <v>2</v>
      </c>
      <c r="G290" s="98">
        <v>2</v>
      </c>
      <c r="H290" s="98">
        <v>4</v>
      </c>
      <c r="I290" s="98">
        <v>3</v>
      </c>
      <c r="J290" s="98">
        <v>1</v>
      </c>
      <c r="K290" s="98">
        <v>1</v>
      </c>
      <c r="L290" s="98">
        <v>2</v>
      </c>
      <c r="M290" s="98">
        <v>1</v>
      </c>
      <c r="N290" s="98">
        <v>1</v>
      </c>
      <c r="O290" s="98">
        <v>4</v>
      </c>
      <c r="P290" s="98">
        <v>1</v>
      </c>
      <c r="Q290" s="98">
        <v>2</v>
      </c>
      <c r="R290" s="98">
        <v>2</v>
      </c>
      <c r="S290" s="98">
        <v>1</v>
      </c>
      <c r="T290" s="98">
        <v>2</v>
      </c>
      <c r="U290" s="98">
        <v>9</v>
      </c>
      <c r="V290" s="98">
        <v>2</v>
      </c>
      <c r="W290" s="98">
        <v>2</v>
      </c>
      <c r="X290" s="98">
        <v>5</v>
      </c>
      <c r="Y290" s="98">
        <v>2</v>
      </c>
      <c r="Z290" s="98">
        <v>1</v>
      </c>
      <c r="AA290" s="98">
        <v>2</v>
      </c>
      <c r="AB290" s="98">
        <v>4</v>
      </c>
      <c r="AC290" s="98">
        <v>2</v>
      </c>
      <c r="AD290" s="98">
        <v>2</v>
      </c>
      <c r="AE290" s="98">
        <v>2</v>
      </c>
      <c r="AF290" s="98">
        <v>3</v>
      </c>
      <c r="AG290" s="98">
        <v>1</v>
      </c>
      <c r="AH290" s="98">
        <v>2</v>
      </c>
      <c r="AI290" s="98">
        <v>4</v>
      </c>
      <c r="AJ290" s="98">
        <v>1</v>
      </c>
      <c r="AK290" s="98">
        <v>2</v>
      </c>
      <c r="AL290" s="98">
        <v>3</v>
      </c>
      <c r="AM290" s="98">
        <v>1</v>
      </c>
      <c r="AN290" s="98">
        <v>1</v>
      </c>
      <c r="AO290" s="98">
        <v>3</v>
      </c>
      <c r="AP290" s="98">
        <v>2</v>
      </c>
      <c r="AQ290" s="98">
        <v>1</v>
      </c>
      <c r="AR290" s="98">
        <v>1</v>
      </c>
      <c r="AS290" s="98">
        <v>1</v>
      </c>
      <c r="AT290" s="98">
        <v>1</v>
      </c>
      <c r="AU290" s="98">
        <v>3</v>
      </c>
      <c r="AV290" s="98">
        <v>2</v>
      </c>
      <c r="AW290" s="98">
        <v>8</v>
      </c>
      <c r="AX290" s="98">
        <v>1</v>
      </c>
      <c r="AY290" s="98">
        <v>1</v>
      </c>
      <c r="AZ290" s="98">
        <v>2</v>
      </c>
      <c r="BA290" s="98">
        <v>1</v>
      </c>
      <c r="BB290" s="98">
        <v>2</v>
      </c>
      <c r="BC290" s="98">
        <v>3</v>
      </c>
      <c r="BD290" s="98">
        <v>2</v>
      </c>
      <c r="BE290" s="98">
        <v>2</v>
      </c>
      <c r="BF290" s="98">
        <v>1</v>
      </c>
      <c r="BG290" s="98">
        <v>3</v>
      </c>
      <c r="BH290" s="98">
        <v>2</v>
      </c>
      <c r="BI290" s="98">
        <v>6</v>
      </c>
      <c r="BJ290" s="98">
        <v>3</v>
      </c>
      <c r="BK290" s="98">
        <v>1</v>
      </c>
      <c r="BL290" s="98">
        <v>3</v>
      </c>
      <c r="BM290" s="98">
        <v>5</v>
      </c>
      <c r="BN290" s="98">
        <v>1</v>
      </c>
      <c r="BO290" s="98">
        <v>1</v>
      </c>
      <c r="BP290" s="98">
        <v>4</v>
      </c>
      <c r="BQ290" s="98">
        <v>2</v>
      </c>
      <c r="BR290" s="98">
        <v>1</v>
      </c>
      <c r="BS290" s="98">
        <v>1</v>
      </c>
      <c r="BT290" s="98">
        <v>1</v>
      </c>
      <c r="BU290" s="98">
        <v>4</v>
      </c>
      <c r="BV290" s="98">
        <v>2</v>
      </c>
      <c r="BW290" s="98">
        <v>2</v>
      </c>
      <c r="BX290" s="98">
        <v>4</v>
      </c>
      <c r="BY290" s="98">
        <v>4</v>
      </c>
      <c r="BZ290" s="98">
        <v>2</v>
      </c>
      <c r="CA290" s="98">
        <v>2</v>
      </c>
      <c r="CB290" s="98">
        <v>3</v>
      </c>
      <c r="CC290" s="98">
        <v>7</v>
      </c>
      <c r="CD290" s="98">
        <v>2</v>
      </c>
      <c r="CE290" s="98">
        <v>1</v>
      </c>
      <c r="CF290" s="98">
        <v>4</v>
      </c>
      <c r="CG290" s="98">
        <v>2</v>
      </c>
      <c r="CH290" s="98">
        <v>2</v>
      </c>
      <c r="CI290" s="98">
        <v>1</v>
      </c>
      <c r="CJ290" s="98">
        <v>1</v>
      </c>
      <c r="CK290" s="98">
        <v>1</v>
      </c>
      <c r="CL290" s="98">
        <v>1</v>
      </c>
      <c r="CM290" s="98">
        <v>2</v>
      </c>
      <c r="CN290" s="98">
        <v>2</v>
      </c>
      <c r="CO290" s="98">
        <v>1</v>
      </c>
      <c r="CP290" s="98">
        <v>2</v>
      </c>
      <c r="CQ290" s="98">
        <v>2</v>
      </c>
      <c r="CR290" s="98">
        <v>3</v>
      </c>
      <c r="CS290" s="98">
        <v>3</v>
      </c>
    </row>
    <row r="291" spans="2:97" x14ac:dyDescent="0.3">
      <c r="B291" s="83" t="s">
        <v>146</v>
      </c>
      <c r="C291" s="98">
        <v>1</v>
      </c>
      <c r="D291" s="98">
        <v>3</v>
      </c>
      <c r="E291" s="98">
        <v>2</v>
      </c>
      <c r="F291" s="98">
        <v>1</v>
      </c>
      <c r="G291" s="98">
        <v>1</v>
      </c>
      <c r="H291" s="98">
        <v>3</v>
      </c>
      <c r="I291" s="98">
        <v>2</v>
      </c>
      <c r="J291" s="98">
        <v>0</v>
      </c>
      <c r="K291" s="98">
        <v>0</v>
      </c>
      <c r="L291" s="98">
        <v>1</v>
      </c>
      <c r="M291" s="98">
        <v>0</v>
      </c>
      <c r="N291" s="98">
        <v>0</v>
      </c>
      <c r="O291" s="98">
        <v>3</v>
      </c>
      <c r="P291" s="98">
        <v>0</v>
      </c>
      <c r="Q291" s="98">
        <v>1</v>
      </c>
      <c r="R291" s="98">
        <v>1</v>
      </c>
      <c r="S291" s="98">
        <v>0</v>
      </c>
      <c r="T291" s="98">
        <v>1</v>
      </c>
      <c r="U291" s="98">
        <v>8</v>
      </c>
      <c r="V291" s="98">
        <v>1</v>
      </c>
      <c r="W291" s="98">
        <v>1</v>
      </c>
      <c r="X291" s="98">
        <v>4</v>
      </c>
      <c r="Y291" s="98">
        <v>1</v>
      </c>
      <c r="Z291" s="98">
        <v>0</v>
      </c>
      <c r="AA291" s="98">
        <v>1</v>
      </c>
      <c r="AB291" s="98">
        <v>3</v>
      </c>
      <c r="AC291" s="98">
        <v>1</v>
      </c>
      <c r="AD291" s="98">
        <v>1</v>
      </c>
      <c r="AE291" s="98">
        <v>1</v>
      </c>
      <c r="AF291" s="98">
        <v>2</v>
      </c>
      <c r="AG291" s="98">
        <v>0</v>
      </c>
      <c r="AH291" s="98">
        <v>1</v>
      </c>
      <c r="AI291" s="98">
        <v>3</v>
      </c>
      <c r="AJ291" s="98">
        <v>0</v>
      </c>
      <c r="AK291" s="98">
        <v>1</v>
      </c>
      <c r="AL291" s="98">
        <v>2</v>
      </c>
      <c r="AM291" s="98">
        <v>0</v>
      </c>
      <c r="AN291" s="98">
        <v>0</v>
      </c>
      <c r="AO291" s="98">
        <v>2</v>
      </c>
      <c r="AP291" s="98">
        <v>1</v>
      </c>
      <c r="AQ291" s="98">
        <v>0</v>
      </c>
      <c r="AR291" s="98">
        <v>0</v>
      </c>
      <c r="AS291" s="98">
        <v>0</v>
      </c>
      <c r="AT291" s="98">
        <v>0</v>
      </c>
      <c r="AU291" s="98">
        <v>2</v>
      </c>
      <c r="AV291" s="98">
        <v>1</v>
      </c>
      <c r="AW291" s="98">
        <v>7</v>
      </c>
      <c r="AX291" s="98">
        <v>0</v>
      </c>
      <c r="AY291" s="98">
        <v>0</v>
      </c>
      <c r="AZ291" s="98">
        <v>1</v>
      </c>
      <c r="BA291" s="98">
        <v>0</v>
      </c>
      <c r="BB291" s="98">
        <v>1</v>
      </c>
      <c r="BC291" s="98">
        <v>2</v>
      </c>
      <c r="BD291" s="98">
        <v>1</v>
      </c>
      <c r="BE291" s="98">
        <v>1</v>
      </c>
      <c r="BF291" s="98">
        <v>0</v>
      </c>
      <c r="BG291" s="98">
        <v>2</v>
      </c>
      <c r="BH291" s="98">
        <v>1</v>
      </c>
      <c r="BI291" s="98">
        <v>5</v>
      </c>
      <c r="BJ291" s="98">
        <v>2</v>
      </c>
      <c r="BK291" s="98">
        <v>0</v>
      </c>
      <c r="BL291" s="98">
        <v>2</v>
      </c>
      <c r="BM291" s="98">
        <v>4</v>
      </c>
      <c r="BN291" s="98">
        <v>0</v>
      </c>
      <c r="BO291" s="98">
        <v>0</v>
      </c>
      <c r="BP291" s="98">
        <v>3</v>
      </c>
      <c r="BQ291" s="98">
        <v>1</v>
      </c>
      <c r="BR291" s="98">
        <v>0</v>
      </c>
      <c r="BS291" s="98">
        <v>0</v>
      </c>
      <c r="BT291" s="98">
        <v>0</v>
      </c>
      <c r="BU291" s="98">
        <v>3</v>
      </c>
      <c r="BV291" s="98">
        <v>1</v>
      </c>
      <c r="BW291" s="98">
        <v>1</v>
      </c>
      <c r="BX291" s="98">
        <v>3</v>
      </c>
      <c r="BY291" s="98">
        <v>3</v>
      </c>
      <c r="BZ291" s="98">
        <v>1</v>
      </c>
      <c r="CA291" s="98">
        <v>1</v>
      </c>
      <c r="CB291" s="98">
        <v>2</v>
      </c>
      <c r="CC291" s="98">
        <v>6</v>
      </c>
      <c r="CD291" s="98">
        <v>1</v>
      </c>
      <c r="CE291" s="98">
        <v>0</v>
      </c>
      <c r="CF291" s="98">
        <v>3</v>
      </c>
      <c r="CG291" s="98">
        <v>1</v>
      </c>
      <c r="CH291" s="98">
        <v>1</v>
      </c>
      <c r="CI291" s="98">
        <v>0</v>
      </c>
      <c r="CJ291" s="98">
        <v>1</v>
      </c>
      <c r="CK291" s="98">
        <v>0</v>
      </c>
      <c r="CL291" s="98">
        <v>0</v>
      </c>
      <c r="CM291" s="98">
        <v>1</v>
      </c>
      <c r="CN291" s="98">
        <v>1</v>
      </c>
      <c r="CO291" s="98">
        <v>0</v>
      </c>
      <c r="CP291" s="98">
        <v>1</v>
      </c>
      <c r="CQ291" s="98">
        <v>1</v>
      </c>
      <c r="CR291" s="98">
        <v>2</v>
      </c>
      <c r="CS291" s="98">
        <v>2</v>
      </c>
    </row>
    <row r="292" spans="2:97" x14ac:dyDescent="0.3">
      <c r="B292" s="83" t="s">
        <v>147</v>
      </c>
      <c r="C292" s="98">
        <v>1</v>
      </c>
      <c r="D292" s="98">
        <v>3</v>
      </c>
      <c r="E292" s="98">
        <v>2</v>
      </c>
      <c r="F292" s="98">
        <v>1</v>
      </c>
      <c r="G292" s="98">
        <v>1</v>
      </c>
      <c r="H292" s="98">
        <v>3</v>
      </c>
      <c r="I292" s="98">
        <v>2</v>
      </c>
      <c r="J292" s="98">
        <v>0</v>
      </c>
      <c r="K292" s="98">
        <v>0</v>
      </c>
      <c r="L292" s="98">
        <v>1</v>
      </c>
      <c r="M292" s="98">
        <v>0</v>
      </c>
      <c r="N292" s="98">
        <v>0</v>
      </c>
      <c r="O292" s="98">
        <v>3</v>
      </c>
      <c r="P292" s="98">
        <v>0</v>
      </c>
      <c r="Q292" s="98">
        <v>1</v>
      </c>
      <c r="R292" s="98">
        <v>1</v>
      </c>
      <c r="S292" s="98">
        <v>0</v>
      </c>
      <c r="T292" s="98">
        <v>1</v>
      </c>
      <c r="U292" s="98">
        <v>8</v>
      </c>
      <c r="V292" s="98">
        <v>1</v>
      </c>
      <c r="W292" s="98">
        <v>1</v>
      </c>
      <c r="X292" s="98">
        <v>4</v>
      </c>
      <c r="Y292" s="98">
        <v>1</v>
      </c>
      <c r="Z292" s="98">
        <v>0</v>
      </c>
      <c r="AA292" s="98">
        <v>1</v>
      </c>
      <c r="AB292" s="98">
        <v>3</v>
      </c>
      <c r="AC292" s="98">
        <v>1</v>
      </c>
      <c r="AD292" s="98">
        <v>1</v>
      </c>
      <c r="AE292" s="98">
        <v>1</v>
      </c>
      <c r="AF292" s="98">
        <v>2</v>
      </c>
      <c r="AG292" s="98">
        <v>0</v>
      </c>
      <c r="AH292" s="98">
        <v>1</v>
      </c>
      <c r="AI292" s="98">
        <v>3</v>
      </c>
      <c r="AJ292" s="98">
        <v>0</v>
      </c>
      <c r="AK292" s="98">
        <v>1</v>
      </c>
      <c r="AL292" s="98">
        <v>2</v>
      </c>
      <c r="AM292" s="98">
        <v>0</v>
      </c>
      <c r="AN292" s="98">
        <v>0</v>
      </c>
      <c r="AO292" s="98">
        <v>2</v>
      </c>
      <c r="AP292" s="98">
        <v>1</v>
      </c>
      <c r="AQ292" s="98">
        <v>0</v>
      </c>
      <c r="AR292" s="98">
        <v>0</v>
      </c>
      <c r="AS292" s="98">
        <v>0</v>
      </c>
      <c r="AT292" s="98">
        <v>0</v>
      </c>
      <c r="AU292" s="98">
        <v>2</v>
      </c>
      <c r="AV292" s="98">
        <v>1</v>
      </c>
      <c r="AW292" s="98">
        <v>7</v>
      </c>
      <c r="AX292" s="98">
        <v>0</v>
      </c>
      <c r="AY292" s="98">
        <v>0</v>
      </c>
      <c r="AZ292" s="98">
        <v>1</v>
      </c>
      <c r="BA292" s="98">
        <v>0</v>
      </c>
      <c r="BB292" s="98">
        <v>1</v>
      </c>
      <c r="BC292" s="98">
        <v>2</v>
      </c>
      <c r="BD292" s="98">
        <v>1</v>
      </c>
      <c r="BE292" s="98">
        <v>1</v>
      </c>
      <c r="BF292" s="98">
        <v>0</v>
      </c>
      <c r="BG292" s="98">
        <v>2</v>
      </c>
      <c r="BH292" s="98">
        <v>1</v>
      </c>
      <c r="BI292" s="98">
        <v>5</v>
      </c>
      <c r="BJ292" s="98">
        <v>2</v>
      </c>
      <c r="BK292" s="98">
        <v>0</v>
      </c>
      <c r="BL292" s="98">
        <v>2</v>
      </c>
      <c r="BM292" s="98">
        <v>4</v>
      </c>
      <c r="BN292" s="98">
        <v>0</v>
      </c>
      <c r="BO292" s="98">
        <v>0</v>
      </c>
      <c r="BP292" s="98">
        <v>3</v>
      </c>
      <c r="BQ292" s="98">
        <v>1</v>
      </c>
      <c r="BR292" s="98">
        <v>0</v>
      </c>
      <c r="BS292" s="98">
        <v>0</v>
      </c>
      <c r="BT292" s="98">
        <v>0</v>
      </c>
      <c r="BU292" s="98">
        <v>3</v>
      </c>
      <c r="BV292" s="98">
        <v>1</v>
      </c>
      <c r="BW292" s="98">
        <v>1</v>
      </c>
      <c r="BX292" s="98">
        <v>3</v>
      </c>
      <c r="BY292" s="98">
        <v>3</v>
      </c>
      <c r="BZ292" s="98">
        <v>1</v>
      </c>
      <c r="CA292" s="98">
        <v>1</v>
      </c>
      <c r="CB292" s="98">
        <v>2</v>
      </c>
      <c r="CC292" s="98">
        <v>6</v>
      </c>
      <c r="CD292" s="98">
        <v>1</v>
      </c>
      <c r="CE292" s="98">
        <v>0</v>
      </c>
      <c r="CF292" s="98">
        <v>3</v>
      </c>
      <c r="CG292" s="98">
        <v>1</v>
      </c>
      <c r="CH292" s="98">
        <v>1</v>
      </c>
      <c r="CI292" s="98">
        <v>0</v>
      </c>
      <c r="CJ292" s="98">
        <v>1</v>
      </c>
      <c r="CK292" s="98">
        <v>0</v>
      </c>
      <c r="CL292" s="98">
        <v>0</v>
      </c>
      <c r="CM292" s="98">
        <v>1</v>
      </c>
      <c r="CN292" s="98">
        <v>1</v>
      </c>
      <c r="CO292" s="98">
        <v>0</v>
      </c>
      <c r="CP292" s="98">
        <v>1</v>
      </c>
      <c r="CQ292" s="98">
        <v>1</v>
      </c>
      <c r="CR292" s="98">
        <v>2</v>
      </c>
      <c r="CS292" s="98">
        <v>2</v>
      </c>
    </row>
    <row r="293" spans="2:97" x14ac:dyDescent="0.3">
      <c r="B293" s="83" t="s">
        <v>148</v>
      </c>
      <c r="C293" s="98">
        <v>2</v>
      </c>
      <c r="D293" s="98">
        <v>4</v>
      </c>
      <c r="E293" s="98">
        <v>3</v>
      </c>
      <c r="F293" s="98">
        <v>2</v>
      </c>
      <c r="G293" s="98">
        <v>2</v>
      </c>
      <c r="H293" s="98">
        <v>4</v>
      </c>
      <c r="I293" s="98">
        <v>3</v>
      </c>
      <c r="J293" s="98">
        <v>1</v>
      </c>
      <c r="K293" s="98">
        <v>1</v>
      </c>
      <c r="L293" s="98">
        <v>2</v>
      </c>
      <c r="M293" s="98">
        <v>1</v>
      </c>
      <c r="N293" s="98">
        <v>1</v>
      </c>
      <c r="O293" s="98">
        <v>4</v>
      </c>
      <c r="P293" s="98">
        <v>1</v>
      </c>
      <c r="Q293" s="98">
        <v>2</v>
      </c>
      <c r="R293" s="98">
        <v>2</v>
      </c>
      <c r="S293" s="98">
        <v>1</v>
      </c>
      <c r="T293" s="98">
        <v>2</v>
      </c>
      <c r="U293" s="98">
        <v>9</v>
      </c>
      <c r="V293" s="98">
        <v>2</v>
      </c>
      <c r="W293" s="98">
        <v>2</v>
      </c>
      <c r="X293" s="98">
        <v>5</v>
      </c>
      <c r="Y293" s="98">
        <v>2</v>
      </c>
      <c r="Z293" s="98">
        <v>1</v>
      </c>
      <c r="AA293" s="98">
        <v>2</v>
      </c>
      <c r="AB293" s="98">
        <v>4</v>
      </c>
      <c r="AC293" s="98">
        <v>2</v>
      </c>
      <c r="AD293" s="98">
        <v>2</v>
      </c>
      <c r="AE293" s="98">
        <v>2</v>
      </c>
      <c r="AF293" s="98">
        <v>3</v>
      </c>
      <c r="AG293" s="98">
        <v>1</v>
      </c>
      <c r="AH293" s="98">
        <v>2</v>
      </c>
      <c r="AI293" s="98">
        <v>4</v>
      </c>
      <c r="AJ293" s="98">
        <v>1</v>
      </c>
      <c r="AK293" s="98">
        <v>2</v>
      </c>
      <c r="AL293" s="98">
        <v>3</v>
      </c>
      <c r="AM293" s="98">
        <v>1</v>
      </c>
      <c r="AN293" s="98">
        <v>1</v>
      </c>
      <c r="AO293" s="98">
        <v>3</v>
      </c>
      <c r="AP293" s="98">
        <v>2</v>
      </c>
      <c r="AQ293" s="98">
        <v>1</v>
      </c>
      <c r="AR293" s="98">
        <v>1</v>
      </c>
      <c r="AS293" s="98">
        <v>1</v>
      </c>
      <c r="AT293" s="98">
        <v>1</v>
      </c>
      <c r="AU293" s="98">
        <v>3</v>
      </c>
      <c r="AV293" s="98">
        <v>2</v>
      </c>
      <c r="AW293" s="98">
        <v>8</v>
      </c>
      <c r="AX293" s="98">
        <v>1</v>
      </c>
      <c r="AY293" s="98">
        <v>1</v>
      </c>
      <c r="AZ293" s="98">
        <v>2</v>
      </c>
      <c r="BA293" s="98">
        <v>1</v>
      </c>
      <c r="BB293" s="98">
        <v>2</v>
      </c>
      <c r="BC293" s="98">
        <v>3</v>
      </c>
      <c r="BD293" s="98">
        <v>2</v>
      </c>
      <c r="BE293" s="98">
        <v>2</v>
      </c>
      <c r="BF293" s="98">
        <v>1</v>
      </c>
      <c r="BG293" s="98">
        <v>3</v>
      </c>
      <c r="BH293" s="98">
        <v>2</v>
      </c>
      <c r="BI293" s="98">
        <v>6</v>
      </c>
      <c r="BJ293" s="98">
        <v>3</v>
      </c>
      <c r="BK293" s="98">
        <v>1</v>
      </c>
      <c r="BL293" s="98">
        <v>3</v>
      </c>
      <c r="BM293" s="98">
        <v>5</v>
      </c>
      <c r="BN293" s="98">
        <v>1</v>
      </c>
      <c r="BO293" s="98">
        <v>1</v>
      </c>
      <c r="BP293" s="98">
        <v>4</v>
      </c>
      <c r="BQ293" s="98">
        <v>2</v>
      </c>
      <c r="BR293" s="98">
        <v>1</v>
      </c>
      <c r="BS293" s="98">
        <v>1</v>
      </c>
      <c r="BT293" s="98">
        <v>1</v>
      </c>
      <c r="BU293" s="98">
        <v>4</v>
      </c>
      <c r="BV293" s="98">
        <v>2</v>
      </c>
      <c r="BW293" s="98">
        <v>2</v>
      </c>
      <c r="BX293" s="98">
        <v>4</v>
      </c>
      <c r="BY293" s="98">
        <v>4</v>
      </c>
      <c r="BZ293" s="98">
        <v>2</v>
      </c>
      <c r="CA293" s="98">
        <v>2</v>
      </c>
      <c r="CB293" s="98">
        <v>3</v>
      </c>
      <c r="CC293" s="98">
        <v>7</v>
      </c>
      <c r="CD293" s="98">
        <v>2</v>
      </c>
      <c r="CE293" s="98">
        <v>1</v>
      </c>
      <c r="CF293" s="98">
        <v>4</v>
      </c>
      <c r="CG293" s="98">
        <v>2</v>
      </c>
      <c r="CH293" s="98">
        <v>2</v>
      </c>
      <c r="CI293" s="98">
        <v>1</v>
      </c>
      <c r="CJ293" s="98">
        <v>2</v>
      </c>
      <c r="CK293" s="98">
        <v>1</v>
      </c>
      <c r="CL293" s="98">
        <v>1</v>
      </c>
      <c r="CM293" s="98">
        <v>1</v>
      </c>
      <c r="CN293" s="98">
        <v>2</v>
      </c>
      <c r="CO293" s="98">
        <v>1</v>
      </c>
      <c r="CP293" s="98">
        <v>2</v>
      </c>
      <c r="CQ293" s="98">
        <v>2</v>
      </c>
      <c r="CR293" s="98">
        <v>3</v>
      </c>
      <c r="CS293" s="98">
        <v>3</v>
      </c>
    </row>
    <row r="294" spans="2:97" x14ac:dyDescent="0.3">
      <c r="B294" s="83" t="s">
        <v>149</v>
      </c>
      <c r="C294" s="98">
        <v>2</v>
      </c>
      <c r="D294" s="98">
        <v>4</v>
      </c>
      <c r="E294" s="98">
        <v>3</v>
      </c>
      <c r="F294" s="98">
        <v>2</v>
      </c>
      <c r="G294" s="98">
        <v>2</v>
      </c>
      <c r="H294" s="98">
        <v>4</v>
      </c>
      <c r="I294" s="98">
        <v>3</v>
      </c>
      <c r="J294" s="98">
        <v>1</v>
      </c>
      <c r="K294" s="98">
        <v>1</v>
      </c>
      <c r="L294" s="98">
        <v>2</v>
      </c>
      <c r="M294" s="98">
        <v>1</v>
      </c>
      <c r="N294" s="98">
        <v>1</v>
      </c>
      <c r="O294" s="98">
        <v>4</v>
      </c>
      <c r="P294" s="98">
        <v>1</v>
      </c>
      <c r="Q294" s="98">
        <v>2</v>
      </c>
      <c r="R294" s="98">
        <v>2</v>
      </c>
      <c r="S294" s="98">
        <v>1</v>
      </c>
      <c r="T294" s="98">
        <v>2</v>
      </c>
      <c r="U294" s="98">
        <v>9</v>
      </c>
      <c r="V294" s="98">
        <v>2</v>
      </c>
      <c r="W294" s="98">
        <v>2</v>
      </c>
      <c r="X294" s="98">
        <v>5</v>
      </c>
      <c r="Y294" s="98">
        <v>2</v>
      </c>
      <c r="Z294" s="98">
        <v>1</v>
      </c>
      <c r="AA294" s="98">
        <v>2</v>
      </c>
      <c r="AB294" s="98">
        <v>4</v>
      </c>
      <c r="AC294" s="98">
        <v>2</v>
      </c>
      <c r="AD294" s="98">
        <v>2</v>
      </c>
      <c r="AE294" s="98">
        <v>2</v>
      </c>
      <c r="AF294" s="98">
        <v>3</v>
      </c>
      <c r="AG294" s="98">
        <v>1</v>
      </c>
      <c r="AH294" s="98">
        <v>2</v>
      </c>
      <c r="AI294" s="98">
        <v>4</v>
      </c>
      <c r="AJ294" s="98">
        <v>1</v>
      </c>
      <c r="AK294" s="98">
        <v>2</v>
      </c>
      <c r="AL294" s="98">
        <v>3</v>
      </c>
      <c r="AM294" s="98">
        <v>1</v>
      </c>
      <c r="AN294" s="98">
        <v>1</v>
      </c>
      <c r="AO294" s="98">
        <v>3</v>
      </c>
      <c r="AP294" s="98">
        <v>2</v>
      </c>
      <c r="AQ294" s="98">
        <v>1</v>
      </c>
      <c r="AR294" s="98">
        <v>1</v>
      </c>
      <c r="AS294" s="98">
        <v>1</v>
      </c>
      <c r="AT294" s="98">
        <v>1</v>
      </c>
      <c r="AU294" s="98">
        <v>3</v>
      </c>
      <c r="AV294" s="98">
        <v>2</v>
      </c>
      <c r="AW294" s="98">
        <v>8</v>
      </c>
      <c r="AX294" s="98">
        <v>1</v>
      </c>
      <c r="AY294" s="98">
        <v>1</v>
      </c>
      <c r="AZ294" s="98">
        <v>2</v>
      </c>
      <c r="BA294" s="98">
        <v>1</v>
      </c>
      <c r="BB294" s="98">
        <v>2</v>
      </c>
      <c r="BC294" s="98">
        <v>3</v>
      </c>
      <c r="BD294" s="98">
        <v>2</v>
      </c>
      <c r="BE294" s="98">
        <v>2</v>
      </c>
      <c r="BF294" s="98">
        <v>1</v>
      </c>
      <c r="BG294" s="98">
        <v>3</v>
      </c>
      <c r="BH294" s="98">
        <v>2</v>
      </c>
      <c r="BI294" s="98">
        <v>6</v>
      </c>
      <c r="BJ294" s="98">
        <v>3</v>
      </c>
      <c r="BK294" s="98">
        <v>1</v>
      </c>
      <c r="BL294" s="98">
        <v>3</v>
      </c>
      <c r="BM294" s="98">
        <v>5</v>
      </c>
      <c r="BN294" s="98">
        <v>1</v>
      </c>
      <c r="BO294" s="98">
        <v>1</v>
      </c>
      <c r="BP294" s="98">
        <v>4</v>
      </c>
      <c r="BQ294" s="98">
        <v>2</v>
      </c>
      <c r="BR294" s="98">
        <v>1</v>
      </c>
      <c r="BS294" s="98">
        <v>1</v>
      </c>
      <c r="BT294" s="98">
        <v>1</v>
      </c>
      <c r="BU294" s="98">
        <v>4</v>
      </c>
      <c r="BV294" s="98">
        <v>2</v>
      </c>
      <c r="BW294" s="98">
        <v>2</v>
      </c>
      <c r="BX294" s="98">
        <v>4</v>
      </c>
      <c r="BY294" s="98">
        <v>4</v>
      </c>
      <c r="BZ294" s="98">
        <v>2</v>
      </c>
      <c r="CA294" s="98">
        <v>2</v>
      </c>
      <c r="CB294" s="98">
        <v>3</v>
      </c>
      <c r="CC294" s="98">
        <v>7</v>
      </c>
      <c r="CD294" s="98">
        <v>2</v>
      </c>
      <c r="CE294" s="98">
        <v>1</v>
      </c>
      <c r="CF294" s="98">
        <v>4</v>
      </c>
      <c r="CG294" s="98">
        <v>2</v>
      </c>
      <c r="CH294" s="98">
        <v>2</v>
      </c>
      <c r="CI294" s="98">
        <v>1</v>
      </c>
      <c r="CJ294" s="98">
        <v>2</v>
      </c>
      <c r="CK294" s="98">
        <v>1</v>
      </c>
      <c r="CL294" s="98">
        <v>1</v>
      </c>
      <c r="CM294" s="98">
        <v>2</v>
      </c>
      <c r="CN294" s="98">
        <v>1</v>
      </c>
      <c r="CO294" s="98">
        <v>1</v>
      </c>
      <c r="CP294" s="98">
        <v>2</v>
      </c>
      <c r="CQ294" s="98">
        <v>2</v>
      </c>
      <c r="CR294" s="98">
        <v>3</v>
      </c>
      <c r="CS294" s="98">
        <v>3</v>
      </c>
    </row>
    <row r="295" spans="2:97" x14ac:dyDescent="0.3">
      <c r="B295" s="83" t="s">
        <v>150</v>
      </c>
      <c r="C295" s="98">
        <v>1</v>
      </c>
      <c r="D295" s="98">
        <v>3</v>
      </c>
      <c r="E295" s="98">
        <v>2</v>
      </c>
      <c r="F295" s="98">
        <v>1</v>
      </c>
      <c r="G295" s="98">
        <v>1</v>
      </c>
      <c r="H295" s="98">
        <v>3</v>
      </c>
      <c r="I295" s="98">
        <v>2</v>
      </c>
      <c r="J295" s="98">
        <v>0</v>
      </c>
      <c r="K295" s="98">
        <v>0</v>
      </c>
      <c r="L295" s="98">
        <v>1</v>
      </c>
      <c r="M295" s="98">
        <v>0</v>
      </c>
      <c r="N295" s="98">
        <v>0</v>
      </c>
      <c r="O295" s="98">
        <v>3</v>
      </c>
      <c r="P295" s="98">
        <v>0</v>
      </c>
      <c r="Q295" s="98">
        <v>1</v>
      </c>
      <c r="R295" s="98">
        <v>1</v>
      </c>
      <c r="S295" s="98">
        <v>0</v>
      </c>
      <c r="T295" s="98">
        <v>1</v>
      </c>
      <c r="U295" s="98">
        <v>8</v>
      </c>
      <c r="V295" s="98">
        <v>1</v>
      </c>
      <c r="W295" s="98">
        <v>1</v>
      </c>
      <c r="X295" s="98">
        <v>4</v>
      </c>
      <c r="Y295" s="98">
        <v>1</v>
      </c>
      <c r="Z295" s="98">
        <v>0</v>
      </c>
      <c r="AA295" s="98">
        <v>1</v>
      </c>
      <c r="AB295" s="98">
        <v>3</v>
      </c>
      <c r="AC295" s="98">
        <v>1</v>
      </c>
      <c r="AD295" s="98">
        <v>1</v>
      </c>
      <c r="AE295" s="98">
        <v>1</v>
      </c>
      <c r="AF295" s="98">
        <v>2</v>
      </c>
      <c r="AG295" s="98">
        <v>0</v>
      </c>
      <c r="AH295" s="98">
        <v>1</v>
      </c>
      <c r="AI295" s="98">
        <v>3</v>
      </c>
      <c r="AJ295" s="98">
        <v>0</v>
      </c>
      <c r="AK295" s="98">
        <v>1</v>
      </c>
      <c r="AL295" s="98">
        <v>2</v>
      </c>
      <c r="AM295" s="98">
        <v>0</v>
      </c>
      <c r="AN295" s="98">
        <v>0</v>
      </c>
      <c r="AO295" s="98">
        <v>2</v>
      </c>
      <c r="AP295" s="98">
        <v>1</v>
      </c>
      <c r="AQ295" s="98">
        <v>0</v>
      </c>
      <c r="AR295" s="98">
        <v>0</v>
      </c>
      <c r="AS295" s="98">
        <v>0</v>
      </c>
      <c r="AT295" s="98">
        <v>0</v>
      </c>
      <c r="AU295" s="98">
        <v>2</v>
      </c>
      <c r="AV295" s="98">
        <v>1</v>
      </c>
      <c r="AW295" s="98">
        <v>7</v>
      </c>
      <c r="AX295" s="98">
        <v>0</v>
      </c>
      <c r="AY295" s="98">
        <v>0</v>
      </c>
      <c r="AZ295" s="98">
        <v>1</v>
      </c>
      <c r="BA295" s="98">
        <v>0</v>
      </c>
      <c r="BB295" s="98">
        <v>1</v>
      </c>
      <c r="BC295" s="98">
        <v>2</v>
      </c>
      <c r="BD295" s="98">
        <v>1</v>
      </c>
      <c r="BE295" s="98">
        <v>1</v>
      </c>
      <c r="BF295" s="98">
        <v>0</v>
      </c>
      <c r="BG295" s="98">
        <v>2</v>
      </c>
      <c r="BH295" s="98">
        <v>1</v>
      </c>
      <c r="BI295" s="98">
        <v>5</v>
      </c>
      <c r="BJ295" s="98">
        <v>2</v>
      </c>
      <c r="BK295" s="98">
        <v>0</v>
      </c>
      <c r="BL295" s="98">
        <v>2</v>
      </c>
      <c r="BM295" s="98">
        <v>4</v>
      </c>
      <c r="BN295" s="98">
        <v>0</v>
      </c>
      <c r="BO295" s="98">
        <v>0</v>
      </c>
      <c r="BP295" s="98">
        <v>3</v>
      </c>
      <c r="BQ295" s="98">
        <v>1</v>
      </c>
      <c r="BR295" s="98">
        <v>0</v>
      </c>
      <c r="BS295" s="98">
        <v>0</v>
      </c>
      <c r="BT295" s="98">
        <v>0</v>
      </c>
      <c r="BU295" s="98">
        <v>3</v>
      </c>
      <c r="BV295" s="98">
        <v>1</v>
      </c>
      <c r="BW295" s="98">
        <v>1</v>
      </c>
      <c r="BX295" s="98">
        <v>3</v>
      </c>
      <c r="BY295" s="98">
        <v>3</v>
      </c>
      <c r="BZ295" s="98">
        <v>1</v>
      </c>
      <c r="CA295" s="98">
        <v>1</v>
      </c>
      <c r="CB295" s="98">
        <v>2</v>
      </c>
      <c r="CC295" s="98">
        <v>6</v>
      </c>
      <c r="CD295" s="98">
        <v>1</v>
      </c>
      <c r="CE295" s="98">
        <v>0</v>
      </c>
      <c r="CF295" s="98">
        <v>3</v>
      </c>
      <c r="CG295" s="98">
        <v>1</v>
      </c>
      <c r="CH295" s="98">
        <v>1</v>
      </c>
      <c r="CI295" s="98">
        <v>0</v>
      </c>
      <c r="CJ295" s="98">
        <v>1</v>
      </c>
      <c r="CK295" s="98">
        <v>0</v>
      </c>
      <c r="CL295" s="98">
        <v>0</v>
      </c>
      <c r="CM295" s="98">
        <v>1</v>
      </c>
      <c r="CN295" s="98">
        <v>1</v>
      </c>
      <c r="CO295" s="98">
        <v>0</v>
      </c>
      <c r="CP295" s="98">
        <v>1</v>
      </c>
      <c r="CQ295" s="98">
        <v>1</v>
      </c>
      <c r="CR295" s="98">
        <v>2</v>
      </c>
      <c r="CS295" s="98">
        <v>2</v>
      </c>
    </row>
    <row r="296" spans="2:97" x14ac:dyDescent="0.3">
      <c r="B296" s="83" t="s">
        <v>151</v>
      </c>
      <c r="C296" s="98">
        <v>2</v>
      </c>
      <c r="D296" s="98">
        <v>4</v>
      </c>
      <c r="E296" s="98">
        <v>3</v>
      </c>
      <c r="F296" s="98">
        <v>2</v>
      </c>
      <c r="G296" s="98">
        <v>2</v>
      </c>
      <c r="H296" s="98">
        <v>4</v>
      </c>
      <c r="I296" s="98">
        <v>3</v>
      </c>
      <c r="J296" s="98">
        <v>1</v>
      </c>
      <c r="K296" s="98">
        <v>1</v>
      </c>
      <c r="L296" s="98">
        <v>2</v>
      </c>
      <c r="M296" s="98">
        <v>1</v>
      </c>
      <c r="N296" s="98">
        <v>1</v>
      </c>
      <c r="O296" s="98">
        <v>4</v>
      </c>
      <c r="P296" s="98">
        <v>1</v>
      </c>
      <c r="Q296" s="98">
        <v>2</v>
      </c>
      <c r="R296" s="98">
        <v>2</v>
      </c>
      <c r="S296" s="98">
        <v>1</v>
      </c>
      <c r="T296" s="98">
        <v>2</v>
      </c>
      <c r="U296" s="98">
        <v>9</v>
      </c>
      <c r="V296" s="98">
        <v>2</v>
      </c>
      <c r="W296" s="98">
        <v>2</v>
      </c>
      <c r="X296" s="98">
        <v>5</v>
      </c>
      <c r="Y296" s="98">
        <v>2</v>
      </c>
      <c r="Z296" s="98">
        <v>1</v>
      </c>
      <c r="AA296" s="98">
        <v>2</v>
      </c>
      <c r="AB296" s="98">
        <v>4</v>
      </c>
      <c r="AC296" s="98">
        <v>2</v>
      </c>
      <c r="AD296" s="98">
        <v>2</v>
      </c>
      <c r="AE296" s="98">
        <v>2</v>
      </c>
      <c r="AF296" s="98">
        <v>3</v>
      </c>
      <c r="AG296" s="98">
        <v>1</v>
      </c>
      <c r="AH296" s="98">
        <v>2</v>
      </c>
      <c r="AI296" s="98">
        <v>4</v>
      </c>
      <c r="AJ296" s="98">
        <v>1</v>
      </c>
      <c r="AK296" s="98">
        <v>2</v>
      </c>
      <c r="AL296" s="98">
        <v>3</v>
      </c>
      <c r="AM296" s="98">
        <v>1</v>
      </c>
      <c r="AN296" s="98">
        <v>1</v>
      </c>
      <c r="AO296" s="98">
        <v>3</v>
      </c>
      <c r="AP296" s="98">
        <v>2</v>
      </c>
      <c r="AQ296" s="98">
        <v>1</v>
      </c>
      <c r="AR296" s="98">
        <v>1</v>
      </c>
      <c r="AS296" s="98">
        <v>1</v>
      </c>
      <c r="AT296" s="98">
        <v>1</v>
      </c>
      <c r="AU296" s="98">
        <v>3</v>
      </c>
      <c r="AV296" s="98">
        <v>2</v>
      </c>
      <c r="AW296" s="98">
        <v>8</v>
      </c>
      <c r="AX296" s="98">
        <v>1</v>
      </c>
      <c r="AY296" s="98">
        <v>1</v>
      </c>
      <c r="AZ296" s="98">
        <v>2</v>
      </c>
      <c r="BA296" s="98">
        <v>1</v>
      </c>
      <c r="BB296" s="98">
        <v>2</v>
      </c>
      <c r="BC296" s="98">
        <v>3</v>
      </c>
      <c r="BD296" s="98">
        <v>2</v>
      </c>
      <c r="BE296" s="98">
        <v>2</v>
      </c>
      <c r="BF296" s="98">
        <v>1</v>
      </c>
      <c r="BG296" s="98">
        <v>3</v>
      </c>
      <c r="BH296" s="98">
        <v>2</v>
      </c>
      <c r="BI296" s="98">
        <v>6</v>
      </c>
      <c r="BJ296" s="98">
        <v>3</v>
      </c>
      <c r="BK296" s="98">
        <v>1</v>
      </c>
      <c r="BL296" s="98">
        <v>3</v>
      </c>
      <c r="BM296" s="98">
        <v>5</v>
      </c>
      <c r="BN296" s="98">
        <v>1</v>
      </c>
      <c r="BO296" s="98">
        <v>1</v>
      </c>
      <c r="BP296" s="98">
        <v>4</v>
      </c>
      <c r="BQ296" s="98">
        <v>2</v>
      </c>
      <c r="BR296" s="98">
        <v>1</v>
      </c>
      <c r="BS296" s="98">
        <v>1</v>
      </c>
      <c r="BT296" s="98">
        <v>1</v>
      </c>
      <c r="BU296" s="98">
        <v>4</v>
      </c>
      <c r="BV296" s="98">
        <v>2</v>
      </c>
      <c r="BW296" s="98">
        <v>2</v>
      </c>
      <c r="BX296" s="98">
        <v>4</v>
      </c>
      <c r="BY296" s="98">
        <v>4</v>
      </c>
      <c r="BZ296" s="98">
        <v>2</v>
      </c>
      <c r="CA296" s="98">
        <v>2</v>
      </c>
      <c r="CB296" s="98">
        <v>3</v>
      </c>
      <c r="CC296" s="98">
        <v>7</v>
      </c>
      <c r="CD296" s="98">
        <v>2</v>
      </c>
      <c r="CE296" s="98">
        <v>1</v>
      </c>
      <c r="CF296" s="98">
        <v>4</v>
      </c>
      <c r="CG296" s="98">
        <v>2</v>
      </c>
      <c r="CH296" s="98">
        <v>2</v>
      </c>
      <c r="CI296" s="98">
        <v>1</v>
      </c>
      <c r="CJ296" s="98">
        <v>2</v>
      </c>
      <c r="CK296" s="98">
        <v>1</v>
      </c>
      <c r="CL296" s="98">
        <v>1</v>
      </c>
      <c r="CM296" s="98">
        <v>2</v>
      </c>
      <c r="CN296" s="98">
        <v>2</v>
      </c>
      <c r="CO296" s="98">
        <v>1</v>
      </c>
      <c r="CP296" s="98">
        <v>1</v>
      </c>
      <c r="CQ296" s="98">
        <v>2</v>
      </c>
      <c r="CR296" s="98">
        <v>3</v>
      </c>
      <c r="CS296" s="98">
        <v>3</v>
      </c>
    </row>
    <row r="297" spans="2:97" x14ac:dyDescent="0.3">
      <c r="B297" s="83" t="s">
        <v>152</v>
      </c>
      <c r="C297" s="98">
        <v>2</v>
      </c>
      <c r="D297" s="98">
        <v>4</v>
      </c>
      <c r="E297" s="98">
        <v>3</v>
      </c>
      <c r="F297" s="98">
        <v>2</v>
      </c>
      <c r="G297" s="98">
        <v>2</v>
      </c>
      <c r="H297" s="98">
        <v>4</v>
      </c>
      <c r="I297" s="98">
        <v>3</v>
      </c>
      <c r="J297" s="98">
        <v>1</v>
      </c>
      <c r="K297" s="98">
        <v>1</v>
      </c>
      <c r="L297" s="98">
        <v>2</v>
      </c>
      <c r="M297" s="98">
        <v>1</v>
      </c>
      <c r="N297" s="98">
        <v>1</v>
      </c>
      <c r="O297" s="98">
        <v>4</v>
      </c>
      <c r="P297" s="98">
        <v>1</v>
      </c>
      <c r="Q297" s="98">
        <v>2</v>
      </c>
      <c r="R297" s="98">
        <v>2</v>
      </c>
      <c r="S297" s="98">
        <v>1</v>
      </c>
      <c r="T297" s="98">
        <v>2</v>
      </c>
      <c r="U297" s="98">
        <v>9</v>
      </c>
      <c r="V297" s="98">
        <v>2</v>
      </c>
      <c r="W297" s="98">
        <v>2</v>
      </c>
      <c r="X297" s="98">
        <v>5</v>
      </c>
      <c r="Y297" s="98">
        <v>2</v>
      </c>
      <c r="Z297" s="98">
        <v>1</v>
      </c>
      <c r="AA297" s="98">
        <v>2</v>
      </c>
      <c r="AB297" s="98">
        <v>4</v>
      </c>
      <c r="AC297" s="98">
        <v>2</v>
      </c>
      <c r="AD297" s="98">
        <v>2</v>
      </c>
      <c r="AE297" s="98">
        <v>2</v>
      </c>
      <c r="AF297" s="98">
        <v>3</v>
      </c>
      <c r="AG297" s="98">
        <v>1</v>
      </c>
      <c r="AH297" s="98">
        <v>2</v>
      </c>
      <c r="AI297" s="98">
        <v>4</v>
      </c>
      <c r="AJ297" s="98">
        <v>1</v>
      </c>
      <c r="AK297" s="98">
        <v>2</v>
      </c>
      <c r="AL297" s="98">
        <v>3</v>
      </c>
      <c r="AM297" s="98">
        <v>1</v>
      </c>
      <c r="AN297" s="98">
        <v>1</v>
      </c>
      <c r="AO297" s="98">
        <v>3</v>
      </c>
      <c r="AP297" s="98">
        <v>2</v>
      </c>
      <c r="AQ297" s="98">
        <v>1</v>
      </c>
      <c r="AR297" s="98">
        <v>1</v>
      </c>
      <c r="AS297" s="98">
        <v>1</v>
      </c>
      <c r="AT297" s="98">
        <v>1</v>
      </c>
      <c r="AU297" s="98">
        <v>3</v>
      </c>
      <c r="AV297" s="98">
        <v>2</v>
      </c>
      <c r="AW297" s="98">
        <v>8</v>
      </c>
      <c r="AX297" s="98">
        <v>1</v>
      </c>
      <c r="AY297" s="98">
        <v>1</v>
      </c>
      <c r="AZ297" s="98">
        <v>2</v>
      </c>
      <c r="BA297" s="98">
        <v>1</v>
      </c>
      <c r="BB297" s="98">
        <v>2</v>
      </c>
      <c r="BC297" s="98">
        <v>3</v>
      </c>
      <c r="BD297" s="98">
        <v>2</v>
      </c>
      <c r="BE297" s="98">
        <v>2</v>
      </c>
      <c r="BF297" s="98">
        <v>1</v>
      </c>
      <c r="BG297" s="98">
        <v>3</v>
      </c>
      <c r="BH297" s="98">
        <v>2</v>
      </c>
      <c r="BI297" s="98">
        <v>6</v>
      </c>
      <c r="BJ297" s="98">
        <v>3</v>
      </c>
      <c r="BK297" s="98">
        <v>1</v>
      </c>
      <c r="BL297" s="98">
        <v>3</v>
      </c>
      <c r="BM297" s="98">
        <v>5</v>
      </c>
      <c r="BN297" s="98">
        <v>1</v>
      </c>
      <c r="BO297" s="98">
        <v>1</v>
      </c>
      <c r="BP297" s="98">
        <v>4</v>
      </c>
      <c r="BQ297" s="98">
        <v>2</v>
      </c>
      <c r="BR297" s="98">
        <v>1</v>
      </c>
      <c r="BS297" s="98">
        <v>1</v>
      </c>
      <c r="BT297" s="98">
        <v>1</v>
      </c>
      <c r="BU297" s="98">
        <v>4</v>
      </c>
      <c r="BV297" s="98">
        <v>2</v>
      </c>
      <c r="BW297" s="98">
        <v>2</v>
      </c>
      <c r="BX297" s="98">
        <v>4</v>
      </c>
      <c r="BY297" s="98">
        <v>4</v>
      </c>
      <c r="BZ297" s="98">
        <v>2</v>
      </c>
      <c r="CA297" s="98">
        <v>2</v>
      </c>
      <c r="CB297" s="98">
        <v>3</v>
      </c>
      <c r="CC297" s="98">
        <v>7</v>
      </c>
      <c r="CD297" s="98">
        <v>2</v>
      </c>
      <c r="CE297" s="98">
        <v>1</v>
      </c>
      <c r="CF297" s="98">
        <v>4</v>
      </c>
      <c r="CG297" s="98">
        <v>2</v>
      </c>
      <c r="CH297" s="98">
        <v>2</v>
      </c>
      <c r="CI297" s="98">
        <v>1</v>
      </c>
      <c r="CJ297" s="98">
        <v>2</v>
      </c>
      <c r="CK297" s="98">
        <v>1</v>
      </c>
      <c r="CL297" s="98">
        <v>1</v>
      </c>
      <c r="CM297" s="98">
        <v>2</v>
      </c>
      <c r="CN297" s="98">
        <v>2</v>
      </c>
      <c r="CO297" s="98">
        <v>1</v>
      </c>
      <c r="CP297" s="98">
        <v>2</v>
      </c>
      <c r="CQ297" s="98">
        <v>1</v>
      </c>
      <c r="CR297" s="98">
        <v>3</v>
      </c>
      <c r="CS297" s="98">
        <v>3</v>
      </c>
    </row>
    <row r="298" spans="2:97" x14ac:dyDescent="0.3">
      <c r="B298" s="83" t="s">
        <v>153</v>
      </c>
      <c r="C298" s="98">
        <v>3</v>
      </c>
      <c r="D298" s="98">
        <v>5</v>
      </c>
      <c r="E298" s="98">
        <v>4</v>
      </c>
      <c r="F298" s="98">
        <v>3</v>
      </c>
      <c r="G298" s="98">
        <v>3</v>
      </c>
      <c r="H298" s="98">
        <v>5</v>
      </c>
      <c r="I298" s="98">
        <v>4</v>
      </c>
      <c r="J298" s="98">
        <v>2</v>
      </c>
      <c r="K298" s="98">
        <v>2</v>
      </c>
      <c r="L298" s="98">
        <v>3</v>
      </c>
      <c r="M298" s="98">
        <v>2</v>
      </c>
      <c r="N298" s="98">
        <v>2</v>
      </c>
      <c r="O298" s="98">
        <v>5</v>
      </c>
      <c r="P298" s="98">
        <v>2</v>
      </c>
      <c r="Q298" s="98">
        <v>3</v>
      </c>
      <c r="R298" s="98">
        <v>3</v>
      </c>
      <c r="S298" s="98">
        <v>2</v>
      </c>
      <c r="T298" s="98">
        <v>3</v>
      </c>
      <c r="U298" s="98">
        <v>10</v>
      </c>
      <c r="V298" s="98">
        <v>3</v>
      </c>
      <c r="W298" s="98">
        <v>3</v>
      </c>
      <c r="X298" s="98">
        <v>6</v>
      </c>
      <c r="Y298" s="98">
        <v>3</v>
      </c>
      <c r="Z298" s="98">
        <v>2</v>
      </c>
      <c r="AA298" s="98">
        <v>3</v>
      </c>
      <c r="AB298" s="98">
        <v>5</v>
      </c>
      <c r="AC298" s="98">
        <v>3</v>
      </c>
      <c r="AD298" s="98">
        <v>3</v>
      </c>
      <c r="AE298" s="98">
        <v>3</v>
      </c>
      <c r="AF298" s="98">
        <v>4</v>
      </c>
      <c r="AG298" s="98">
        <v>2</v>
      </c>
      <c r="AH298" s="98">
        <v>3</v>
      </c>
      <c r="AI298" s="98">
        <v>5</v>
      </c>
      <c r="AJ298" s="98">
        <v>2</v>
      </c>
      <c r="AK298" s="98">
        <v>3</v>
      </c>
      <c r="AL298" s="98">
        <v>4</v>
      </c>
      <c r="AM298" s="98">
        <v>2</v>
      </c>
      <c r="AN298" s="98">
        <v>2</v>
      </c>
      <c r="AO298" s="98">
        <v>4</v>
      </c>
      <c r="AP298" s="98">
        <v>3</v>
      </c>
      <c r="AQ298" s="98">
        <v>2</v>
      </c>
      <c r="AR298" s="98">
        <v>2</v>
      </c>
      <c r="AS298" s="98">
        <v>2</v>
      </c>
      <c r="AT298" s="98">
        <v>2</v>
      </c>
      <c r="AU298" s="98">
        <v>4</v>
      </c>
      <c r="AV298" s="98">
        <v>3</v>
      </c>
      <c r="AW298" s="98">
        <v>9</v>
      </c>
      <c r="AX298" s="98">
        <v>2</v>
      </c>
      <c r="AY298" s="98">
        <v>2</v>
      </c>
      <c r="AZ298" s="98">
        <v>3</v>
      </c>
      <c r="BA298" s="98">
        <v>2</v>
      </c>
      <c r="BB298" s="98">
        <v>3</v>
      </c>
      <c r="BC298" s="98">
        <v>4</v>
      </c>
      <c r="BD298" s="98">
        <v>3</v>
      </c>
      <c r="BE298" s="98">
        <v>3</v>
      </c>
      <c r="BF298" s="98">
        <v>2</v>
      </c>
      <c r="BG298" s="98">
        <v>4</v>
      </c>
      <c r="BH298" s="98">
        <v>3</v>
      </c>
      <c r="BI298" s="98">
        <v>7</v>
      </c>
      <c r="BJ298" s="98">
        <v>4</v>
      </c>
      <c r="BK298" s="98">
        <v>2</v>
      </c>
      <c r="BL298" s="98">
        <v>4</v>
      </c>
      <c r="BM298" s="98">
        <v>6</v>
      </c>
      <c r="BN298" s="98">
        <v>2</v>
      </c>
      <c r="BO298" s="98">
        <v>2</v>
      </c>
      <c r="BP298" s="98">
        <v>5</v>
      </c>
      <c r="BQ298" s="98">
        <v>3</v>
      </c>
      <c r="BR298" s="98">
        <v>2</v>
      </c>
      <c r="BS298" s="98">
        <v>2</v>
      </c>
      <c r="BT298" s="98">
        <v>2</v>
      </c>
      <c r="BU298" s="98">
        <v>5</v>
      </c>
      <c r="BV298" s="98">
        <v>3</v>
      </c>
      <c r="BW298" s="98">
        <v>3</v>
      </c>
      <c r="BX298" s="98">
        <v>5</v>
      </c>
      <c r="BY298" s="98">
        <v>5</v>
      </c>
      <c r="BZ298" s="98">
        <v>3</v>
      </c>
      <c r="CA298" s="98">
        <v>3</v>
      </c>
      <c r="CB298" s="98">
        <v>4</v>
      </c>
      <c r="CC298" s="98">
        <v>8</v>
      </c>
      <c r="CD298" s="98">
        <v>3</v>
      </c>
      <c r="CE298" s="98">
        <v>2</v>
      </c>
      <c r="CF298" s="98">
        <v>5</v>
      </c>
      <c r="CG298" s="98">
        <v>3</v>
      </c>
      <c r="CH298" s="98">
        <v>3</v>
      </c>
      <c r="CI298" s="98">
        <v>2</v>
      </c>
      <c r="CJ298" s="98">
        <v>3</v>
      </c>
      <c r="CK298" s="98">
        <v>2</v>
      </c>
      <c r="CL298" s="98">
        <v>2</v>
      </c>
      <c r="CM298" s="98">
        <v>3</v>
      </c>
      <c r="CN298" s="98">
        <v>3</v>
      </c>
      <c r="CO298" s="98">
        <v>2</v>
      </c>
      <c r="CP298" s="98">
        <v>3</v>
      </c>
      <c r="CQ298" s="98">
        <v>3</v>
      </c>
      <c r="CR298" s="98">
        <v>2</v>
      </c>
      <c r="CS298" s="98">
        <v>4</v>
      </c>
    </row>
    <row r="299" spans="2:97" x14ac:dyDescent="0.3">
      <c r="B299" s="83" t="s">
        <v>154</v>
      </c>
      <c r="C299" s="98">
        <v>3</v>
      </c>
      <c r="D299" s="98">
        <v>5</v>
      </c>
      <c r="E299" s="98">
        <v>4</v>
      </c>
      <c r="F299" s="98">
        <v>3</v>
      </c>
      <c r="G299" s="98">
        <v>3</v>
      </c>
      <c r="H299" s="98">
        <v>5</v>
      </c>
      <c r="I299" s="98">
        <v>4</v>
      </c>
      <c r="J299" s="98">
        <v>2</v>
      </c>
      <c r="K299" s="98">
        <v>2</v>
      </c>
      <c r="L299" s="98">
        <v>3</v>
      </c>
      <c r="M299" s="98">
        <v>2</v>
      </c>
      <c r="N299" s="98">
        <v>2</v>
      </c>
      <c r="O299" s="98">
        <v>5</v>
      </c>
      <c r="P299" s="98">
        <v>2</v>
      </c>
      <c r="Q299" s="98">
        <v>3</v>
      </c>
      <c r="R299" s="98">
        <v>3</v>
      </c>
      <c r="S299" s="98">
        <v>2</v>
      </c>
      <c r="T299" s="98">
        <v>3</v>
      </c>
      <c r="U299" s="98">
        <v>10</v>
      </c>
      <c r="V299" s="98">
        <v>3</v>
      </c>
      <c r="W299" s="98">
        <v>3</v>
      </c>
      <c r="X299" s="98">
        <v>6</v>
      </c>
      <c r="Y299" s="98">
        <v>3</v>
      </c>
      <c r="Z299" s="98">
        <v>2</v>
      </c>
      <c r="AA299" s="98">
        <v>3</v>
      </c>
      <c r="AB299" s="98">
        <v>5</v>
      </c>
      <c r="AC299" s="98">
        <v>3</v>
      </c>
      <c r="AD299" s="98">
        <v>3</v>
      </c>
      <c r="AE299" s="98">
        <v>3</v>
      </c>
      <c r="AF299" s="98">
        <v>4</v>
      </c>
      <c r="AG299" s="98">
        <v>2</v>
      </c>
      <c r="AH299" s="98">
        <v>3</v>
      </c>
      <c r="AI299" s="98">
        <v>5</v>
      </c>
      <c r="AJ299" s="98">
        <v>2</v>
      </c>
      <c r="AK299" s="98">
        <v>3</v>
      </c>
      <c r="AL299" s="98">
        <v>4</v>
      </c>
      <c r="AM299" s="98">
        <v>2</v>
      </c>
      <c r="AN299" s="98">
        <v>2</v>
      </c>
      <c r="AO299" s="98">
        <v>4</v>
      </c>
      <c r="AP299" s="98">
        <v>3</v>
      </c>
      <c r="AQ299" s="98">
        <v>2</v>
      </c>
      <c r="AR299" s="98">
        <v>2</v>
      </c>
      <c r="AS299" s="98">
        <v>2</v>
      </c>
      <c r="AT299" s="98">
        <v>2</v>
      </c>
      <c r="AU299" s="98">
        <v>4</v>
      </c>
      <c r="AV299" s="98">
        <v>3</v>
      </c>
      <c r="AW299" s="98">
        <v>9</v>
      </c>
      <c r="AX299" s="98">
        <v>2</v>
      </c>
      <c r="AY299" s="98">
        <v>2</v>
      </c>
      <c r="AZ299" s="98">
        <v>3</v>
      </c>
      <c r="BA299" s="98">
        <v>2</v>
      </c>
      <c r="BB299" s="98">
        <v>3</v>
      </c>
      <c r="BC299" s="98">
        <v>4</v>
      </c>
      <c r="BD299" s="98">
        <v>3</v>
      </c>
      <c r="BE299" s="98">
        <v>3</v>
      </c>
      <c r="BF299" s="98">
        <v>2</v>
      </c>
      <c r="BG299" s="98">
        <v>4</v>
      </c>
      <c r="BH299" s="98">
        <v>3</v>
      </c>
      <c r="BI299" s="98">
        <v>7</v>
      </c>
      <c r="BJ299" s="98">
        <v>4</v>
      </c>
      <c r="BK299" s="98">
        <v>2</v>
      </c>
      <c r="BL299" s="98">
        <v>4</v>
      </c>
      <c r="BM299" s="98">
        <v>6</v>
      </c>
      <c r="BN299" s="98">
        <v>2</v>
      </c>
      <c r="BO299" s="98">
        <v>2</v>
      </c>
      <c r="BP299" s="98">
        <v>5</v>
      </c>
      <c r="BQ299" s="98">
        <v>3</v>
      </c>
      <c r="BR299" s="98">
        <v>2</v>
      </c>
      <c r="BS299" s="98">
        <v>2</v>
      </c>
      <c r="BT299" s="98">
        <v>2</v>
      </c>
      <c r="BU299" s="98">
        <v>5</v>
      </c>
      <c r="BV299" s="98">
        <v>3</v>
      </c>
      <c r="BW299" s="98">
        <v>3</v>
      </c>
      <c r="BX299" s="98">
        <v>5</v>
      </c>
      <c r="BY299" s="98">
        <v>5</v>
      </c>
      <c r="BZ299" s="98">
        <v>3</v>
      </c>
      <c r="CA299" s="98">
        <v>3</v>
      </c>
      <c r="CB299" s="98">
        <v>4</v>
      </c>
      <c r="CC299" s="98">
        <v>8</v>
      </c>
      <c r="CD299" s="98">
        <v>3</v>
      </c>
      <c r="CE299" s="98">
        <v>2</v>
      </c>
      <c r="CF299" s="98">
        <v>5</v>
      </c>
      <c r="CG299" s="98">
        <v>3</v>
      </c>
      <c r="CH299" s="98">
        <v>3</v>
      </c>
      <c r="CI299" s="98">
        <v>2</v>
      </c>
      <c r="CJ299" s="98">
        <v>3</v>
      </c>
      <c r="CK299" s="98">
        <v>2</v>
      </c>
      <c r="CL299" s="98">
        <v>2</v>
      </c>
      <c r="CM299" s="98">
        <v>3</v>
      </c>
      <c r="CN299" s="98">
        <v>3</v>
      </c>
      <c r="CO299" s="98">
        <v>2</v>
      </c>
      <c r="CP299" s="98">
        <v>3</v>
      </c>
      <c r="CQ299" s="98">
        <v>3</v>
      </c>
      <c r="CR299" s="98">
        <v>4</v>
      </c>
      <c r="CS299" s="98">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1B937-FAD8-4878-9DBB-0BD20B57EE11}">
  <sheetPr codeName="Sheet3"/>
  <dimension ref="B3:Y116"/>
  <sheetViews>
    <sheetView topLeftCell="A5" workbookViewId="0">
      <selection activeCell="D12" sqref="D12:D18"/>
    </sheetView>
  </sheetViews>
  <sheetFormatPr defaultColWidth="8.88671875" defaultRowHeight="14.4" x14ac:dyDescent="0.3"/>
  <cols>
    <col min="1" max="1" width="8.88671875" style="1"/>
    <col min="2" max="8" width="20.77734375" style="1" customWidth="1"/>
    <col min="9" max="9" width="17.33203125" style="1" customWidth="1"/>
    <col min="10" max="12" width="20.77734375" style="1" customWidth="1"/>
    <col min="13" max="16" width="8.88671875" style="1"/>
    <col min="17" max="17" width="21.33203125" style="1" customWidth="1"/>
    <col min="18" max="18" width="30.33203125" style="1" customWidth="1"/>
    <col min="19" max="21" width="8.88671875" style="1"/>
    <col min="22" max="22" width="47.44140625" style="1" customWidth="1"/>
    <col min="23" max="25" width="17.6640625" style="1" customWidth="1"/>
    <col min="26" max="16384" width="8.88671875" style="1"/>
  </cols>
  <sheetData>
    <row r="3" spans="2:11" ht="24" thickBot="1" x14ac:dyDescent="0.5">
      <c r="B3" s="39" t="s">
        <v>168</v>
      </c>
      <c r="C3" s="58"/>
      <c r="D3" s="58"/>
      <c r="E3" s="58"/>
      <c r="F3" s="58"/>
      <c r="G3" s="58"/>
      <c r="H3" s="58"/>
      <c r="I3" s="58"/>
      <c r="J3" s="58"/>
    </row>
    <row r="5" spans="2:11" ht="15.6" customHeight="1" x14ac:dyDescent="0.3">
      <c r="B5" s="177" t="s">
        <v>270</v>
      </c>
      <c r="C5" s="177"/>
      <c r="D5" s="177"/>
      <c r="E5" s="177"/>
      <c r="F5" s="177"/>
      <c r="G5" s="177"/>
      <c r="H5" s="177"/>
      <c r="I5" s="177"/>
      <c r="J5" s="177"/>
      <c r="K5" s="133"/>
    </row>
    <row r="6" spans="2:11" ht="15.6" customHeight="1" x14ac:dyDescent="0.3">
      <c r="B6" s="177"/>
      <c r="C6" s="177"/>
      <c r="D6" s="177"/>
      <c r="E6" s="177"/>
      <c r="F6" s="177"/>
      <c r="G6" s="177"/>
      <c r="H6" s="177"/>
      <c r="I6" s="177"/>
      <c r="J6" s="177"/>
      <c r="K6" s="133"/>
    </row>
    <row r="7" spans="2:11" ht="15.6" customHeight="1" x14ac:dyDescent="0.3">
      <c r="B7" s="177"/>
      <c r="C7" s="177"/>
      <c r="D7" s="177"/>
      <c r="E7" s="177"/>
      <c r="F7" s="177"/>
      <c r="G7" s="177"/>
      <c r="H7" s="177"/>
      <c r="I7" s="177"/>
      <c r="J7" s="177"/>
      <c r="K7" s="133"/>
    </row>
    <row r="8" spans="2:11" ht="15.6" customHeight="1" x14ac:dyDescent="0.3">
      <c r="B8" s="177"/>
      <c r="C8" s="177"/>
      <c r="D8" s="177"/>
      <c r="E8" s="177"/>
      <c r="F8" s="177"/>
      <c r="G8" s="177"/>
      <c r="H8" s="177"/>
      <c r="I8" s="177"/>
      <c r="J8" s="177"/>
      <c r="K8" s="133"/>
    </row>
    <row r="9" spans="2:11" ht="15.6" customHeight="1" x14ac:dyDescent="0.3">
      <c r="B9" s="177"/>
      <c r="C9" s="177"/>
      <c r="D9" s="177"/>
      <c r="E9" s="177"/>
      <c r="F9" s="177"/>
      <c r="G9" s="177"/>
      <c r="H9" s="177"/>
      <c r="I9" s="177"/>
      <c r="J9" s="177"/>
      <c r="K9" s="133"/>
    </row>
    <row r="10" spans="2:11" ht="15" thickBot="1" x14ac:dyDescent="0.35"/>
    <row r="11" spans="2:11" ht="19.95" customHeight="1" thickBot="1" x14ac:dyDescent="0.4">
      <c r="B11" s="167" t="s">
        <v>167</v>
      </c>
      <c r="C11" s="168"/>
      <c r="D11" s="84">
        <v>0.6</v>
      </c>
      <c r="K11" s="132"/>
    </row>
    <row r="12" spans="2:11" ht="19.95" customHeight="1" thickBot="1" x14ac:dyDescent="0.4">
      <c r="B12" s="167" t="s">
        <v>169</v>
      </c>
      <c r="C12" s="168"/>
      <c r="D12" s="84">
        <v>0.08</v>
      </c>
      <c r="K12" s="132"/>
    </row>
    <row r="13" spans="2:11" ht="19.95" customHeight="1" thickBot="1" x14ac:dyDescent="0.4">
      <c r="B13" s="167" t="s">
        <v>170</v>
      </c>
      <c r="C13" s="168"/>
      <c r="D13" s="84">
        <v>0.08</v>
      </c>
      <c r="K13" s="132"/>
    </row>
    <row r="14" spans="2:11" ht="19.95" customHeight="1" thickBot="1" x14ac:dyDescent="0.4">
      <c r="B14" s="167" t="s">
        <v>171</v>
      </c>
      <c r="C14" s="168"/>
      <c r="D14" s="84">
        <v>0.08</v>
      </c>
      <c r="K14" s="132"/>
    </row>
    <row r="15" spans="2:11" ht="19.95" customHeight="1" thickBot="1" x14ac:dyDescent="0.4">
      <c r="B15" s="112" t="s">
        <v>254</v>
      </c>
      <c r="C15" s="112"/>
      <c r="D15" s="84">
        <v>0.06</v>
      </c>
      <c r="K15" s="132"/>
    </row>
    <row r="16" spans="2:11" ht="19.95" customHeight="1" thickBot="1" x14ac:dyDescent="0.4">
      <c r="B16" s="167" t="s">
        <v>172</v>
      </c>
      <c r="C16" s="168"/>
      <c r="D16" s="84">
        <v>0.4</v>
      </c>
    </row>
    <row r="17" spans="2:25" ht="19.95" customHeight="1" thickBot="1" x14ac:dyDescent="0.4">
      <c r="B17" s="167" t="s">
        <v>173</v>
      </c>
      <c r="C17" s="168"/>
      <c r="D17" s="84">
        <v>0.15</v>
      </c>
    </row>
    <row r="18" spans="2:25" ht="19.95" customHeight="1" thickBot="1" x14ac:dyDescent="0.45">
      <c r="B18" s="167" t="s">
        <v>174</v>
      </c>
      <c r="C18" s="168"/>
      <c r="D18" s="84">
        <v>0.15</v>
      </c>
      <c r="Q18" s="94" t="s">
        <v>158</v>
      </c>
      <c r="R18" s="95" t="s">
        <v>252</v>
      </c>
      <c r="U18" s="178" t="s">
        <v>181</v>
      </c>
      <c r="V18" s="178"/>
      <c r="W18" s="178"/>
      <c r="X18" s="178"/>
      <c r="Y18" s="178"/>
    </row>
    <row r="19" spans="2:25" ht="19.95" customHeight="1" thickBot="1" x14ac:dyDescent="0.4">
      <c r="B19" s="167"/>
      <c r="C19" s="168"/>
      <c r="D19" s="84">
        <v>0</v>
      </c>
      <c r="Q19" s="96"/>
      <c r="R19" s="97"/>
      <c r="U19" s="179"/>
      <c r="V19" s="179"/>
      <c r="W19" s="179"/>
      <c r="X19" s="179"/>
      <c r="Y19" s="179"/>
    </row>
    <row r="20" spans="2:25" ht="19.95" customHeight="1" thickBot="1" x14ac:dyDescent="0.4">
      <c r="B20" s="167" t="s">
        <v>175</v>
      </c>
      <c r="C20" s="168"/>
      <c r="D20" s="84">
        <v>1</v>
      </c>
      <c r="Q20" s="92" t="s">
        <v>60</v>
      </c>
      <c r="R20" s="93">
        <v>1</v>
      </c>
      <c r="U20" s="176"/>
      <c r="V20" s="176"/>
      <c r="W20" s="176"/>
      <c r="X20" s="176"/>
      <c r="Y20" s="176"/>
    </row>
    <row r="21" spans="2:25" ht="19.95" customHeight="1" thickBot="1" x14ac:dyDescent="0.35">
      <c r="Q21" s="92" t="s">
        <v>61</v>
      </c>
      <c r="R21" s="93">
        <v>3</v>
      </c>
      <c r="U21" s="62" t="s">
        <v>24</v>
      </c>
      <c r="V21" s="67" t="s">
        <v>180</v>
      </c>
      <c r="W21" s="62" t="s">
        <v>162</v>
      </c>
      <c r="X21" s="62" t="s">
        <v>163</v>
      </c>
      <c r="Y21" s="62" t="s">
        <v>164</v>
      </c>
    </row>
    <row r="22" spans="2:25" ht="19.95" customHeight="1" thickBot="1" x14ac:dyDescent="0.35">
      <c r="B22" s="169" t="str">
        <f>IF(D20 = 1, "Good", "Warning Sum of Total Weight must be = 100%")</f>
        <v>Good</v>
      </c>
      <c r="C22" s="169"/>
      <c r="D22" s="169"/>
      <c r="Q22" s="92" t="s">
        <v>62</v>
      </c>
      <c r="R22" s="93">
        <v>2</v>
      </c>
      <c r="U22" s="64">
        <v>1</v>
      </c>
      <c r="V22" s="63" t="s">
        <v>182</v>
      </c>
      <c r="W22" s="63"/>
      <c r="X22" s="63" t="s">
        <v>42</v>
      </c>
      <c r="Y22" s="68"/>
    </row>
    <row r="23" spans="2:25" ht="30" customHeight="1" thickBot="1" x14ac:dyDescent="0.35">
      <c r="Q23" s="92" t="s">
        <v>63</v>
      </c>
      <c r="R23" s="93">
        <v>1</v>
      </c>
      <c r="U23" s="65">
        <v>2</v>
      </c>
      <c r="V23" s="63" t="s">
        <v>183</v>
      </c>
      <c r="W23" s="63" t="s">
        <v>25</v>
      </c>
      <c r="X23" s="63"/>
      <c r="Y23" s="68"/>
    </row>
    <row r="24" spans="2:25" ht="30" customHeight="1" thickBot="1" x14ac:dyDescent="0.45">
      <c r="B24" s="164" t="s">
        <v>21</v>
      </c>
      <c r="C24" s="165"/>
      <c r="D24" s="165"/>
      <c r="E24" s="165"/>
      <c r="F24" s="165"/>
      <c r="G24" s="165"/>
      <c r="H24" s="165"/>
      <c r="I24" s="165"/>
      <c r="J24" s="165"/>
      <c r="K24" s="165"/>
      <c r="L24" s="166"/>
      <c r="Q24" s="92" t="s">
        <v>64</v>
      </c>
      <c r="R24" s="93">
        <v>1</v>
      </c>
      <c r="U24" s="64">
        <v>3</v>
      </c>
      <c r="V24" s="63" t="s">
        <v>53</v>
      </c>
      <c r="W24" s="63"/>
      <c r="X24" s="63"/>
      <c r="Y24" s="68" t="s">
        <v>53</v>
      </c>
    </row>
    <row r="25" spans="2:25" ht="30" customHeight="1" thickBot="1" x14ac:dyDescent="0.35">
      <c r="B25" s="52"/>
      <c r="C25" s="53"/>
      <c r="D25" s="53"/>
      <c r="E25" s="53"/>
      <c r="F25" s="53"/>
      <c r="G25" s="53"/>
      <c r="H25" s="53"/>
      <c r="I25" s="53"/>
      <c r="J25" s="53"/>
      <c r="K25" s="53"/>
      <c r="L25" s="54"/>
      <c r="Q25" s="92" t="s">
        <v>65</v>
      </c>
      <c r="R25" s="93">
        <v>3</v>
      </c>
      <c r="U25" s="65">
        <v>4</v>
      </c>
      <c r="V25" s="63" t="s">
        <v>214</v>
      </c>
      <c r="W25" s="63"/>
      <c r="X25" s="63"/>
      <c r="Y25" s="68" t="s">
        <v>214</v>
      </c>
    </row>
    <row r="26" spans="2:25" ht="30" customHeight="1" thickBot="1" x14ac:dyDescent="0.35">
      <c r="B26" s="137"/>
      <c r="C26" s="51" t="s">
        <v>25</v>
      </c>
      <c r="D26" s="51" t="s">
        <v>27</v>
      </c>
      <c r="E26" s="51" t="s">
        <v>29</v>
      </c>
      <c r="F26" s="51" t="s">
        <v>31</v>
      </c>
      <c r="G26" s="51" t="s">
        <v>34</v>
      </c>
      <c r="H26" s="51" t="s">
        <v>35</v>
      </c>
      <c r="I26" s="138" t="s">
        <v>216</v>
      </c>
      <c r="J26" s="138" t="s">
        <v>271</v>
      </c>
      <c r="K26" s="138" t="s">
        <v>272</v>
      </c>
      <c r="L26" s="138" t="s">
        <v>273</v>
      </c>
      <c r="Q26" s="92" t="s">
        <v>66</v>
      </c>
      <c r="R26" s="93">
        <v>2</v>
      </c>
      <c r="U26" s="64">
        <v>5</v>
      </c>
      <c r="V26" s="63" t="s">
        <v>185</v>
      </c>
      <c r="W26" s="63"/>
      <c r="X26" s="63"/>
      <c r="Y26" s="68" t="s">
        <v>53</v>
      </c>
    </row>
    <row r="27" spans="2:25" ht="25.05" customHeight="1" thickBot="1" x14ac:dyDescent="0.35">
      <c r="B27" s="51" t="s">
        <v>25</v>
      </c>
      <c r="C27" s="48">
        <v>10</v>
      </c>
      <c r="D27" s="46">
        <v>8</v>
      </c>
      <c r="E27" s="46">
        <v>3</v>
      </c>
      <c r="F27" s="46">
        <v>8</v>
      </c>
      <c r="G27" s="46">
        <v>7</v>
      </c>
      <c r="H27" s="46">
        <v>7</v>
      </c>
      <c r="I27" s="46">
        <v>8</v>
      </c>
      <c r="J27" s="46"/>
      <c r="K27" s="46"/>
      <c r="L27" s="134"/>
      <c r="Q27" s="92" t="s">
        <v>67</v>
      </c>
      <c r="R27" s="93">
        <v>0</v>
      </c>
      <c r="U27" s="65">
        <v>6</v>
      </c>
      <c r="V27" s="63" t="s">
        <v>215</v>
      </c>
      <c r="W27" s="63"/>
      <c r="X27" s="63"/>
      <c r="Y27" s="68" t="s">
        <v>214</v>
      </c>
    </row>
    <row r="28" spans="2:25" ht="25.05" customHeight="1" thickBot="1" x14ac:dyDescent="0.35">
      <c r="B28" s="50" t="s">
        <v>27</v>
      </c>
      <c r="C28" s="46">
        <v>8</v>
      </c>
      <c r="D28" s="48">
        <v>10</v>
      </c>
      <c r="E28" s="46">
        <v>3</v>
      </c>
      <c r="F28" s="46">
        <v>8</v>
      </c>
      <c r="G28" s="46">
        <v>7</v>
      </c>
      <c r="H28" s="46">
        <v>7</v>
      </c>
      <c r="I28" s="46">
        <v>7</v>
      </c>
      <c r="J28" s="46"/>
      <c r="K28" s="46"/>
      <c r="L28" s="134"/>
      <c r="Q28" s="92" t="s">
        <v>68</v>
      </c>
      <c r="R28" s="93">
        <v>0</v>
      </c>
      <c r="U28" s="64">
        <v>7</v>
      </c>
      <c r="V28" s="63" t="s">
        <v>216</v>
      </c>
      <c r="W28" s="63" t="s">
        <v>216</v>
      </c>
      <c r="X28" s="63"/>
      <c r="Y28" s="68"/>
    </row>
    <row r="29" spans="2:25" ht="25.05" customHeight="1" thickBot="1" x14ac:dyDescent="0.35">
      <c r="B29" s="50" t="s">
        <v>29</v>
      </c>
      <c r="C29" s="46">
        <v>3</v>
      </c>
      <c r="D29" s="46">
        <v>3</v>
      </c>
      <c r="E29" s="48">
        <v>10</v>
      </c>
      <c r="F29" s="46">
        <v>3</v>
      </c>
      <c r="G29" s="46">
        <v>4</v>
      </c>
      <c r="H29" s="46">
        <v>4</v>
      </c>
      <c r="I29" s="46">
        <v>3</v>
      </c>
      <c r="J29" s="46"/>
      <c r="K29" s="46"/>
      <c r="L29" s="134"/>
      <c r="Q29" s="92" t="s">
        <v>69</v>
      </c>
      <c r="R29" s="93">
        <v>1</v>
      </c>
      <c r="U29" s="65">
        <v>8</v>
      </c>
      <c r="V29" s="63" t="s">
        <v>188</v>
      </c>
      <c r="W29" s="63"/>
      <c r="X29" s="63"/>
      <c r="Y29" s="68" t="s">
        <v>214</v>
      </c>
    </row>
    <row r="30" spans="2:25" ht="25.05" customHeight="1" thickBot="1" x14ac:dyDescent="0.35">
      <c r="B30" s="50" t="s">
        <v>31</v>
      </c>
      <c r="C30" s="46">
        <v>8</v>
      </c>
      <c r="D30" s="46">
        <v>8</v>
      </c>
      <c r="E30" s="46">
        <v>3</v>
      </c>
      <c r="F30" s="48">
        <v>10</v>
      </c>
      <c r="G30" s="46">
        <v>8</v>
      </c>
      <c r="H30" s="46">
        <v>7</v>
      </c>
      <c r="I30" s="46">
        <v>8</v>
      </c>
      <c r="J30" s="46"/>
      <c r="K30" s="46"/>
      <c r="L30" s="134"/>
      <c r="Q30" s="92" t="s">
        <v>70</v>
      </c>
      <c r="R30" s="93">
        <v>0</v>
      </c>
      <c r="U30" s="64">
        <v>9</v>
      </c>
      <c r="V30" s="66" t="s">
        <v>189</v>
      </c>
      <c r="W30" s="63" t="s">
        <v>29</v>
      </c>
      <c r="X30" s="66" t="s">
        <v>186</v>
      </c>
      <c r="Y30" s="68"/>
    </row>
    <row r="31" spans="2:25" ht="25.05" customHeight="1" thickBot="1" x14ac:dyDescent="0.35">
      <c r="B31" s="50" t="s">
        <v>34</v>
      </c>
      <c r="C31" s="46">
        <v>7</v>
      </c>
      <c r="D31" s="46">
        <v>7</v>
      </c>
      <c r="E31" s="46">
        <v>4</v>
      </c>
      <c r="F31" s="46">
        <v>8</v>
      </c>
      <c r="G31" s="48">
        <v>10</v>
      </c>
      <c r="H31" s="46">
        <v>9</v>
      </c>
      <c r="I31" s="46">
        <v>8</v>
      </c>
      <c r="J31" s="46"/>
      <c r="K31" s="46"/>
      <c r="L31" s="134"/>
      <c r="Q31" s="92" t="s">
        <v>71</v>
      </c>
      <c r="R31" s="93">
        <v>0</v>
      </c>
      <c r="U31" s="65">
        <v>10</v>
      </c>
      <c r="V31" s="63" t="s">
        <v>214</v>
      </c>
      <c r="W31" s="63"/>
      <c r="X31" s="63"/>
      <c r="Y31" s="68" t="s">
        <v>214</v>
      </c>
    </row>
    <row r="32" spans="2:25" ht="25.05" customHeight="1" thickBot="1" x14ac:dyDescent="0.35">
      <c r="B32" s="50" t="s">
        <v>35</v>
      </c>
      <c r="C32" s="46">
        <v>7</v>
      </c>
      <c r="D32" s="46">
        <v>7</v>
      </c>
      <c r="E32" s="46">
        <v>4</v>
      </c>
      <c r="F32" s="46">
        <v>4</v>
      </c>
      <c r="G32" s="46">
        <v>9</v>
      </c>
      <c r="H32" s="48">
        <v>10</v>
      </c>
      <c r="I32" s="135">
        <v>6</v>
      </c>
      <c r="J32" s="135"/>
      <c r="K32" s="46"/>
      <c r="L32" s="134"/>
      <c r="Q32" s="92" t="s">
        <v>72</v>
      </c>
      <c r="R32" s="93">
        <v>3</v>
      </c>
      <c r="U32" s="64">
        <v>11</v>
      </c>
      <c r="V32" s="63" t="s">
        <v>217</v>
      </c>
      <c r="W32" s="63"/>
      <c r="X32" s="63"/>
      <c r="Y32" s="68" t="s">
        <v>264</v>
      </c>
    </row>
    <row r="33" spans="2:25" ht="25.05" customHeight="1" thickBot="1" x14ac:dyDescent="0.35">
      <c r="B33" s="113" t="s">
        <v>216</v>
      </c>
      <c r="C33" s="46">
        <v>8</v>
      </c>
      <c r="D33" s="46">
        <v>7</v>
      </c>
      <c r="E33" s="46">
        <v>3</v>
      </c>
      <c r="F33" s="46">
        <v>8</v>
      </c>
      <c r="G33" s="46">
        <v>8</v>
      </c>
      <c r="H33" s="46">
        <v>6</v>
      </c>
      <c r="I33" s="136">
        <v>10</v>
      </c>
      <c r="J33" s="46"/>
      <c r="K33" s="46"/>
      <c r="L33" s="134"/>
      <c r="Q33" s="92" t="s">
        <v>73</v>
      </c>
      <c r="R33" s="93">
        <v>0</v>
      </c>
      <c r="U33" s="65">
        <v>12</v>
      </c>
      <c r="V33" s="63" t="s">
        <v>190</v>
      </c>
      <c r="W33" s="63"/>
      <c r="X33" s="63"/>
      <c r="Y33" s="68" t="s">
        <v>264</v>
      </c>
    </row>
    <row r="34" spans="2:25" ht="25.05" customHeight="1" thickBot="1" x14ac:dyDescent="0.35">
      <c r="B34" s="138" t="s">
        <v>271</v>
      </c>
      <c r="C34" s="46"/>
      <c r="D34" s="46"/>
      <c r="E34" s="46"/>
      <c r="F34" s="46"/>
      <c r="G34" s="46"/>
      <c r="H34" s="46"/>
      <c r="I34" s="46"/>
      <c r="J34" s="136"/>
      <c r="K34" s="46"/>
      <c r="L34" s="134"/>
      <c r="Q34" s="92" t="s">
        <v>74</v>
      </c>
      <c r="R34" s="93">
        <v>1</v>
      </c>
      <c r="U34" s="64">
        <v>13</v>
      </c>
      <c r="V34" s="66" t="s">
        <v>192</v>
      </c>
      <c r="W34" s="63"/>
      <c r="X34" s="63" t="s">
        <v>46</v>
      </c>
      <c r="Y34" s="68"/>
    </row>
    <row r="35" spans="2:25" ht="25.05" customHeight="1" thickBot="1" x14ac:dyDescent="0.35">
      <c r="B35" s="138" t="s">
        <v>272</v>
      </c>
      <c r="C35" s="46"/>
      <c r="D35" s="46"/>
      <c r="E35" s="46"/>
      <c r="F35" s="46"/>
      <c r="G35" s="46"/>
      <c r="H35" s="46"/>
      <c r="I35" s="46"/>
      <c r="J35" s="46"/>
      <c r="K35" s="136"/>
      <c r="L35" s="134"/>
      <c r="Q35" s="92" t="s">
        <v>75</v>
      </c>
      <c r="R35" s="93">
        <v>1</v>
      </c>
      <c r="U35" s="65">
        <v>14</v>
      </c>
      <c r="V35" s="63" t="s">
        <v>59</v>
      </c>
      <c r="W35" s="63"/>
      <c r="X35" s="63"/>
      <c r="Y35" s="68" t="s">
        <v>59</v>
      </c>
    </row>
    <row r="36" spans="2:25" ht="25.05" customHeight="1" thickBot="1" x14ac:dyDescent="0.35">
      <c r="B36" s="138" t="s">
        <v>273</v>
      </c>
      <c r="C36" s="47"/>
      <c r="D36" s="47"/>
      <c r="E36" s="47"/>
      <c r="F36" s="47"/>
      <c r="G36" s="47"/>
      <c r="H36" s="47"/>
      <c r="I36" s="47"/>
      <c r="J36" s="47"/>
      <c r="K36" s="47"/>
      <c r="L36" s="49"/>
      <c r="Q36" s="92" t="s">
        <v>76</v>
      </c>
      <c r="R36" s="93">
        <v>0</v>
      </c>
      <c r="U36" s="64">
        <v>15</v>
      </c>
      <c r="V36" s="63" t="s">
        <v>191</v>
      </c>
      <c r="W36" s="63"/>
      <c r="X36" s="63" t="s">
        <v>191</v>
      </c>
      <c r="Y36" s="68"/>
    </row>
    <row r="37" spans="2:25" ht="30" customHeight="1" x14ac:dyDescent="0.3">
      <c r="Q37" s="92" t="s">
        <v>77</v>
      </c>
      <c r="R37" s="93">
        <v>1</v>
      </c>
      <c r="U37" s="65">
        <v>16</v>
      </c>
      <c r="V37" s="66" t="s">
        <v>186</v>
      </c>
      <c r="W37" s="63"/>
      <c r="X37" s="66" t="s">
        <v>186</v>
      </c>
      <c r="Y37" s="68"/>
    </row>
    <row r="38" spans="2:25" ht="30" customHeight="1" thickBot="1" x14ac:dyDescent="0.35">
      <c r="Q38" s="92" t="s">
        <v>78</v>
      </c>
      <c r="R38" s="93">
        <v>8</v>
      </c>
      <c r="U38" s="64">
        <v>17</v>
      </c>
      <c r="V38" s="66" t="s">
        <v>187</v>
      </c>
      <c r="W38" s="63"/>
      <c r="X38" s="66" t="s">
        <v>187</v>
      </c>
      <c r="Y38" s="68"/>
    </row>
    <row r="39" spans="2:25" ht="30" customHeight="1" thickBot="1" x14ac:dyDescent="0.35">
      <c r="B39" s="173" t="s">
        <v>37</v>
      </c>
      <c r="C39" s="174"/>
      <c r="D39" s="174"/>
      <c r="E39" s="174"/>
      <c r="F39" s="174"/>
      <c r="G39" s="174"/>
      <c r="H39" s="174"/>
      <c r="I39" s="174"/>
      <c r="J39" s="174"/>
      <c r="K39" s="174"/>
      <c r="L39" s="175"/>
      <c r="Q39" s="92" t="s">
        <v>79</v>
      </c>
      <c r="R39" s="93">
        <v>1</v>
      </c>
      <c r="U39" s="65">
        <v>18</v>
      </c>
      <c r="V39" s="63" t="s">
        <v>29</v>
      </c>
      <c r="W39" s="63" t="s">
        <v>29</v>
      </c>
      <c r="X39" s="63"/>
      <c r="Y39" s="68"/>
    </row>
    <row r="40" spans="2:25" ht="30" customHeight="1" thickBot="1" x14ac:dyDescent="0.35">
      <c r="B40" s="52"/>
      <c r="C40" s="53"/>
      <c r="D40" s="53"/>
      <c r="E40" s="53"/>
      <c r="F40" s="53"/>
      <c r="G40" s="53"/>
      <c r="H40" s="53"/>
      <c r="I40" s="53"/>
      <c r="J40" s="53"/>
      <c r="K40" s="53"/>
      <c r="L40" s="54"/>
      <c r="Q40" s="92" t="s">
        <v>80</v>
      </c>
      <c r="R40" s="93">
        <v>1</v>
      </c>
      <c r="U40" s="64">
        <v>19</v>
      </c>
      <c r="V40" s="66" t="s">
        <v>195</v>
      </c>
      <c r="W40" s="63" t="s">
        <v>27</v>
      </c>
      <c r="X40" s="63"/>
      <c r="Y40" s="68" t="s">
        <v>53</v>
      </c>
    </row>
    <row r="41" spans="2:25" ht="40.5" customHeight="1" thickBot="1" x14ac:dyDescent="0.35">
      <c r="B41" s="137"/>
      <c r="C41" s="139" t="s">
        <v>42</v>
      </c>
      <c r="D41" s="51" t="s">
        <v>43</v>
      </c>
      <c r="E41" s="140" t="s">
        <v>186</v>
      </c>
      <c r="F41" s="140" t="s">
        <v>187</v>
      </c>
      <c r="G41" s="51" t="s">
        <v>46</v>
      </c>
      <c r="H41" s="51" t="s">
        <v>48</v>
      </c>
      <c r="I41" s="138" t="s">
        <v>191</v>
      </c>
      <c r="J41" s="138" t="s">
        <v>271</v>
      </c>
      <c r="K41" s="138" t="s">
        <v>272</v>
      </c>
      <c r="L41" s="138" t="s">
        <v>273</v>
      </c>
      <c r="Q41" s="92" t="s">
        <v>81</v>
      </c>
      <c r="R41" s="93">
        <v>4</v>
      </c>
      <c r="U41" s="65">
        <v>20</v>
      </c>
      <c r="V41" s="66" t="s">
        <v>196</v>
      </c>
      <c r="W41" s="63" t="s">
        <v>27</v>
      </c>
      <c r="X41" s="63"/>
      <c r="Y41" s="68"/>
    </row>
    <row r="42" spans="2:25" ht="25.05" customHeight="1" thickBot="1" x14ac:dyDescent="0.35">
      <c r="B42" s="50" t="s">
        <v>42</v>
      </c>
      <c r="C42" s="48">
        <v>10</v>
      </c>
      <c r="D42" s="46">
        <v>8</v>
      </c>
      <c r="E42" s="46">
        <v>9</v>
      </c>
      <c r="F42" s="46">
        <v>9</v>
      </c>
      <c r="G42" s="46">
        <v>9</v>
      </c>
      <c r="H42" s="46">
        <v>7</v>
      </c>
      <c r="I42" s="46">
        <v>6</v>
      </c>
      <c r="J42" s="46"/>
      <c r="K42" s="46"/>
      <c r="L42" s="134"/>
      <c r="Q42" s="92" t="s">
        <v>82</v>
      </c>
      <c r="R42" s="93">
        <v>1</v>
      </c>
      <c r="U42" s="64">
        <v>21</v>
      </c>
      <c r="V42" s="63" t="s">
        <v>193</v>
      </c>
      <c r="W42" s="63"/>
      <c r="X42" s="63"/>
      <c r="Y42" s="68" t="s">
        <v>57</v>
      </c>
    </row>
    <row r="43" spans="2:25" ht="25.05" customHeight="1" thickBot="1" x14ac:dyDescent="0.35">
      <c r="B43" s="50" t="s">
        <v>43</v>
      </c>
      <c r="C43" s="46">
        <v>8</v>
      </c>
      <c r="D43" s="48">
        <v>10</v>
      </c>
      <c r="E43" s="46">
        <v>8</v>
      </c>
      <c r="F43" s="46">
        <v>8</v>
      </c>
      <c r="G43" s="46">
        <v>8</v>
      </c>
      <c r="H43" s="46">
        <v>8</v>
      </c>
      <c r="I43" s="46">
        <v>6</v>
      </c>
      <c r="J43" s="46"/>
      <c r="K43" s="46"/>
      <c r="L43" s="134"/>
      <c r="Q43" s="92" t="s">
        <v>83</v>
      </c>
      <c r="R43" s="93">
        <v>0</v>
      </c>
      <c r="U43" s="64">
        <v>22</v>
      </c>
      <c r="V43" s="63" t="s">
        <v>57</v>
      </c>
      <c r="W43" s="63"/>
      <c r="X43" s="63"/>
      <c r="Y43" s="68" t="s">
        <v>57</v>
      </c>
    </row>
    <row r="44" spans="2:25" ht="30" customHeight="1" thickBot="1" x14ac:dyDescent="0.35">
      <c r="B44" s="113" t="s">
        <v>186</v>
      </c>
      <c r="C44" s="46">
        <v>9</v>
      </c>
      <c r="D44" s="46">
        <v>8</v>
      </c>
      <c r="E44" s="48">
        <v>10</v>
      </c>
      <c r="F44" s="46">
        <v>10</v>
      </c>
      <c r="G44" s="46">
        <v>10</v>
      </c>
      <c r="H44" s="46">
        <v>8</v>
      </c>
      <c r="I44" s="46">
        <v>6</v>
      </c>
      <c r="J44" s="46"/>
      <c r="K44" s="46"/>
      <c r="L44" s="134"/>
      <c r="Q44" s="92" t="s">
        <v>84</v>
      </c>
      <c r="R44" s="93">
        <v>1</v>
      </c>
      <c r="U44" s="65">
        <v>23</v>
      </c>
      <c r="V44" s="63" t="s">
        <v>221</v>
      </c>
      <c r="W44" s="63"/>
      <c r="X44" s="63" t="s">
        <v>42</v>
      </c>
      <c r="Y44" s="68"/>
    </row>
    <row r="45" spans="2:25" ht="30" customHeight="1" thickBot="1" x14ac:dyDescent="0.35">
      <c r="B45" s="113" t="s">
        <v>187</v>
      </c>
      <c r="C45" s="46">
        <v>9</v>
      </c>
      <c r="D45" s="46">
        <v>8</v>
      </c>
      <c r="E45" s="46">
        <v>10</v>
      </c>
      <c r="F45" s="48">
        <v>10</v>
      </c>
      <c r="G45" s="46">
        <v>10</v>
      </c>
      <c r="H45" s="46">
        <v>8</v>
      </c>
      <c r="I45" s="46">
        <v>6</v>
      </c>
      <c r="J45" s="46"/>
      <c r="K45" s="46"/>
      <c r="L45" s="134"/>
      <c r="Q45" s="92" t="s">
        <v>85</v>
      </c>
      <c r="R45" s="93">
        <v>3</v>
      </c>
      <c r="U45" s="64">
        <v>24</v>
      </c>
      <c r="V45" s="63" t="s">
        <v>194</v>
      </c>
      <c r="W45" s="63"/>
      <c r="X45" s="66" t="s">
        <v>186</v>
      </c>
      <c r="Y45" s="68"/>
    </row>
    <row r="46" spans="2:25" ht="25.05" customHeight="1" thickBot="1" x14ac:dyDescent="0.35">
      <c r="B46" s="50" t="s">
        <v>46</v>
      </c>
      <c r="C46" s="46">
        <v>9</v>
      </c>
      <c r="D46" s="46">
        <v>8</v>
      </c>
      <c r="E46" s="46">
        <v>10</v>
      </c>
      <c r="F46" s="46">
        <v>10</v>
      </c>
      <c r="G46" s="48">
        <v>10</v>
      </c>
      <c r="H46" s="46">
        <v>8</v>
      </c>
      <c r="I46" s="46">
        <v>6</v>
      </c>
      <c r="J46" s="46"/>
      <c r="K46" s="46"/>
      <c r="L46" s="134"/>
      <c r="Q46" s="92" t="s">
        <v>86</v>
      </c>
      <c r="R46" s="93">
        <v>1</v>
      </c>
      <c r="U46" s="65">
        <v>25</v>
      </c>
      <c r="V46" s="63" t="s">
        <v>27</v>
      </c>
      <c r="W46" s="63" t="s">
        <v>27</v>
      </c>
      <c r="X46" s="63"/>
      <c r="Y46" s="68"/>
    </row>
    <row r="47" spans="2:25" ht="25.05" customHeight="1" thickBot="1" x14ac:dyDescent="0.35">
      <c r="B47" s="50" t="s">
        <v>48</v>
      </c>
      <c r="C47" s="46">
        <v>7</v>
      </c>
      <c r="D47" s="46">
        <v>8</v>
      </c>
      <c r="E47" s="46">
        <v>8</v>
      </c>
      <c r="F47" s="46">
        <v>8</v>
      </c>
      <c r="G47" s="46">
        <v>8</v>
      </c>
      <c r="H47" s="48">
        <v>10</v>
      </c>
      <c r="I47" s="135">
        <v>6</v>
      </c>
      <c r="J47" s="135"/>
      <c r="K47" s="46"/>
      <c r="L47" s="134"/>
      <c r="Q47" s="92" t="s">
        <v>87</v>
      </c>
      <c r="R47" s="93">
        <v>1</v>
      </c>
      <c r="U47" s="64">
        <v>26</v>
      </c>
      <c r="V47" s="63" t="s">
        <v>218</v>
      </c>
      <c r="W47" s="63"/>
      <c r="X47" s="63"/>
      <c r="Y47" s="68" t="s">
        <v>214</v>
      </c>
    </row>
    <row r="48" spans="2:25" ht="25.05" customHeight="1" thickBot="1" x14ac:dyDescent="0.35">
      <c r="B48" s="138" t="s">
        <v>191</v>
      </c>
      <c r="C48" s="46">
        <v>6</v>
      </c>
      <c r="D48" s="46">
        <v>6</v>
      </c>
      <c r="E48" s="46">
        <v>6</v>
      </c>
      <c r="F48" s="46">
        <v>6</v>
      </c>
      <c r="G48" s="46">
        <v>6</v>
      </c>
      <c r="H48" s="46">
        <v>6</v>
      </c>
      <c r="I48" s="136">
        <v>10</v>
      </c>
      <c r="J48" s="46"/>
      <c r="K48" s="46"/>
      <c r="L48" s="134"/>
      <c r="Q48" s="92" t="s">
        <v>88</v>
      </c>
      <c r="R48" s="93">
        <v>1</v>
      </c>
      <c r="U48" s="65">
        <v>27</v>
      </c>
      <c r="V48" s="63" t="s">
        <v>214</v>
      </c>
      <c r="W48" s="63"/>
      <c r="X48" s="63"/>
      <c r="Y48" s="68" t="s">
        <v>214</v>
      </c>
    </row>
    <row r="49" spans="2:25" ht="25.05" customHeight="1" thickBot="1" x14ac:dyDescent="0.35">
      <c r="B49" s="138" t="s">
        <v>271</v>
      </c>
      <c r="C49" s="46"/>
      <c r="D49" s="46"/>
      <c r="E49" s="46"/>
      <c r="F49" s="46"/>
      <c r="G49" s="46"/>
      <c r="H49" s="46"/>
      <c r="I49" s="46"/>
      <c r="J49" s="136"/>
      <c r="K49" s="46"/>
      <c r="L49" s="134"/>
      <c r="Q49" s="92" t="s">
        <v>89</v>
      </c>
      <c r="R49" s="93">
        <v>2</v>
      </c>
      <c r="U49" s="64">
        <v>28</v>
      </c>
      <c r="V49" s="63" t="s">
        <v>219</v>
      </c>
      <c r="W49" s="63"/>
      <c r="X49" s="63"/>
      <c r="Y49" s="68" t="s">
        <v>54</v>
      </c>
    </row>
    <row r="50" spans="2:25" ht="25.05" customHeight="1" thickBot="1" x14ac:dyDescent="0.35">
      <c r="B50" s="138" t="s">
        <v>272</v>
      </c>
      <c r="C50" s="46"/>
      <c r="D50" s="46"/>
      <c r="E50" s="46"/>
      <c r="F50" s="46"/>
      <c r="G50" s="46"/>
      <c r="H50" s="46"/>
      <c r="I50" s="46"/>
      <c r="J50" s="46"/>
      <c r="K50" s="136"/>
      <c r="L50" s="134"/>
      <c r="Q50" s="92" t="s">
        <v>90</v>
      </c>
      <c r="R50" s="93">
        <v>0</v>
      </c>
      <c r="U50" s="65">
        <v>29</v>
      </c>
      <c r="V50" s="63" t="s">
        <v>197</v>
      </c>
      <c r="W50" s="63"/>
      <c r="X50" s="63"/>
      <c r="Y50" s="68" t="s">
        <v>214</v>
      </c>
    </row>
    <row r="51" spans="2:25" ht="25.05" customHeight="1" thickBot="1" x14ac:dyDescent="0.35">
      <c r="B51" s="138" t="s">
        <v>273</v>
      </c>
      <c r="C51" s="47"/>
      <c r="D51" s="47"/>
      <c r="E51" s="47"/>
      <c r="F51" s="47"/>
      <c r="G51" s="47"/>
      <c r="H51" s="47"/>
      <c r="I51" s="47"/>
      <c r="J51" s="47"/>
      <c r="K51" s="47"/>
      <c r="L51" s="49"/>
      <c r="Q51" s="92" t="s">
        <v>91</v>
      </c>
      <c r="R51" s="93">
        <v>1</v>
      </c>
      <c r="U51" s="65">
        <v>30</v>
      </c>
      <c r="V51" s="63" t="s">
        <v>43</v>
      </c>
      <c r="W51" s="63"/>
      <c r="X51" s="63" t="s">
        <v>43</v>
      </c>
      <c r="Y51" s="68"/>
    </row>
    <row r="52" spans="2:25" ht="30" customHeight="1" x14ac:dyDescent="0.3">
      <c r="Q52" s="92" t="s">
        <v>92</v>
      </c>
      <c r="R52" s="93">
        <v>3</v>
      </c>
      <c r="U52" s="65">
        <v>31</v>
      </c>
      <c r="V52" s="63" t="s">
        <v>217</v>
      </c>
      <c r="W52" s="63"/>
      <c r="X52" s="63"/>
      <c r="Y52" s="68" t="s">
        <v>264</v>
      </c>
    </row>
    <row r="53" spans="2:25" ht="18" x14ac:dyDescent="0.3">
      <c r="Q53" s="92" t="s">
        <v>93</v>
      </c>
      <c r="R53" s="93">
        <v>0</v>
      </c>
      <c r="U53" s="65">
        <v>32</v>
      </c>
      <c r="V53" s="66" t="s">
        <v>198</v>
      </c>
      <c r="W53" s="63"/>
      <c r="X53" s="63" t="s">
        <v>46</v>
      </c>
      <c r="Y53" s="68"/>
    </row>
    <row r="54" spans="2:25" ht="39.75" customHeight="1" thickBot="1" x14ac:dyDescent="0.35">
      <c r="Q54" s="92" t="s">
        <v>94</v>
      </c>
      <c r="R54" s="93">
        <v>1</v>
      </c>
      <c r="U54" s="65">
        <v>33</v>
      </c>
      <c r="V54" s="63" t="s">
        <v>199</v>
      </c>
      <c r="W54" s="63"/>
      <c r="X54" s="63" t="s">
        <v>42</v>
      </c>
      <c r="Y54" s="68"/>
    </row>
    <row r="55" spans="2:25" ht="27" customHeight="1" thickBot="1" x14ac:dyDescent="0.35">
      <c r="B55" s="170" t="s">
        <v>50</v>
      </c>
      <c r="C55" s="171"/>
      <c r="D55" s="171"/>
      <c r="E55" s="171"/>
      <c r="F55" s="171"/>
      <c r="G55" s="171"/>
      <c r="H55" s="171"/>
      <c r="I55" s="171"/>
      <c r="J55" s="171"/>
      <c r="K55" s="171"/>
      <c r="L55" s="172"/>
      <c r="Q55" s="92" t="s">
        <v>95</v>
      </c>
      <c r="R55" s="93">
        <v>2</v>
      </c>
      <c r="U55" s="65">
        <v>34</v>
      </c>
      <c r="V55" s="63" t="s">
        <v>220</v>
      </c>
      <c r="W55" s="63"/>
      <c r="X55" s="63" t="s">
        <v>42</v>
      </c>
      <c r="Y55" s="68"/>
    </row>
    <row r="56" spans="2:25" ht="18.600000000000001" thickBot="1" x14ac:dyDescent="0.35">
      <c r="B56" s="114"/>
      <c r="C56" s="115"/>
      <c r="D56" s="115"/>
      <c r="E56" s="115"/>
      <c r="F56" s="115"/>
      <c r="G56" s="115"/>
      <c r="H56" s="115"/>
      <c r="I56" s="115"/>
      <c r="J56" s="53"/>
      <c r="K56" s="53"/>
      <c r="L56" s="54"/>
      <c r="Q56" s="92" t="s">
        <v>96</v>
      </c>
      <c r="R56" s="93">
        <v>0</v>
      </c>
      <c r="U56" s="65">
        <v>35</v>
      </c>
      <c r="V56" s="63" t="s">
        <v>200</v>
      </c>
      <c r="W56" s="63"/>
      <c r="X56" s="63"/>
      <c r="Y56" s="68" t="s">
        <v>264</v>
      </c>
    </row>
    <row r="57" spans="2:25" ht="18.600000000000001" thickBot="1" x14ac:dyDescent="0.35">
      <c r="B57" s="55"/>
      <c r="C57" s="50" t="s">
        <v>53</v>
      </c>
      <c r="D57" s="50" t="s">
        <v>54</v>
      </c>
      <c r="E57" s="50" t="s">
        <v>57</v>
      </c>
      <c r="F57" s="50" t="s">
        <v>59</v>
      </c>
      <c r="G57" s="50" t="s">
        <v>214</v>
      </c>
      <c r="H57" s="50" t="s">
        <v>264</v>
      </c>
      <c r="I57" s="138" t="s">
        <v>271</v>
      </c>
      <c r="J57" s="113" t="s">
        <v>272</v>
      </c>
      <c r="K57" s="113" t="s">
        <v>273</v>
      </c>
      <c r="L57" s="113" t="s">
        <v>274</v>
      </c>
      <c r="Q57" s="92" t="s">
        <v>97</v>
      </c>
      <c r="R57" s="93">
        <v>0</v>
      </c>
      <c r="U57" s="65">
        <v>36</v>
      </c>
      <c r="V57" s="63" t="s">
        <v>31</v>
      </c>
      <c r="W57" s="63" t="s">
        <v>31</v>
      </c>
      <c r="X57" s="63"/>
      <c r="Y57" s="68"/>
    </row>
    <row r="58" spans="2:25" ht="25.05" customHeight="1" thickBot="1" x14ac:dyDescent="0.35">
      <c r="B58" s="51" t="s">
        <v>53</v>
      </c>
      <c r="C58" s="48">
        <v>10</v>
      </c>
      <c r="D58" s="46">
        <v>7</v>
      </c>
      <c r="E58" s="46">
        <v>3</v>
      </c>
      <c r="F58" s="46">
        <v>4</v>
      </c>
      <c r="G58" s="46">
        <v>7</v>
      </c>
      <c r="H58" s="46">
        <v>7</v>
      </c>
      <c r="I58" s="46"/>
      <c r="J58" s="46"/>
      <c r="K58" s="46"/>
      <c r="L58" s="134"/>
      <c r="Q58" s="92" t="s">
        <v>98</v>
      </c>
      <c r="R58" s="93">
        <v>2</v>
      </c>
      <c r="U58" s="65">
        <v>37</v>
      </c>
      <c r="V58" s="63" t="s">
        <v>222</v>
      </c>
      <c r="W58" s="63" t="s">
        <v>35</v>
      </c>
      <c r="X58" s="63"/>
      <c r="Y58" s="68"/>
    </row>
    <row r="59" spans="2:25" ht="25.05" customHeight="1" thickBot="1" x14ac:dyDescent="0.35">
      <c r="B59" s="50" t="s">
        <v>54</v>
      </c>
      <c r="C59" s="46">
        <v>7</v>
      </c>
      <c r="D59" s="48">
        <v>10</v>
      </c>
      <c r="E59" s="46">
        <v>3</v>
      </c>
      <c r="F59" s="46">
        <v>4</v>
      </c>
      <c r="G59" s="46">
        <v>8</v>
      </c>
      <c r="H59" s="46">
        <v>8</v>
      </c>
      <c r="I59" s="46"/>
      <c r="J59" s="46"/>
      <c r="K59" s="46"/>
      <c r="L59" s="134"/>
      <c r="Q59" s="92" t="s">
        <v>99</v>
      </c>
      <c r="R59" s="93">
        <v>1</v>
      </c>
      <c r="U59" s="65">
        <v>38</v>
      </c>
      <c r="V59" s="66" t="s">
        <v>201</v>
      </c>
      <c r="W59" s="63" t="s">
        <v>27</v>
      </c>
      <c r="X59" s="63"/>
      <c r="Y59" s="68"/>
    </row>
    <row r="60" spans="2:25" ht="25.05" customHeight="1" thickBot="1" x14ac:dyDescent="0.35">
      <c r="B60" s="50" t="s">
        <v>57</v>
      </c>
      <c r="C60" s="46">
        <v>3</v>
      </c>
      <c r="D60" s="46">
        <v>3</v>
      </c>
      <c r="E60" s="48">
        <v>10</v>
      </c>
      <c r="F60" s="46">
        <v>7</v>
      </c>
      <c r="G60" s="46">
        <v>3</v>
      </c>
      <c r="H60" s="46">
        <v>3</v>
      </c>
      <c r="I60" s="46"/>
      <c r="J60" s="46"/>
      <c r="K60" s="46"/>
      <c r="L60" s="134"/>
      <c r="Q60" s="92" t="s">
        <v>100</v>
      </c>
      <c r="R60" s="93">
        <v>0</v>
      </c>
      <c r="U60" s="65">
        <v>39</v>
      </c>
      <c r="V60" s="66" t="s">
        <v>202</v>
      </c>
      <c r="W60" s="63"/>
      <c r="X60" s="66" t="s">
        <v>186</v>
      </c>
      <c r="Y60" s="68"/>
    </row>
    <row r="61" spans="2:25" ht="25.05" customHeight="1" thickBot="1" x14ac:dyDescent="0.35">
      <c r="B61" s="50" t="s">
        <v>59</v>
      </c>
      <c r="C61" s="46">
        <v>4</v>
      </c>
      <c r="D61" s="46">
        <v>4</v>
      </c>
      <c r="E61" s="46">
        <v>7</v>
      </c>
      <c r="F61" s="48">
        <v>10</v>
      </c>
      <c r="G61" s="46">
        <v>4</v>
      </c>
      <c r="H61" s="46">
        <v>4</v>
      </c>
      <c r="I61" s="46"/>
      <c r="J61" s="46"/>
      <c r="K61" s="46"/>
      <c r="L61" s="134"/>
      <c r="Q61" s="92" t="s">
        <v>101</v>
      </c>
      <c r="R61" s="93">
        <v>0</v>
      </c>
      <c r="U61" s="65">
        <v>40</v>
      </c>
      <c r="V61" s="63" t="s">
        <v>223</v>
      </c>
      <c r="W61" s="63"/>
      <c r="X61" s="63"/>
      <c r="Y61" s="68" t="s">
        <v>54</v>
      </c>
    </row>
    <row r="62" spans="2:25" ht="25.05" customHeight="1" thickBot="1" x14ac:dyDescent="0.35">
      <c r="B62" s="50" t="s">
        <v>214</v>
      </c>
      <c r="C62" s="46">
        <v>7</v>
      </c>
      <c r="D62" s="46">
        <v>8</v>
      </c>
      <c r="E62" s="46">
        <v>3</v>
      </c>
      <c r="F62" s="46">
        <v>4</v>
      </c>
      <c r="G62" s="48">
        <v>10</v>
      </c>
      <c r="H62" s="46">
        <v>8</v>
      </c>
      <c r="I62" s="46"/>
      <c r="J62" s="46"/>
      <c r="K62" s="46"/>
      <c r="L62" s="134"/>
      <c r="Q62" s="92" t="s">
        <v>102</v>
      </c>
      <c r="R62" s="93">
        <v>0</v>
      </c>
      <c r="U62" s="65">
        <v>41</v>
      </c>
      <c r="V62" s="63" t="s">
        <v>54</v>
      </c>
      <c r="W62" s="63"/>
      <c r="X62" s="63"/>
      <c r="Y62" s="68" t="s">
        <v>54</v>
      </c>
    </row>
    <row r="63" spans="2:25" ht="25.05" customHeight="1" thickBot="1" x14ac:dyDescent="0.35">
      <c r="B63" s="50" t="s">
        <v>264</v>
      </c>
      <c r="C63" s="46">
        <v>7</v>
      </c>
      <c r="D63" s="46">
        <v>8</v>
      </c>
      <c r="E63" s="46">
        <v>3</v>
      </c>
      <c r="F63" s="46">
        <v>4</v>
      </c>
      <c r="G63" s="46">
        <v>8</v>
      </c>
      <c r="H63" s="48">
        <v>10</v>
      </c>
      <c r="I63" s="135"/>
      <c r="J63" s="135"/>
      <c r="K63" s="46"/>
      <c r="L63" s="134"/>
      <c r="Q63" s="92" t="s">
        <v>103</v>
      </c>
      <c r="R63" s="93">
        <v>0</v>
      </c>
      <c r="U63" s="65">
        <v>42</v>
      </c>
      <c r="V63" s="63" t="s">
        <v>203</v>
      </c>
      <c r="W63" s="63"/>
      <c r="X63" s="63"/>
      <c r="Y63" s="68" t="s">
        <v>214</v>
      </c>
    </row>
    <row r="64" spans="2:25" ht="25.05" customHeight="1" thickBot="1" x14ac:dyDescent="0.35">
      <c r="B64" s="138" t="s">
        <v>271</v>
      </c>
      <c r="C64" s="46"/>
      <c r="D64" s="46"/>
      <c r="E64" s="46"/>
      <c r="F64" s="46"/>
      <c r="G64" s="46"/>
      <c r="H64" s="46"/>
      <c r="I64" s="136"/>
      <c r="J64" s="46"/>
      <c r="K64" s="46"/>
      <c r="L64" s="134"/>
      <c r="Q64" s="92" t="s">
        <v>104</v>
      </c>
      <c r="R64" s="93">
        <v>2</v>
      </c>
      <c r="U64" s="65">
        <v>43</v>
      </c>
      <c r="V64" s="63" t="s">
        <v>34</v>
      </c>
      <c r="W64" s="63" t="s">
        <v>34</v>
      </c>
      <c r="X64" s="63"/>
      <c r="Y64" s="68"/>
    </row>
    <row r="65" spans="2:25" ht="25.05" customHeight="1" thickBot="1" x14ac:dyDescent="0.35">
      <c r="B65" s="138" t="s">
        <v>272</v>
      </c>
      <c r="C65" s="46"/>
      <c r="D65" s="46"/>
      <c r="E65" s="46"/>
      <c r="F65" s="46"/>
      <c r="G65" s="46"/>
      <c r="H65" s="46"/>
      <c r="I65" s="46"/>
      <c r="J65" s="136"/>
      <c r="K65" s="46"/>
      <c r="L65" s="134"/>
      <c r="Q65" s="92" t="s">
        <v>105</v>
      </c>
      <c r="R65" s="93">
        <v>1</v>
      </c>
      <c r="U65" s="65">
        <v>44</v>
      </c>
      <c r="V65" s="63" t="s">
        <v>224</v>
      </c>
      <c r="W65" s="63"/>
      <c r="X65" s="63"/>
      <c r="Y65" s="68" t="s">
        <v>214</v>
      </c>
    </row>
    <row r="66" spans="2:25" ht="25.05" customHeight="1" thickBot="1" x14ac:dyDescent="0.35">
      <c r="B66" s="138" t="s">
        <v>273</v>
      </c>
      <c r="C66" s="46"/>
      <c r="D66" s="46"/>
      <c r="E66" s="46"/>
      <c r="F66" s="46"/>
      <c r="G66" s="46"/>
      <c r="H66" s="46"/>
      <c r="I66" s="46"/>
      <c r="J66" s="46"/>
      <c r="K66" s="136"/>
      <c r="L66" s="134"/>
      <c r="Q66" s="92" t="s">
        <v>106</v>
      </c>
      <c r="R66" s="93">
        <v>7</v>
      </c>
      <c r="U66" s="65">
        <v>45</v>
      </c>
      <c r="V66" s="63" t="s">
        <v>48</v>
      </c>
      <c r="W66" s="63"/>
      <c r="X66" s="63" t="s">
        <v>48</v>
      </c>
      <c r="Y66" s="68"/>
    </row>
    <row r="67" spans="2:25" ht="25.05" customHeight="1" thickBot="1" x14ac:dyDescent="0.35">
      <c r="B67" s="138" t="s">
        <v>274</v>
      </c>
      <c r="C67" s="47"/>
      <c r="D67" s="47"/>
      <c r="E67" s="47"/>
      <c r="F67" s="47"/>
      <c r="G67" s="47"/>
      <c r="H67" s="47"/>
      <c r="I67" s="47"/>
      <c r="J67" s="47"/>
      <c r="K67" s="47"/>
      <c r="L67" s="49"/>
      <c r="Q67" s="92" t="s">
        <v>107</v>
      </c>
      <c r="R67" s="93">
        <v>0</v>
      </c>
      <c r="U67" s="65">
        <v>46</v>
      </c>
      <c r="V67" s="63" t="s">
        <v>225</v>
      </c>
      <c r="W67" s="63"/>
      <c r="X67" s="63"/>
      <c r="Y67" s="68" t="s">
        <v>53</v>
      </c>
    </row>
    <row r="68" spans="2:25" ht="18" x14ac:dyDescent="0.3">
      <c r="Q68" s="92" t="s">
        <v>108</v>
      </c>
      <c r="R68" s="93">
        <v>0</v>
      </c>
      <c r="U68" s="65">
        <v>47</v>
      </c>
      <c r="V68" s="66" t="s">
        <v>204</v>
      </c>
      <c r="W68" s="63"/>
      <c r="X68" s="63" t="s">
        <v>48</v>
      </c>
      <c r="Y68" s="68"/>
    </row>
    <row r="69" spans="2:25" ht="18" x14ac:dyDescent="0.3">
      <c r="Q69" s="92" t="s">
        <v>109</v>
      </c>
      <c r="R69" s="93">
        <v>1</v>
      </c>
      <c r="U69" s="65">
        <v>48</v>
      </c>
      <c r="V69" s="63" t="s">
        <v>226</v>
      </c>
      <c r="W69" s="63" t="s">
        <v>31</v>
      </c>
      <c r="X69" s="63"/>
      <c r="Y69" s="68"/>
    </row>
    <row r="70" spans="2:25" ht="18" x14ac:dyDescent="0.3">
      <c r="Q70" s="92" t="s">
        <v>110</v>
      </c>
      <c r="R70" s="93">
        <v>0</v>
      </c>
      <c r="U70" s="65">
        <v>49</v>
      </c>
      <c r="V70" s="63" t="s">
        <v>227</v>
      </c>
      <c r="W70" s="63" t="s">
        <v>31</v>
      </c>
      <c r="X70" s="63"/>
      <c r="Y70" s="68"/>
    </row>
    <row r="71" spans="2:25" ht="18" x14ac:dyDescent="0.3">
      <c r="Q71" s="92" t="s">
        <v>111</v>
      </c>
      <c r="R71" s="93">
        <v>1</v>
      </c>
      <c r="U71" s="65">
        <v>50</v>
      </c>
      <c r="V71" s="63" t="s">
        <v>228</v>
      </c>
      <c r="W71" s="63"/>
      <c r="X71" s="63"/>
      <c r="Y71" s="68" t="s">
        <v>59</v>
      </c>
    </row>
    <row r="72" spans="2:25" ht="18" x14ac:dyDescent="0.3">
      <c r="Q72" s="92" t="s">
        <v>112</v>
      </c>
      <c r="R72" s="93">
        <v>2</v>
      </c>
      <c r="U72" s="65">
        <v>51</v>
      </c>
      <c r="V72" s="66" t="s">
        <v>229</v>
      </c>
      <c r="W72" s="63"/>
      <c r="X72" s="63"/>
      <c r="Y72" s="68" t="s">
        <v>57</v>
      </c>
    </row>
    <row r="73" spans="2:25" ht="18.600000000000001" thickBot="1" x14ac:dyDescent="0.35">
      <c r="Q73" s="92" t="s">
        <v>113</v>
      </c>
      <c r="R73" s="93">
        <v>1</v>
      </c>
      <c r="U73" s="65">
        <v>52</v>
      </c>
      <c r="V73" s="63" t="s">
        <v>230</v>
      </c>
      <c r="W73" s="63"/>
      <c r="X73" s="63"/>
      <c r="Y73" s="68" t="s">
        <v>54</v>
      </c>
    </row>
    <row r="74" spans="2:25" ht="27.6" customHeight="1" thickBot="1" x14ac:dyDescent="0.35">
      <c r="B74" s="170" t="s">
        <v>176</v>
      </c>
      <c r="C74" s="171"/>
      <c r="D74" s="172"/>
      <c r="F74" s="170" t="s">
        <v>177</v>
      </c>
      <c r="G74" s="171"/>
      <c r="H74" s="172"/>
      <c r="J74" s="170" t="s">
        <v>248</v>
      </c>
      <c r="K74" s="171"/>
      <c r="L74" s="172"/>
      <c r="Q74" s="92" t="s">
        <v>114</v>
      </c>
      <c r="R74" s="93">
        <v>1</v>
      </c>
      <c r="U74" s="65">
        <v>53</v>
      </c>
      <c r="V74" s="63" t="s">
        <v>48</v>
      </c>
      <c r="W74" s="63"/>
      <c r="X74" s="63" t="s">
        <v>48</v>
      </c>
      <c r="Y74" s="68"/>
    </row>
    <row r="75" spans="2:25" ht="18.600000000000001" thickBot="1" x14ac:dyDescent="0.35">
      <c r="B75" s="126" t="s">
        <v>165</v>
      </c>
      <c r="C75" s="127" t="s">
        <v>263</v>
      </c>
      <c r="D75" s="127" t="s">
        <v>262</v>
      </c>
      <c r="F75" s="126" t="s">
        <v>166</v>
      </c>
      <c r="G75" s="127" t="s">
        <v>263</v>
      </c>
      <c r="H75" s="127" t="s">
        <v>262</v>
      </c>
      <c r="J75" s="126" t="s">
        <v>321</v>
      </c>
      <c r="K75" s="127" t="s">
        <v>263</v>
      </c>
      <c r="L75" s="127" t="s">
        <v>262</v>
      </c>
      <c r="Q75" s="92" t="s">
        <v>115</v>
      </c>
      <c r="R75" s="93">
        <v>0</v>
      </c>
      <c r="U75" s="65">
        <v>54</v>
      </c>
      <c r="V75" s="63" t="s">
        <v>205</v>
      </c>
      <c r="W75" s="63"/>
      <c r="X75" s="63" t="s">
        <v>191</v>
      </c>
      <c r="Y75" s="68"/>
    </row>
    <row r="76" spans="2:25" ht="18.600000000000001" thickBot="1" x14ac:dyDescent="0.35">
      <c r="B76" s="131">
        <v>1E-3</v>
      </c>
      <c r="C76" s="130">
        <v>0</v>
      </c>
      <c r="D76" s="129">
        <f t="shared" ref="D76:D85" si="0">C76/MAX($C$76:$C$85) * 10</f>
        <v>0</v>
      </c>
      <c r="F76" s="128">
        <v>0</v>
      </c>
      <c r="G76" s="130">
        <v>0</v>
      </c>
      <c r="H76" s="129">
        <f t="shared" ref="H76:H85" si="1">G76/MAX($G$76:$G$85) * 10</f>
        <v>0</v>
      </c>
      <c r="J76" s="107">
        <v>0</v>
      </c>
      <c r="K76" s="130"/>
      <c r="L76" s="129">
        <v>10</v>
      </c>
      <c r="Q76" s="92" t="s">
        <v>116</v>
      </c>
      <c r="R76" s="93">
        <v>2</v>
      </c>
      <c r="U76" s="65">
        <v>55</v>
      </c>
      <c r="V76" s="63" t="s">
        <v>231</v>
      </c>
      <c r="W76" s="63"/>
      <c r="X76" s="63"/>
      <c r="Y76" s="68" t="s">
        <v>214</v>
      </c>
    </row>
    <row r="77" spans="2:25" ht="18.600000000000001" thickBot="1" x14ac:dyDescent="0.35">
      <c r="B77" s="131">
        <v>2.5</v>
      </c>
      <c r="C77" s="130">
        <v>218</v>
      </c>
      <c r="D77" s="129">
        <f t="shared" si="0"/>
        <v>4.4219066937119678</v>
      </c>
      <c r="F77" s="128">
        <f>F76+250000</f>
        <v>250000</v>
      </c>
      <c r="G77" s="130">
        <v>222</v>
      </c>
      <c r="H77" s="129">
        <f t="shared" si="1"/>
        <v>5.5361596009975065</v>
      </c>
      <c r="J77" s="107">
        <v>25</v>
      </c>
      <c r="K77" s="130"/>
      <c r="L77" s="129">
        <v>8</v>
      </c>
      <c r="Q77" s="92" t="s">
        <v>117</v>
      </c>
      <c r="R77" s="93">
        <v>1</v>
      </c>
      <c r="U77" s="65">
        <v>56</v>
      </c>
      <c r="V77" s="63" t="s">
        <v>230</v>
      </c>
      <c r="W77" s="63"/>
      <c r="X77" s="63"/>
      <c r="Y77" s="68" t="s">
        <v>54</v>
      </c>
    </row>
    <row r="78" spans="2:25" ht="18.600000000000001" thickBot="1" x14ac:dyDescent="0.35">
      <c r="B78" s="131">
        <f>B77+5</f>
        <v>7.5</v>
      </c>
      <c r="C78" s="130">
        <v>452</v>
      </c>
      <c r="D78" s="129">
        <f t="shared" si="0"/>
        <v>9.1683569979716033</v>
      </c>
      <c r="F78" s="128">
        <f t="shared" ref="F78:F84" si="2">F77+500000</f>
        <v>750000</v>
      </c>
      <c r="G78" s="130">
        <v>401</v>
      </c>
      <c r="H78" s="129">
        <f t="shared" si="1"/>
        <v>10</v>
      </c>
      <c r="J78" s="107">
        <v>120</v>
      </c>
      <c r="K78" s="130"/>
      <c r="L78" s="129">
        <v>0</v>
      </c>
      <c r="Q78" s="92" t="s">
        <v>118</v>
      </c>
      <c r="R78" s="93">
        <v>5</v>
      </c>
      <c r="U78" s="65">
        <v>57</v>
      </c>
      <c r="V78" s="63" t="s">
        <v>206</v>
      </c>
      <c r="W78" s="63"/>
      <c r="X78" s="63"/>
      <c r="Y78" s="68" t="s">
        <v>57</v>
      </c>
    </row>
    <row r="79" spans="2:25" ht="18.600000000000001" thickBot="1" x14ac:dyDescent="0.35">
      <c r="B79" s="131">
        <f t="shared" ref="B79:B84" si="3">B78+5</f>
        <v>12.5</v>
      </c>
      <c r="C79" s="130">
        <v>493</v>
      </c>
      <c r="D79" s="129">
        <f t="shared" si="0"/>
        <v>10</v>
      </c>
      <c r="F79" s="128">
        <f t="shared" si="2"/>
        <v>1250000</v>
      </c>
      <c r="G79" s="130">
        <v>366</v>
      </c>
      <c r="H79" s="129">
        <f t="shared" si="1"/>
        <v>9.1271820448877801</v>
      </c>
      <c r="J79" s="107"/>
      <c r="K79" s="130"/>
      <c r="L79" s="129"/>
      <c r="Q79" s="92" t="s">
        <v>119</v>
      </c>
      <c r="R79" s="93">
        <v>2</v>
      </c>
      <c r="U79" s="65">
        <v>58</v>
      </c>
      <c r="V79" s="63" t="s">
        <v>207</v>
      </c>
      <c r="W79" s="63"/>
      <c r="X79" s="63"/>
      <c r="Y79" s="68" t="s">
        <v>264</v>
      </c>
    </row>
    <row r="80" spans="2:25" ht="18.600000000000001" thickBot="1" x14ac:dyDescent="0.35">
      <c r="B80" s="131">
        <f t="shared" si="3"/>
        <v>17.5</v>
      </c>
      <c r="C80" s="130">
        <v>343</v>
      </c>
      <c r="D80" s="129">
        <f t="shared" si="0"/>
        <v>6.9574036511156194</v>
      </c>
      <c r="F80" s="128">
        <f t="shared" si="2"/>
        <v>1750000</v>
      </c>
      <c r="G80" s="130">
        <v>268</v>
      </c>
      <c r="H80" s="129">
        <f t="shared" si="1"/>
        <v>6.6832917705735664</v>
      </c>
      <c r="J80" s="128"/>
      <c r="K80" s="130"/>
      <c r="L80" s="129"/>
      <c r="Q80" s="92" t="s">
        <v>120</v>
      </c>
      <c r="R80" s="93">
        <v>0</v>
      </c>
      <c r="U80" s="65">
        <v>59</v>
      </c>
      <c r="V80" s="63" t="s">
        <v>232</v>
      </c>
      <c r="W80" s="63"/>
      <c r="X80" s="63"/>
      <c r="Y80" s="68" t="s">
        <v>54</v>
      </c>
    </row>
    <row r="81" spans="2:25" ht="18.600000000000001" thickBot="1" x14ac:dyDescent="0.35">
      <c r="B81" s="131">
        <f t="shared" si="3"/>
        <v>22.5</v>
      </c>
      <c r="C81" s="130">
        <v>176</v>
      </c>
      <c r="D81" s="129">
        <f t="shared" si="0"/>
        <v>3.5699797160243407</v>
      </c>
      <c r="F81" s="128">
        <f t="shared" si="2"/>
        <v>2250000</v>
      </c>
      <c r="G81" s="130">
        <v>171</v>
      </c>
      <c r="H81" s="129">
        <f t="shared" si="1"/>
        <v>4.2643391521197005</v>
      </c>
      <c r="J81" s="128"/>
      <c r="K81" s="130"/>
      <c r="L81" s="129"/>
      <c r="Q81" s="92" t="s">
        <v>121</v>
      </c>
      <c r="R81" s="93">
        <v>2</v>
      </c>
      <c r="U81" s="65">
        <v>60</v>
      </c>
      <c r="V81" s="63" t="s">
        <v>208</v>
      </c>
      <c r="W81" s="63" t="s">
        <v>27</v>
      </c>
      <c r="X81" s="63"/>
      <c r="Y81" s="68"/>
    </row>
    <row r="82" spans="2:25" ht="18.600000000000001" thickBot="1" x14ac:dyDescent="0.35">
      <c r="B82" s="131">
        <f t="shared" si="3"/>
        <v>27.5</v>
      </c>
      <c r="C82" s="130">
        <v>92</v>
      </c>
      <c r="D82" s="129">
        <f t="shared" si="0"/>
        <v>1.8661257606490871</v>
      </c>
      <c r="F82" s="128">
        <f t="shared" si="2"/>
        <v>2750000</v>
      </c>
      <c r="G82" s="130">
        <v>91</v>
      </c>
      <c r="H82" s="129">
        <f t="shared" si="1"/>
        <v>2.2693266832917707</v>
      </c>
      <c r="J82" s="128"/>
      <c r="K82" s="130"/>
      <c r="L82" s="129"/>
      <c r="Q82" s="92" t="s">
        <v>122</v>
      </c>
      <c r="R82" s="93">
        <v>4</v>
      </c>
      <c r="U82" s="65">
        <v>61</v>
      </c>
      <c r="V82" s="63" t="s">
        <v>212</v>
      </c>
      <c r="W82" s="63"/>
      <c r="X82" s="63" t="s">
        <v>42</v>
      </c>
      <c r="Y82" s="68"/>
    </row>
    <row r="83" spans="2:25" ht="18.600000000000001" thickBot="1" x14ac:dyDescent="0.35">
      <c r="B83" s="131">
        <f t="shared" si="3"/>
        <v>32.5</v>
      </c>
      <c r="C83" s="130">
        <v>52</v>
      </c>
      <c r="D83" s="129">
        <f t="shared" si="0"/>
        <v>1.054766734279919</v>
      </c>
      <c r="F83" s="128">
        <f t="shared" si="2"/>
        <v>3250000</v>
      </c>
      <c r="G83" s="130">
        <v>75</v>
      </c>
      <c r="H83" s="129">
        <f t="shared" si="1"/>
        <v>1.8703241895261846</v>
      </c>
      <c r="J83" s="128"/>
      <c r="K83" s="130"/>
      <c r="L83" s="129"/>
      <c r="Q83" s="92" t="s">
        <v>123</v>
      </c>
      <c r="R83" s="93">
        <v>0</v>
      </c>
      <c r="U83" s="65">
        <v>62</v>
      </c>
      <c r="V83" s="63" t="s">
        <v>233</v>
      </c>
      <c r="W83" s="63"/>
      <c r="X83" s="63"/>
      <c r="Y83" s="68" t="s">
        <v>57</v>
      </c>
    </row>
    <row r="84" spans="2:25" ht="18.600000000000001" thickBot="1" x14ac:dyDescent="0.35">
      <c r="B84" s="131">
        <f t="shared" si="3"/>
        <v>37.5</v>
      </c>
      <c r="C84" s="130">
        <v>21</v>
      </c>
      <c r="D84" s="129">
        <f t="shared" si="0"/>
        <v>0.42596348884381341</v>
      </c>
      <c r="F84" s="128">
        <f t="shared" si="2"/>
        <v>3750000</v>
      </c>
      <c r="G84" s="130">
        <v>58</v>
      </c>
      <c r="H84" s="129">
        <f t="shared" si="1"/>
        <v>1.4463840399002494</v>
      </c>
      <c r="J84" s="128"/>
      <c r="K84" s="130"/>
      <c r="L84" s="129"/>
      <c r="Q84" s="92" t="s">
        <v>124</v>
      </c>
      <c r="R84" s="93">
        <v>0</v>
      </c>
      <c r="U84" s="65">
        <v>63</v>
      </c>
      <c r="V84" s="63" t="s">
        <v>234</v>
      </c>
      <c r="W84" s="63" t="s">
        <v>25</v>
      </c>
      <c r="X84" s="63"/>
      <c r="Y84" s="68"/>
    </row>
    <row r="85" spans="2:25" ht="18.600000000000001" thickBot="1" x14ac:dyDescent="0.35">
      <c r="B85" s="131">
        <v>55</v>
      </c>
      <c r="C85" s="130">
        <v>0</v>
      </c>
      <c r="D85" s="129">
        <f t="shared" si="0"/>
        <v>0</v>
      </c>
      <c r="F85" s="128">
        <v>5000000</v>
      </c>
      <c r="G85" s="130">
        <v>23</v>
      </c>
      <c r="H85" s="129">
        <f t="shared" si="1"/>
        <v>0.57356608478802995</v>
      </c>
      <c r="J85" s="128"/>
      <c r="K85" s="130"/>
      <c r="L85" s="129"/>
      <c r="Q85" s="92" t="s">
        <v>125</v>
      </c>
      <c r="R85" s="93">
        <v>3</v>
      </c>
      <c r="U85" s="65">
        <v>64</v>
      </c>
      <c r="V85" s="63" t="s">
        <v>235</v>
      </c>
      <c r="W85" s="63"/>
      <c r="X85" s="63"/>
      <c r="Y85" s="68" t="s">
        <v>214</v>
      </c>
    </row>
    <row r="86" spans="2:25" ht="18" x14ac:dyDescent="0.3">
      <c r="Q86" s="92" t="s">
        <v>126</v>
      </c>
      <c r="R86" s="93">
        <v>1</v>
      </c>
      <c r="U86" s="65">
        <v>65</v>
      </c>
      <c r="V86" s="63" t="s">
        <v>209</v>
      </c>
      <c r="W86" s="63"/>
      <c r="X86" s="63"/>
      <c r="Y86" s="68" t="s">
        <v>54</v>
      </c>
    </row>
    <row r="87" spans="2:25" ht="18" x14ac:dyDescent="0.3">
      <c r="Q87" s="92" t="s">
        <v>127</v>
      </c>
      <c r="R87" s="93">
        <v>0</v>
      </c>
      <c r="U87" s="65">
        <v>66</v>
      </c>
      <c r="V87" s="63" t="s">
        <v>230</v>
      </c>
      <c r="W87" s="63"/>
      <c r="X87" s="63"/>
      <c r="Y87" s="68" t="s">
        <v>54</v>
      </c>
    </row>
    <row r="88" spans="2:25" ht="18" x14ac:dyDescent="0.3">
      <c r="Q88" s="92" t="s">
        <v>128</v>
      </c>
      <c r="R88" s="93">
        <v>0</v>
      </c>
      <c r="U88" s="65">
        <v>67</v>
      </c>
      <c r="V88" s="66" t="s">
        <v>210</v>
      </c>
      <c r="W88" s="63" t="s">
        <v>29</v>
      </c>
      <c r="X88" s="63"/>
      <c r="Y88" s="68" t="s">
        <v>54</v>
      </c>
    </row>
    <row r="89" spans="2:25" ht="31.8" thickBot="1" x14ac:dyDescent="0.35">
      <c r="Q89" s="92" t="s">
        <v>129</v>
      </c>
      <c r="R89" s="93">
        <v>0</v>
      </c>
      <c r="U89" s="65">
        <v>68</v>
      </c>
      <c r="V89" s="66" t="s">
        <v>194</v>
      </c>
      <c r="W89" s="63"/>
      <c r="X89" s="66" t="s">
        <v>186</v>
      </c>
      <c r="Y89" s="68"/>
    </row>
    <row r="90" spans="2:25" ht="21.6" thickBot="1" x14ac:dyDescent="0.45">
      <c r="B90" s="164" t="s">
        <v>244</v>
      </c>
      <c r="C90" s="165"/>
      <c r="D90" s="166"/>
      <c r="J90" s="170" t="s">
        <v>275</v>
      </c>
      <c r="K90" s="171"/>
      <c r="L90" s="172"/>
      <c r="Q90" s="92" t="s">
        <v>130</v>
      </c>
      <c r="R90" s="93">
        <v>3</v>
      </c>
      <c r="U90" s="65">
        <v>69</v>
      </c>
      <c r="V90" s="63" t="s">
        <v>211</v>
      </c>
      <c r="W90" s="63" t="s">
        <v>29</v>
      </c>
      <c r="X90" s="63"/>
      <c r="Y90" s="68"/>
    </row>
    <row r="91" spans="2:25" ht="18.600000000000001" thickBot="1" x14ac:dyDescent="0.35">
      <c r="B91" s="109"/>
      <c r="C91" s="110"/>
      <c r="D91" s="111"/>
      <c r="J91" s="126" t="s">
        <v>276</v>
      </c>
      <c r="K91" s="127" t="s">
        <v>263</v>
      </c>
      <c r="L91" s="127" t="s">
        <v>262</v>
      </c>
      <c r="Q91" s="92" t="s">
        <v>131</v>
      </c>
      <c r="R91" s="93">
        <v>1</v>
      </c>
      <c r="U91" s="65">
        <v>70</v>
      </c>
      <c r="V91" s="63" t="s">
        <v>213</v>
      </c>
      <c r="W91" s="63"/>
      <c r="X91" s="63" t="s">
        <v>46</v>
      </c>
      <c r="Y91" s="68"/>
    </row>
    <row r="92" spans="2:25" ht="18.600000000000001" thickBot="1" x14ac:dyDescent="0.4">
      <c r="B92" s="108">
        <v>0</v>
      </c>
      <c r="C92" s="108">
        <v>50</v>
      </c>
      <c r="D92" s="81"/>
      <c r="J92" s="119">
        <v>0</v>
      </c>
      <c r="K92" s="130"/>
      <c r="L92" s="129">
        <v>10</v>
      </c>
      <c r="Q92" s="92" t="s">
        <v>132</v>
      </c>
      <c r="R92" s="93">
        <v>1</v>
      </c>
      <c r="U92" s="65">
        <v>71</v>
      </c>
      <c r="V92" s="63" t="s">
        <v>35</v>
      </c>
      <c r="W92" s="63" t="s">
        <v>35</v>
      </c>
      <c r="X92" s="63"/>
      <c r="Y92" s="68"/>
    </row>
    <row r="93" spans="2:25" ht="18.600000000000001" thickBot="1" x14ac:dyDescent="0.4">
      <c r="B93" s="108">
        <f>C92</f>
        <v>50</v>
      </c>
      <c r="C93" s="108">
        <v>70</v>
      </c>
      <c r="D93" s="82"/>
      <c r="F93" s="157" t="s">
        <v>653</v>
      </c>
      <c r="G93" s="157" t="s">
        <v>262</v>
      </c>
      <c r="J93" s="119">
        <v>1</v>
      </c>
      <c r="K93" s="130"/>
      <c r="L93" s="129">
        <v>0</v>
      </c>
      <c r="Q93" s="92" t="s">
        <v>133</v>
      </c>
      <c r="R93" s="93">
        <v>3</v>
      </c>
      <c r="U93" s="65">
        <v>72</v>
      </c>
      <c r="V93" s="63" t="s">
        <v>42</v>
      </c>
      <c r="W93" s="63"/>
      <c r="X93" s="63" t="s">
        <v>42</v>
      </c>
      <c r="Y93" s="68"/>
    </row>
    <row r="94" spans="2:25" ht="18.600000000000001" thickBot="1" x14ac:dyDescent="0.4">
      <c r="B94" s="108">
        <f>C93</f>
        <v>70</v>
      </c>
      <c r="C94" s="108">
        <v>100</v>
      </c>
      <c r="D94" s="80"/>
      <c r="F94" s="158">
        <v>0</v>
      </c>
      <c r="G94" s="158">
        <v>0</v>
      </c>
      <c r="Q94" s="92" t="s">
        <v>134</v>
      </c>
      <c r="R94" s="93">
        <v>3</v>
      </c>
      <c r="U94" s="65">
        <v>73</v>
      </c>
      <c r="V94" s="63" t="s">
        <v>236</v>
      </c>
      <c r="W94" s="63"/>
      <c r="X94" s="63" t="s">
        <v>43</v>
      </c>
      <c r="Y94" s="68"/>
    </row>
    <row r="95" spans="2:25" ht="18" x14ac:dyDescent="0.3">
      <c r="F95" s="158">
        <v>1</v>
      </c>
      <c r="G95" s="158">
        <v>9</v>
      </c>
      <c r="Q95" s="92" t="s">
        <v>135</v>
      </c>
      <c r="R95" s="93">
        <v>1</v>
      </c>
      <c r="U95" s="65">
        <v>74</v>
      </c>
      <c r="V95" s="63" t="s">
        <v>245</v>
      </c>
      <c r="W95" s="63" t="s">
        <v>29</v>
      </c>
      <c r="X95" s="68"/>
      <c r="Y95" s="68" t="s">
        <v>54</v>
      </c>
    </row>
    <row r="96" spans="2:25" ht="18" x14ac:dyDescent="0.3">
      <c r="F96" s="158">
        <v>2</v>
      </c>
      <c r="G96" s="158">
        <v>10</v>
      </c>
      <c r="Q96" s="92" t="s">
        <v>136</v>
      </c>
      <c r="R96" s="93">
        <v>1</v>
      </c>
      <c r="U96" s="65">
        <v>75</v>
      </c>
      <c r="V96" s="63" t="s">
        <v>246</v>
      </c>
      <c r="W96" s="63"/>
      <c r="X96" s="63"/>
      <c r="Y96" s="68" t="s">
        <v>53</v>
      </c>
    </row>
    <row r="97" spans="6:25" ht="31.2" x14ac:dyDescent="0.3">
      <c r="F97" s="158">
        <v>4</v>
      </c>
      <c r="G97" s="158">
        <v>10</v>
      </c>
      <c r="Q97" s="92" t="s">
        <v>137</v>
      </c>
      <c r="R97" s="93">
        <v>2</v>
      </c>
      <c r="U97" s="65">
        <v>76</v>
      </c>
      <c r="V97" s="74" t="s">
        <v>247</v>
      </c>
      <c r="W97" s="63"/>
      <c r="X97" s="66" t="s">
        <v>186</v>
      </c>
      <c r="Y97" s="68"/>
    </row>
    <row r="98" spans="6:25" ht="18" x14ac:dyDescent="0.3">
      <c r="F98" s="158">
        <v>10</v>
      </c>
      <c r="G98" s="158">
        <v>4</v>
      </c>
      <c r="Q98" s="92" t="s">
        <v>138</v>
      </c>
      <c r="R98" s="93">
        <v>6</v>
      </c>
      <c r="U98" s="65">
        <v>77</v>
      </c>
      <c r="V98" s="63" t="s">
        <v>265</v>
      </c>
      <c r="W98" s="63"/>
      <c r="X98" s="63"/>
      <c r="Y98" s="68" t="s">
        <v>53</v>
      </c>
    </row>
    <row r="99" spans="6:25" ht="38.4" customHeight="1" x14ac:dyDescent="0.3">
      <c r="F99" s="158">
        <v>15</v>
      </c>
      <c r="G99" s="158">
        <v>0</v>
      </c>
      <c r="Q99" s="92" t="s">
        <v>139</v>
      </c>
      <c r="R99" s="93">
        <v>1</v>
      </c>
      <c r="U99" s="65">
        <v>78</v>
      </c>
      <c r="V99" s="63" t="s">
        <v>266</v>
      </c>
      <c r="W99" s="63"/>
      <c r="X99" s="63"/>
      <c r="Y99" s="68" t="s">
        <v>59</v>
      </c>
    </row>
    <row r="100" spans="6:25" ht="46.2" customHeight="1" x14ac:dyDescent="0.3">
      <c r="Q100" s="92" t="s">
        <v>140</v>
      </c>
      <c r="R100" s="93">
        <v>0</v>
      </c>
      <c r="U100" s="65">
        <v>79</v>
      </c>
      <c r="V100" s="106" t="s">
        <v>267</v>
      </c>
      <c r="W100" s="63"/>
      <c r="X100" s="63"/>
      <c r="Y100" s="68" t="s">
        <v>53</v>
      </c>
    </row>
    <row r="101" spans="6:25" ht="18" x14ac:dyDescent="0.3">
      <c r="Q101" s="92" t="s">
        <v>141</v>
      </c>
      <c r="R101" s="93">
        <v>3</v>
      </c>
      <c r="U101" s="65">
        <v>80</v>
      </c>
      <c r="V101" s="116" t="s">
        <v>268</v>
      </c>
      <c r="W101" s="63"/>
      <c r="X101" s="63"/>
      <c r="Y101" s="68" t="s">
        <v>214</v>
      </c>
    </row>
    <row r="102" spans="6:25" ht="18" x14ac:dyDescent="0.3">
      <c r="Q102" s="92" t="s">
        <v>142</v>
      </c>
      <c r="R102" s="93">
        <v>1</v>
      </c>
      <c r="U102" s="65">
        <v>81</v>
      </c>
      <c r="V102" s="63" t="s">
        <v>46</v>
      </c>
      <c r="W102" s="63"/>
      <c r="X102" s="63" t="s">
        <v>46</v>
      </c>
      <c r="Y102" s="68"/>
    </row>
    <row r="103" spans="6:25" ht="18" x14ac:dyDescent="0.3">
      <c r="Q103" s="92" t="s">
        <v>143</v>
      </c>
      <c r="R103" s="93">
        <v>1</v>
      </c>
    </row>
    <row r="104" spans="6:25" ht="18" x14ac:dyDescent="0.3">
      <c r="Q104" s="92" t="s">
        <v>144</v>
      </c>
      <c r="R104" s="93">
        <v>0</v>
      </c>
    </row>
    <row r="105" spans="6:25" ht="18" x14ac:dyDescent="0.3">
      <c r="Q105" s="92" t="s">
        <v>145</v>
      </c>
      <c r="R105" s="93">
        <v>1</v>
      </c>
    </row>
    <row r="106" spans="6:25" ht="18" x14ac:dyDescent="0.3">
      <c r="Q106" s="92" t="s">
        <v>146</v>
      </c>
      <c r="R106" s="93">
        <v>0</v>
      </c>
    </row>
    <row r="107" spans="6:25" ht="18" x14ac:dyDescent="0.3">
      <c r="Q107" s="92" t="s">
        <v>147</v>
      </c>
      <c r="R107" s="93">
        <v>0</v>
      </c>
    </row>
    <row r="108" spans="6:25" ht="18" x14ac:dyDescent="0.3">
      <c r="Q108" s="92" t="s">
        <v>148</v>
      </c>
      <c r="R108" s="93">
        <v>1</v>
      </c>
    </row>
    <row r="109" spans="6:25" ht="18" x14ac:dyDescent="0.3">
      <c r="Q109" s="92" t="s">
        <v>149</v>
      </c>
      <c r="R109" s="93">
        <v>1</v>
      </c>
    </row>
    <row r="110" spans="6:25" ht="18" x14ac:dyDescent="0.3">
      <c r="Q110" s="92" t="s">
        <v>150</v>
      </c>
      <c r="R110" s="93">
        <v>0</v>
      </c>
    </row>
    <row r="111" spans="6:25" ht="18" x14ac:dyDescent="0.3">
      <c r="Q111" s="92" t="s">
        <v>151</v>
      </c>
      <c r="R111" s="93">
        <v>1</v>
      </c>
    </row>
    <row r="112" spans="6:25" ht="18" x14ac:dyDescent="0.3">
      <c r="Q112" s="92" t="s">
        <v>152</v>
      </c>
      <c r="R112" s="93">
        <v>1</v>
      </c>
    </row>
    <row r="113" spans="17:18" ht="18" x14ac:dyDescent="0.3">
      <c r="Q113" s="92" t="s">
        <v>153</v>
      </c>
      <c r="R113" s="93">
        <v>2</v>
      </c>
    </row>
    <row r="114" spans="17:18" ht="18" x14ac:dyDescent="0.3">
      <c r="Q114" s="92" t="s">
        <v>154</v>
      </c>
      <c r="R114" s="93">
        <v>2</v>
      </c>
    </row>
    <row r="115" spans="17:18" ht="18" x14ac:dyDescent="0.3">
      <c r="Q115" s="92" t="s">
        <v>251</v>
      </c>
      <c r="R115" s="93">
        <v>12</v>
      </c>
    </row>
    <row r="116" spans="17:18" ht="18" x14ac:dyDescent="0.3">
      <c r="Q116" s="92" t="s">
        <v>255</v>
      </c>
      <c r="R116" s="93">
        <f>SUM(R20:R114)/95</f>
        <v>1.3263157894736841</v>
      </c>
    </row>
  </sheetData>
  <mergeCells count="22">
    <mergeCell ref="U20:Y20"/>
    <mergeCell ref="B5:J9"/>
    <mergeCell ref="B16:C16"/>
    <mergeCell ref="B17:C17"/>
    <mergeCell ref="U18:Y18"/>
    <mergeCell ref="U19:Y19"/>
    <mergeCell ref="B90:D90"/>
    <mergeCell ref="B11:C11"/>
    <mergeCell ref="B12:C12"/>
    <mergeCell ref="B13:C13"/>
    <mergeCell ref="B14:C14"/>
    <mergeCell ref="B18:C18"/>
    <mergeCell ref="B19:C19"/>
    <mergeCell ref="B20:C20"/>
    <mergeCell ref="B24:L24"/>
    <mergeCell ref="B22:D22"/>
    <mergeCell ref="J90:L90"/>
    <mergeCell ref="B39:L39"/>
    <mergeCell ref="B55:L55"/>
    <mergeCell ref="B74:D74"/>
    <mergeCell ref="F74:H74"/>
    <mergeCell ref="J74:L74"/>
  </mergeCells>
  <conditionalFormatting sqref="B22:D22">
    <cfRule type="expression" dxfId="0" priority="1">
      <formula>"J14 &gt; 1.0"</formula>
    </cfRule>
  </conditionalFormatting>
  <pageMargins left="0.7" right="0.7" top="0.75" bottom="0.75" header="0.3" footer="0.3"/>
  <ignoredErrors>
    <ignoredError sqref="R116"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E7D58-11D3-4D45-9509-553A3198D121}">
  <sheetPr codeName="Sheet4"/>
  <dimension ref="A2:Y104"/>
  <sheetViews>
    <sheetView topLeftCell="A10" workbookViewId="0">
      <selection activeCell="O9" sqref="O9:O12"/>
    </sheetView>
  </sheetViews>
  <sheetFormatPr defaultColWidth="8.88671875" defaultRowHeight="18" x14ac:dyDescent="0.3"/>
  <cols>
    <col min="1" max="1" width="2.6640625" style="27" customWidth="1"/>
    <col min="2" max="2" width="9.6640625" style="27" customWidth="1"/>
    <col min="3" max="4" width="8.88671875" style="27"/>
    <col min="5" max="5" width="5.6640625" style="27" customWidth="1"/>
    <col min="6" max="9" width="8.88671875" style="27"/>
    <col min="10" max="10" width="21.6640625" style="27" customWidth="1"/>
    <col min="11" max="13" width="8.88671875" style="27"/>
    <col min="14" max="14" width="22.6640625" style="42" customWidth="1"/>
    <col min="15" max="16" width="11.109375" style="30" customWidth="1"/>
    <col min="17" max="17" width="8.88671875" style="27"/>
    <col min="18" max="18" width="8.88671875" style="30"/>
    <col min="19" max="19" width="32.6640625" style="30" customWidth="1"/>
    <col min="20" max="22" width="17.6640625" style="30" customWidth="1"/>
    <col min="23" max="16384" width="8.88671875" style="27"/>
  </cols>
  <sheetData>
    <row r="2" spans="1:25" ht="24" thickBot="1" x14ac:dyDescent="0.5">
      <c r="B2" s="39" t="s">
        <v>20</v>
      </c>
      <c r="C2" s="28"/>
      <c r="D2" s="28"/>
      <c r="E2" s="28"/>
      <c r="F2" s="29"/>
      <c r="G2" s="29"/>
      <c r="H2" s="29"/>
      <c r="I2" s="29"/>
      <c r="J2" s="29"/>
      <c r="K2" s="29"/>
      <c r="L2" s="29"/>
      <c r="M2" s="29"/>
      <c r="N2" s="41"/>
      <c r="O2" s="56"/>
      <c r="P2" s="56"/>
      <c r="Q2" s="29"/>
      <c r="R2" s="56"/>
      <c r="S2" s="56"/>
      <c r="T2" s="56"/>
      <c r="U2" s="56"/>
      <c r="V2" s="56"/>
      <c r="W2" s="29"/>
      <c r="X2" s="29"/>
      <c r="Y2" s="29"/>
    </row>
    <row r="3" spans="1:25" ht="23.4" x14ac:dyDescent="0.45">
      <c r="B3" s="40"/>
      <c r="C3" s="34"/>
      <c r="D3" s="34"/>
      <c r="E3" s="34"/>
    </row>
    <row r="4" spans="1:25" ht="21" x14ac:dyDescent="0.4">
      <c r="B4" s="33"/>
      <c r="C4" s="34"/>
      <c r="D4" s="34"/>
      <c r="E4" s="34"/>
    </row>
    <row r="5" spans="1:25" ht="18.600000000000001" thickBot="1" x14ac:dyDescent="0.35"/>
    <row r="6" spans="1:25" ht="21.6" thickBot="1" x14ac:dyDescent="0.45">
      <c r="B6" s="189" t="s">
        <v>21</v>
      </c>
      <c r="C6" s="189"/>
      <c r="D6" s="189"/>
      <c r="E6" s="189"/>
      <c r="F6" s="189"/>
      <c r="G6" s="189"/>
      <c r="H6" s="189"/>
      <c r="I6" s="189"/>
      <c r="J6" s="189"/>
      <c r="N6" s="43" t="s">
        <v>155</v>
      </c>
      <c r="O6" s="43" t="s">
        <v>160</v>
      </c>
      <c r="P6" s="59"/>
      <c r="R6" s="178" t="s">
        <v>181</v>
      </c>
      <c r="S6" s="178"/>
      <c r="T6" s="178"/>
      <c r="U6" s="178"/>
      <c r="V6" s="178"/>
    </row>
    <row r="7" spans="1:25" ht="40.200000000000003" customHeight="1" thickBot="1" x14ac:dyDescent="0.35">
      <c r="B7" s="186" t="s">
        <v>38</v>
      </c>
      <c r="C7" s="187"/>
      <c r="D7" s="187"/>
      <c r="E7" s="187"/>
      <c r="F7" s="187"/>
      <c r="G7" s="187"/>
      <c r="H7" s="187"/>
      <c r="I7" s="187"/>
      <c r="J7" s="188"/>
      <c r="M7" s="44" t="s">
        <v>24</v>
      </c>
      <c r="N7" s="44" t="s">
        <v>156</v>
      </c>
      <c r="O7" s="45" t="s">
        <v>160</v>
      </c>
      <c r="P7" s="60"/>
      <c r="R7" s="179"/>
      <c r="S7" s="179"/>
      <c r="T7" s="179"/>
      <c r="U7" s="179"/>
      <c r="V7" s="179"/>
    </row>
    <row r="8" spans="1:25" ht="18.600000000000001" thickBot="1" x14ac:dyDescent="0.35">
      <c r="A8"/>
      <c r="B8" s="32"/>
      <c r="C8" s="35"/>
      <c r="D8" s="35"/>
      <c r="E8" s="35"/>
      <c r="F8" s="35"/>
      <c r="G8" s="35"/>
      <c r="H8" s="35"/>
      <c r="I8" s="35"/>
      <c r="J8" s="36"/>
      <c r="M8" s="90"/>
      <c r="N8" s="45"/>
      <c r="O8" s="45"/>
      <c r="P8" s="60"/>
      <c r="R8" s="176"/>
      <c r="S8" s="176"/>
      <c r="T8" s="176"/>
      <c r="U8" s="176"/>
      <c r="V8" s="176"/>
    </row>
    <row r="9" spans="1:25" ht="18.600000000000001" thickBot="1" x14ac:dyDescent="0.35">
      <c r="B9" s="37" t="s">
        <v>24</v>
      </c>
      <c r="C9" s="190" t="s">
        <v>22</v>
      </c>
      <c r="D9" s="191"/>
      <c r="E9" s="192"/>
      <c r="F9" s="190" t="s">
        <v>23</v>
      </c>
      <c r="G9" s="191"/>
      <c r="H9" s="191"/>
      <c r="I9" s="191"/>
      <c r="J9" s="192"/>
      <c r="M9" s="91">
        <v>1</v>
      </c>
      <c r="N9" s="45" t="s">
        <v>60</v>
      </c>
      <c r="O9" s="85">
        <v>1</v>
      </c>
      <c r="P9" s="60"/>
      <c r="R9" s="62" t="s">
        <v>24</v>
      </c>
      <c r="S9" s="67" t="s">
        <v>180</v>
      </c>
      <c r="T9" s="62" t="s">
        <v>162</v>
      </c>
      <c r="U9" s="62" t="s">
        <v>163</v>
      </c>
      <c r="V9" s="62" t="s">
        <v>164</v>
      </c>
    </row>
    <row r="10" spans="1:25" s="31" customFormat="1" ht="55.2" customHeight="1" thickBot="1" x14ac:dyDescent="0.35">
      <c r="B10" s="38">
        <v>1</v>
      </c>
      <c r="C10" s="180" t="s">
        <v>25</v>
      </c>
      <c r="D10" s="181"/>
      <c r="E10" s="182"/>
      <c r="F10" s="183" t="s">
        <v>26</v>
      </c>
      <c r="G10" s="184"/>
      <c r="H10" s="184"/>
      <c r="I10" s="184"/>
      <c r="J10" s="185"/>
      <c r="M10" s="91">
        <v>2</v>
      </c>
      <c r="N10" s="45" t="s">
        <v>61</v>
      </c>
      <c r="O10" s="85">
        <v>3</v>
      </c>
      <c r="P10" s="60"/>
      <c r="R10" s="64">
        <v>1</v>
      </c>
      <c r="S10" s="63" t="s">
        <v>182</v>
      </c>
      <c r="T10" s="63"/>
      <c r="U10" s="63" t="s">
        <v>42</v>
      </c>
      <c r="V10" s="68"/>
    </row>
    <row r="11" spans="1:25" ht="55.2" customHeight="1" thickBot="1" x14ac:dyDescent="0.35">
      <c r="B11" s="38">
        <v>2</v>
      </c>
      <c r="C11" s="180" t="s">
        <v>27</v>
      </c>
      <c r="D11" s="181"/>
      <c r="E11" s="182"/>
      <c r="F11" s="183" t="s">
        <v>32</v>
      </c>
      <c r="G11" s="184"/>
      <c r="H11" s="184"/>
      <c r="I11" s="184"/>
      <c r="J11" s="185"/>
      <c r="M11" s="91">
        <v>3</v>
      </c>
      <c r="N11" s="45" t="s">
        <v>62</v>
      </c>
      <c r="O11" s="85">
        <v>4</v>
      </c>
      <c r="P11" s="60"/>
      <c r="R11" s="65">
        <v>2</v>
      </c>
      <c r="S11" s="63" t="s">
        <v>183</v>
      </c>
      <c r="T11" s="63" t="s">
        <v>25</v>
      </c>
      <c r="U11" s="63"/>
      <c r="V11" s="68"/>
    </row>
    <row r="12" spans="1:25" ht="55.2" customHeight="1" thickBot="1" x14ac:dyDescent="0.35">
      <c r="B12" s="38">
        <v>3</v>
      </c>
      <c r="C12" s="180" t="s">
        <v>29</v>
      </c>
      <c r="D12" s="181"/>
      <c r="E12" s="182"/>
      <c r="F12" s="183" t="s">
        <v>28</v>
      </c>
      <c r="G12" s="184"/>
      <c r="H12" s="184"/>
      <c r="I12" s="184"/>
      <c r="J12" s="185"/>
      <c r="M12" s="91">
        <v>4</v>
      </c>
      <c r="N12" s="45" t="s">
        <v>63</v>
      </c>
      <c r="O12" s="85">
        <v>2</v>
      </c>
      <c r="P12" s="60"/>
      <c r="R12" s="64">
        <v>3</v>
      </c>
      <c r="S12" s="63" t="s">
        <v>53</v>
      </c>
      <c r="T12" s="63"/>
      <c r="U12" s="63"/>
      <c r="V12" s="68" t="s">
        <v>53</v>
      </c>
    </row>
    <row r="13" spans="1:25" ht="55.2" customHeight="1" thickBot="1" x14ac:dyDescent="0.35">
      <c r="B13" s="38">
        <v>4</v>
      </c>
      <c r="C13" s="180" t="s">
        <v>31</v>
      </c>
      <c r="D13" s="181"/>
      <c r="E13" s="182"/>
      <c r="F13" s="183" t="s">
        <v>30</v>
      </c>
      <c r="G13" s="184"/>
      <c r="H13" s="184"/>
      <c r="I13" s="184"/>
      <c r="J13" s="185"/>
      <c r="M13" s="91">
        <v>5</v>
      </c>
      <c r="N13" s="45" t="s">
        <v>64</v>
      </c>
      <c r="O13" s="85">
        <v>1</v>
      </c>
      <c r="P13" s="60"/>
      <c r="R13" s="65">
        <v>4</v>
      </c>
      <c r="S13" s="63" t="s">
        <v>214</v>
      </c>
      <c r="T13" s="63"/>
      <c r="U13" s="63"/>
      <c r="V13" s="68" t="s">
        <v>214</v>
      </c>
    </row>
    <row r="14" spans="1:25" ht="55.2" customHeight="1" thickBot="1" x14ac:dyDescent="0.35">
      <c r="B14" s="38">
        <v>5</v>
      </c>
      <c r="C14" s="180" t="s">
        <v>34</v>
      </c>
      <c r="D14" s="181"/>
      <c r="E14" s="182"/>
      <c r="F14" s="183" t="s">
        <v>33</v>
      </c>
      <c r="G14" s="184"/>
      <c r="H14" s="184"/>
      <c r="I14" s="184"/>
      <c r="J14" s="185"/>
      <c r="M14" s="91">
        <v>6</v>
      </c>
      <c r="N14" s="45" t="s">
        <v>65</v>
      </c>
      <c r="O14" s="85">
        <v>2</v>
      </c>
      <c r="P14" s="60"/>
      <c r="R14" s="64">
        <v>5</v>
      </c>
      <c r="S14" s="63" t="s">
        <v>185</v>
      </c>
      <c r="T14" s="63"/>
      <c r="U14" s="63"/>
      <c r="V14" s="68" t="s">
        <v>53</v>
      </c>
    </row>
    <row r="15" spans="1:25" ht="55.2" customHeight="1" thickBot="1" x14ac:dyDescent="0.35">
      <c r="B15" s="38">
        <v>6</v>
      </c>
      <c r="C15" s="180" t="s">
        <v>35</v>
      </c>
      <c r="D15" s="181"/>
      <c r="E15" s="182"/>
      <c r="F15" s="183" t="s">
        <v>36</v>
      </c>
      <c r="G15" s="184"/>
      <c r="H15" s="184"/>
      <c r="I15" s="184"/>
      <c r="J15" s="185"/>
      <c r="M15" s="91">
        <v>7</v>
      </c>
      <c r="N15" s="45" t="s">
        <v>66</v>
      </c>
      <c r="O15" s="85">
        <v>1</v>
      </c>
      <c r="P15" s="60"/>
      <c r="R15" s="65">
        <v>6</v>
      </c>
      <c r="S15" s="63" t="s">
        <v>215</v>
      </c>
      <c r="T15" s="63"/>
      <c r="U15" s="63"/>
      <c r="V15" s="68" t="s">
        <v>214</v>
      </c>
    </row>
    <row r="16" spans="1:25" x14ac:dyDescent="0.3">
      <c r="B16" s="31"/>
      <c r="C16" s="31"/>
      <c r="D16" s="31"/>
      <c r="E16" s="31"/>
      <c r="F16" s="193"/>
      <c r="G16" s="193"/>
      <c r="H16" s="193"/>
      <c r="I16" s="193"/>
      <c r="J16" s="193"/>
      <c r="M16" s="91">
        <v>8</v>
      </c>
      <c r="N16" s="45" t="s">
        <v>67</v>
      </c>
      <c r="O16" s="85">
        <v>2</v>
      </c>
      <c r="P16" s="60"/>
      <c r="R16" s="64">
        <v>7</v>
      </c>
      <c r="S16" s="63" t="s">
        <v>216</v>
      </c>
      <c r="T16" s="63" t="s">
        <v>216</v>
      </c>
      <c r="U16" s="63"/>
      <c r="V16" s="68"/>
    </row>
    <row r="17" spans="2:22" x14ac:dyDescent="0.3">
      <c r="M17" s="91">
        <v>9</v>
      </c>
      <c r="N17" s="45" t="s">
        <v>68</v>
      </c>
      <c r="O17" s="85">
        <v>4</v>
      </c>
      <c r="P17" s="60"/>
      <c r="R17" s="65">
        <v>8</v>
      </c>
      <c r="S17" s="63" t="s">
        <v>188</v>
      </c>
      <c r="T17" s="63"/>
      <c r="U17" s="63"/>
      <c r="V17" s="68" t="s">
        <v>214</v>
      </c>
    </row>
    <row r="18" spans="2:22" ht="38.4" customHeight="1" x14ac:dyDescent="0.3">
      <c r="M18" s="91">
        <v>10</v>
      </c>
      <c r="N18" s="45" t="s">
        <v>69</v>
      </c>
      <c r="O18" s="85">
        <v>1</v>
      </c>
      <c r="P18" s="60"/>
      <c r="R18" s="64">
        <v>9</v>
      </c>
      <c r="S18" s="66" t="s">
        <v>189</v>
      </c>
      <c r="T18" s="63" t="s">
        <v>29</v>
      </c>
      <c r="U18" s="66" t="s">
        <v>186</v>
      </c>
      <c r="V18" s="68"/>
    </row>
    <row r="19" spans="2:22" x14ac:dyDescent="0.3">
      <c r="M19" s="91">
        <v>11</v>
      </c>
      <c r="N19" s="45" t="s">
        <v>70</v>
      </c>
      <c r="O19" s="85">
        <v>3</v>
      </c>
      <c r="P19" s="60"/>
      <c r="R19" s="65">
        <v>10</v>
      </c>
      <c r="S19" s="63" t="s">
        <v>214</v>
      </c>
      <c r="T19" s="63"/>
      <c r="U19" s="63"/>
      <c r="V19" s="68" t="s">
        <v>214</v>
      </c>
    </row>
    <row r="20" spans="2:22" ht="18.600000000000001" thickBot="1" x14ac:dyDescent="0.35">
      <c r="M20" s="91">
        <v>12</v>
      </c>
      <c r="N20" s="45" t="s">
        <v>71</v>
      </c>
      <c r="O20" s="85">
        <v>4</v>
      </c>
      <c r="P20" s="60"/>
      <c r="R20" s="64">
        <v>11</v>
      </c>
      <c r="S20" s="63" t="s">
        <v>217</v>
      </c>
      <c r="T20" s="63"/>
      <c r="U20" s="63"/>
      <c r="V20" s="68" t="s">
        <v>264</v>
      </c>
    </row>
    <row r="21" spans="2:22" ht="21.6" thickBot="1" x14ac:dyDescent="0.45">
      <c r="B21" s="189" t="s">
        <v>37</v>
      </c>
      <c r="C21" s="189"/>
      <c r="D21" s="189"/>
      <c r="E21" s="189"/>
      <c r="F21" s="189"/>
      <c r="G21" s="189"/>
      <c r="H21" s="189"/>
      <c r="I21" s="189"/>
      <c r="J21" s="189"/>
      <c r="M21" s="91">
        <v>13</v>
      </c>
      <c r="N21" s="45" t="s">
        <v>72</v>
      </c>
      <c r="O21" s="85">
        <v>1</v>
      </c>
      <c r="P21" s="60"/>
      <c r="R21" s="65">
        <v>12</v>
      </c>
      <c r="S21" s="63" t="s">
        <v>190</v>
      </c>
      <c r="T21" s="63"/>
      <c r="U21" s="63"/>
      <c r="V21" s="68" t="s">
        <v>264</v>
      </c>
    </row>
    <row r="22" spans="2:22" ht="40.200000000000003" customHeight="1" thickBot="1" x14ac:dyDescent="0.35">
      <c r="B22" s="186" t="s">
        <v>49</v>
      </c>
      <c r="C22" s="187"/>
      <c r="D22" s="187"/>
      <c r="E22" s="187"/>
      <c r="F22" s="187"/>
      <c r="G22" s="187"/>
      <c r="H22" s="187"/>
      <c r="I22" s="187"/>
      <c r="J22" s="188"/>
      <c r="M22" s="91">
        <v>14</v>
      </c>
      <c r="N22" s="45" t="s">
        <v>73</v>
      </c>
      <c r="O22" s="85">
        <v>2</v>
      </c>
      <c r="P22" s="60"/>
      <c r="R22" s="64">
        <v>13</v>
      </c>
      <c r="S22" s="66" t="s">
        <v>192</v>
      </c>
      <c r="T22" s="63"/>
      <c r="U22" s="63" t="s">
        <v>46</v>
      </c>
      <c r="V22" s="68"/>
    </row>
    <row r="23" spans="2:22" ht="18.600000000000001" thickBot="1" x14ac:dyDescent="0.35">
      <c r="B23" s="32"/>
      <c r="C23" s="35"/>
      <c r="D23" s="35"/>
      <c r="E23" s="35"/>
      <c r="F23" s="35"/>
      <c r="G23" s="35"/>
      <c r="H23" s="35"/>
      <c r="I23" s="35"/>
      <c r="J23" s="36"/>
      <c r="M23" s="91">
        <v>15</v>
      </c>
      <c r="N23" s="45" t="s">
        <v>74</v>
      </c>
      <c r="O23" s="85">
        <v>1</v>
      </c>
      <c r="P23" s="60"/>
      <c r="R23" s="65">
        <v>14</v>
      </c>
      <c r="S23" s="63" t="s">
        <v>59</v>
      </c>
      <c r="T23" s="63"/>
      <c r="U23" s="63"/>
      <c r="V23" s="68" t="s">
        <v>59</v>
      </c>
    </row>
    <row r="24" spans="2:22" ht="18.600000000000001" thickBot="1" x14ac:dyDescent="0.35">
      <c r="B24" s="37" t="s">
        <v>24</v>
      </c>
      <c r="C24" s="190" t="s">
        <v>22</v>
      </c>
      <c r="D24" s="191"/>
      <c r="E24" s="192"/>
      <c r="F24" s="190" t="s">
        <v>23</v>
      </c>
      <c r="G24" s="191"/>
      <c r="H24" s="191"/>
      <c r="I24" s="191"/>
      <c r="J24" s="192"/>
      <c r="M24" s="91">
        <v>16</v>
      </c>
      <c r="N24" s="45" t="s">
        <v>75</v>
      </c>
      <c r="O24" s="85">
        <v>2</v>
      </c>
      <c r="P24" s="60"/>
      <c r="R24" s="64">
        <v>15</v>
      </c>
      <c r="S24" s="63" t="s">
        <v>191</v>
      </c>
      <c r="T24" s="63"/>
      <c r="U24" s="63" t="s">
        <v>191</v>
      </c>
      <c r="V24" s="68"/>
    </row>
    <row r="25" spans="2:22" ht="55.2" customHeight="1" thickBot="1" x14ac:dyDescent="0.35">
      <c r="B25" s="38">
        <v>1</v>
      </c>
      <c r="C25" s="180" t="s">
        <v>42</v>
      </c>
      <c r="D25" s="181"/>
      <c r="E25" s="182"/>
      <c r="F25" s="183" t="s">
        <v>39</v>
      </c>
      <c r="G25" s="184"/>
      <c r="H25" s="184"/>
      <c r="I25" s="184"/>
      <c r="J25" s="185"/>
      <c r="M25" s="91">
        <v>17</v>
      </c>
      <c r="N25" s="45" t="s">
        <v>76</v>
      </c>
      <c r="O25" s="85">
        <v>4</v>
      </c>
      <c r="P25" s="60"/>
      <c r="R25" s="65">
        <v>16</v>
      </c>
      <c r="S25" s="66" t="s">
        <v>186</v>
      </c>
      <c r="T25" s="63"/>
      <c r="U25" s="66" t="s">
        <v>186</v>
      </c>
      <c r="V25" s="68"/>
    </row>
    <row r="26" spans="2:22" ht="55.2" customHeight="1" thickBot="1" x14ac:dyDescent="0.35">
      <c r="B26" s="38">
        <v>2</v>
      </c>
      <c r="C26" s="180" t="s">
        <v>43</v>
      </c>
      <c r="D26" s="181"/>
      <c r="E26" s="182"/>
      <c r="F26" s="183" t="s">
        <v>40</v>
      </c>
      <c r="G26" s="184"/>
      <c r="H26" s="184"/>
      <c r="I26" s="184"/>
      <c r="J26" s="185"/>
      <c r="M26" s="91">
        <v>18</v>
      </c>
      <c r="N26" s="45" t="s">
        <v>77</v>
      </c>
      <c r="O26" s="85">
        <v>2</v>
      </c>
      <c r="P26" s="60"/>
      <c r="R26" s="64">
        <v>17</v>
      </c>
      <c r="S26" s="66" t="s">
        <v>187</v>
      </c>
      <c r="T26" s="63"/>
      <c r="U26" s="66" t="s">
        <v>187</v>
      </c>
      <c r="V26" s="68"/>
    </row>
    <row r="27" spans="2:22" ht="55.2" customHeight="1" thickBot="1" x14ac:dyDescent="0.35">
      <c r="B27" s="38">
        <v>3</v>
      </c>
      <c r="C27" s="180" t="s">
        <v>44</v>
      </c>
      <c r="D27" s="181"/>
      <c r="E27" s="182"/>
      <c r="F27" s="183" t="s">
        <v>41</v>
      </c>
      <c r="G27" s="184"/>
      <c r="H27" s="184"/>
      <c r="I27" s="184"/>
      <c r="J27" s="185"/>
      <c r="M27" s="91">
        <v>19</v>
      </c>
      <c r="N27" s="45" t="s">
        <v>78</v>
      </c>
      <c r="O27" s="85">
        <v>3</v>
      </c>
      <c r="P27" s="60"/>
      <c r="R27" s="65">
        <v>18</v>
      </c>
      <c r="S27" s="63" t="s">
        <v>29</v>
      </c>
      <c r="T27" s="63" t="s">
        <v>29</v>
      </c>
      <c r="U27" s="63"/>
      <c r="V27" s="68"/>
    </row>
    <row r="28" spans="2:22" ht="55.2" customHeight="1" thickBot="1" x14ac:dyDescent="0.35">
      <c r="B28" s="38">
        <v>4</v>
      </c>
      <c r="C28" s="180" t="s">
        <v>46</v>
      </c>
      <c r="D28" s="181"/>
      <c r="E28" s="182"/>
      <c r="F28" s="183" t="s">
        <v>45</v>
      </c>
      <c r="G28" s="184"/>
      <c r="H28" s="184"/>
      <c r="I28" s="184"/>
      <c r="J28" s="185"/>
      <c r="M28" s="91">
        <v>20</v>
      </c>
      <c r="N28" s="45" t="s">
        <v>79</v>
      </c>
      <c r="O28" s="85">
        <v>4</v>
      </c>
      <c r="P28" s="60"/>
      <c r="R28" s="64">
        <v>19</v>
      </c>
      <c r="S28" s="66" t="s">
        <v>195</v>
      </c>
      <c r="T28" s="63" t="s">
        <v>27</v>
      </c>
      <c r="U28" s="63"/>
      <c r="V28" s="68" t="s">
        <v>53</v>
      </c>
    </row>
    <row r="29" spans="2:22" ht="55.2" customHeight="1" thickBot="1" x14ac:dyDescent="0.35">
      <c r="B29" s="38">
        <v>5</v>
      </c>
      <c r="C29" s="180" t="s">
        <v>48</v>
      </c>
      <c r="D29" s="181"/>
      <c r="E29" s="182"/>
      <c r="F29" s="183" t="s">
        <v>47</v>
      </c>
      <c r="G29" s="184"/>
      <c r="H29" s="184"/>
      <c r="I29" s="184"/>
      <c r="J29" s="185"/>
      <c r="M29" s="91">
        <v>21</v>
      </c>
      <c r="N29" s="45" t="s">
        <v>80</v>
      </c>
      <c r="O29" s="85">
        <v>2</v>
      </c>
      <c r="P29" s="60"/>
      <c r="R29" s="65">
        <v>20</v>
      </c>
      <c r="S29" s="66" t="s">
        <v>196</v>
      </c>
      <c r="T29" s="63" t="s">
        <v>27</v>
      </c>
      <c r="U29" s="63"/>
      <c r="V29" s="68"/>
    </row>
    <row r="30" spans="2:22" x14ac:dyDescent="0.3">
      <c r="M30" s="91">
        <v>22</v>
      </c>
      <c r="N30" s="45" t="s">
        <v>81</v>
      </c>
      <c r="O30" s="85">
        <v>3</v>
      </c>
      <c r="P30" s="60"/>
      <c r="R30" s="64">
        <v>21</v>
      </c>
      <c r="S30" s="63" t="s">
        <v>193</v>
      </c>
      <c r="T30" s="63"/>
      <c r="U30" s="63"/>
      <c r="V30" s="68" t="s">
        <v>57</v>
      </c>
    </row>
    <row r="31" spans="2:22" x14ac:dyDescent="0.3">
      <c r="M31" s="91">
        <v>23</v>
      </c>
      <c r="N31" s="45" t="s">
        <v>82</v>
      </c>
      <c r="O31" s="85">
        <v>4</v>
      </c>
      <c r="P31" s="60"/>
      <c r="R31" s="64">
        <v>22</v>
      </c>
      <c r="S31" s="63" t="s">
        <v>57</v>
      </c>
      <c r="T31" s="63"/>
      <c r="U31" s="63"/>
      <c r="V31" s="68" t="s">
        <v>57</v>
      </c>
    </row>
    <row r="32" spans="2:22" x14ac:dyDescent="0.3">
      <c r="M32" s="91">
        <v>24</v>
      </c>
      <c r="N32" s="45" t="s">
        <v>83</v>
      </c>
      <c r="O32" s="85">
        <v>4</v>
      </c>
      <c r="P32" s="60"/>
      <c r="R32" s="65">
        <v>23</v>
      </c>
      <c r="S32" s="63" t="s">
        <v>221</v>
      </c>
      <c r="T32" s="63"/>
      <c r="U32" s="63" t="s">
        <v>42</v>
      </c>
      <c r="V32" s="68"/>
    </row>
    <row r="33" spans="2:22" ht="31.2" x14ac:dyDescent="0.3">
      <c r="M33" s="91">
        <v>25</v>
      </c>
      <c r="N33" s="45" t="s">
        <v>84</v>
      </c>
      <c r="O33" s="85">
        <v>2</v>
      </c>
      <c r="P33" s="60"/>
      <c r="R33" s="64">
        <v>24</v>
      </c>
      <c r="S33" s="63" t="s">
        <v>194</v>
      </c>
      <c r="T33" s="63"/>
      <c r="U33" s="66" t="s">
        <v>186</v>
      </c>
      <c r="V33" s="68"/>
    </row>
    <row r="34" spans="2:22" ht="18.600000000000001" thickBot="1" x14ac:dyDescent="0.35">
      <c r="M34" s="91">
        <v>26</v>
      </c>
      <c r="N34" s="45" t="s">
        <v>85</v>
      </c>
      <c r="O34" s="85">
        <v>2</v>
      </c>
      <c r="P34" s="60"/>
      <c r="R34" s="65">
        <v>25</v>
      </c>
      <c r="S34" s="63" t="s">
        <v>27</v>
      </c>
      <c r="T34" s="63" t="s">
        <v>27</v>
      </c>
      <c r="U34" s="63"/>
      <c r="V34" s="68"/>
    </row>
    <row r="35" spans="2:22" ht="21.6" thickBot="1" x14ac:dyDescent="0.45">
      <c r="B35" s="189" t="s">
        <v>50</v>
      </c>
      <c r="C35" s="189"/>
      <c r="D35" s="189"/>
      <c r="E35" s="189"/>
      <c r="F35" s="189"/>
      <c r="G35" s="189"/>
      <c r="H35" s="189"/>
      <c r="I35" s="189"/>
      <c r="J35" s="189"/>
      <c r="M35" s="91">
        <v>27</v>
      </c>
      <c r="N35" s="45" t="s">
        <v>86</v>
      </c>
      <c r="O35" s="85">
        <v>4</v>
      </c>
      <c r="P35" s="60"/>
      <c r="R35" s="64">
        <v>26</v>
      </c>
      <c r="S35" s="63" t="s">
        <v>218</v>
      </c>
      <c r="T35" s="63"/>
      <c r="U35" s="63"/>
      <c r="V35" s="68" t="s">
        <v>214</v>
      </c>
    </row>
    <row r="36" spans="2:22" ht="40.200000000000003" customHeight="1" thickBot="1" x14ac:dyDescent="0.35">
      <c r="B36" s="186" t="s">
        <v>51</v>
      </c>
      <c r="C36" s="187"/>
      <c r="D36" s="187"/>
      <c r="E36" s="187"/>
      <c r="F36" s="187"/>
      <c r="G36" s="187"/>
      <c r="H36" s="187"/>
      <c r="I36" s="187"/>
      <c r="J36" s="188"/>
      <c r="M36" s="91">
        <v>28</v>
      </c>
      <c r="N36" s="45" t="s">
        <v>87</v>
      </c>
      <c r="O36" s="85">
        <v>3</v>
      </c>
      <c r="P36" s="60"/>
      <c r="R36" s="65">
        <v>27</v>
      </c>
      <c r="S36" s="63" t="s">
        <v>214</v>
      </c>
      <c r="T36" s="63"/>
      <c r="U36" s="63"/>
      <c r="V36" s="68" t="s">
        <v>214</v>
      </c>
    </row>
    <row r="37" spans="2:22" ht="18.600000000000001" thickBot="1" x14ac:dyDescent="0.35">
      <c r="B37" s="32"/>
      <c r="C37" s="35"/>
      <c r="D37" s="35"/>
      <c r="E37" s="35"/>
      <c r="F37" s="35"/>
      <c r="G37" s="35"/>
      <c r="H37" s="35"/>
      <c r="I37" s="35"/>
      <c r="J37" s="36"/>
      <c r="M37" s="91">
        <v>29</v>
      </c>
      <c r="N37" s="45" t="s">
        <v>88</v>
      </c>
      <c r="O37" s="85">
        <v>1</v>
      </c>
      <c r="P37" s="60"/>
      <c r="R37" s="64">
        <v>28</v>
      </c>
      <c r="S37" s="63" t="s">
        <v>219</v>
      </c>
      <c r="T37" s="63"/>
      <c r="U37" s="63"/>
      <c r="V37" s="68" t="s">
        <v>54</v>
      </c>
    </row>
    <row r="38" spans="2:22" ht="18.600000000000001" thickBot="1" x14ac:dyDescent="0.35">
      <c r="B38" s="37" t="s">
        <v>24</v>
      </c>
      <c r="C38" s="190" t="s">
        <v>22</v>
      </c>
      <c r="D38" s="191"/>
      <c r="E38" s="192"/>
      <c r="F38" s="190" t="s">
        <v>23</v>
      </c>
      <c r="G38" s="191"/>
      <c r="H38" s="191"/>
      <c r="I38" s="191"/>
      <c r="J38" s="192"/>
      <c r="M38" s="91">
        <v>30</v>
      </c>
      <c r="N38" s="45" t="s">
        <v>89</v>
      </c>
      <c r="O38" s="85">
        <v>1</v>
      </c>
      <c r="P38" s="60"/>
      <c r="R38" s="65">
        <v>29</v>
      </c>
      <c r="S38" s="63" t="s">
        <v>197</v>
      </c>
      <c r="T38" s="63"/>
      <c r="U38" s="63"/>
      <c r="V38" s="68" t="s">
        <v>214</v>
      </c>
    </row>
    <row r="39" spans="2:22" ht="55.2" customHeight="1" thickBot="1" x14ac:dyDescent="0.35">
      <c r="B39" s="38">
        <v>1</v>
      </c>
      <c r="C39" s="180" t="s">
        <v>53</v>
      </c>
      <c r="D39" s="181"/>
      <c r="E39" s="182"/>
      <c r="F39" s="183" t="s">
        <v>52</v>
      </c>
      <c r="G39" s="184"/>
      <c r="H39" s="184"/>
      <c r="I39" s="184"/>
      <c r="J39" s="185"/>
      <c r="M39" s="91">
        <v>31</v>
      </c>
      <c r="N39" s="45" t="s">
        <v>90</v>
      </c>
      <c r="O39" s="85">
        <v>2</v>
      </c>
      <c r="P39" s="60"/>
      <c r="R39" s="65">
        <v>30</v>
      </c>
      <c r="S39" s="63" t="s">
        <v>43</v>
      </c>
      <c r="T39" s="63"/>
      <c r="U39" s="63" t="s">
        <v>43</v>
      </c>
      <c r="V39" s="68"/>
    </row>
    <row r="40" spans="2:22" ht="55.2" customHeight="1" thickBot="1" x14ac:dyDescent="0.35">
      <c r="B40" s="38">
        <v>2</v>
      </c>
      <c r="C40" s="180" t="s">
        <v>54</v>
      </c>
      <c r="D40" s="181"/>
      <c r="E40" s="182"/>
      <c r="F40" s="183" t="s">
        <v>55</v>
      </c>
      <c r="G40" s="184"/>
      <c r="H40" s="184"/>
      <c r="I40" s="184"/>
      <c r="J40" s="185"/>
      <c r="M40" s="91">
        <v>32</v>
      </c>
      <c r="N40" s="45" t="s">
        <v>91</v>
      </c>
      <c r="O40" s="85">
        <v>1</v>
      </c>
      <c r="P40" s="60"/>
      <c r="R40" s="65">
        <v>31</v>
      </c>
      <c r="S40" s="63" t="s">
        <v>217</v>
      </c>
      <c r="T40" s="63"/>
      <c r="U40" s="63"/>
      <c r="V40" s="68" t="s">
        <v>264</v>
      </c>
    </row>
    <row r="41" spans="2:22" ht="55.2" customHeight="1" thickBot="1" x14ac:dyDescent="0.35">
      <c r="B41" s="38">
        <v>3</v>
      </c>
      <c r="C41" s="180" t="s">
        <v>57</v>
      </c>
      <c r="D41" s="181"/>
      <c r="E41" s="182"/>
      <c r="F41" s="183" t="s">
        <v>56</v>
      </c>
      <c r="G41" s="184"/>
      <c r="H41" s="184"/>
      <c r="I41" s="184"/>
      <c r="J41" s="185"/>
      <c r="M41" s="91">
        <v>33</v>
      </c>
      <c r="N41" s="45" t="s">
        <v>92</v>
      </c>
      <c r="O41" s="85">
        <v>2</v>
      </c>
      <c r="P41" s="60"/>
      <c r="R41" s="65">
        <v>32</v>
      </c>
      <c r="S41" s="66" t="s">
        <v>198</v>
      </c>
      <c r="T41" s="63"/>
      <c r="U41" s="63" t="s">
        <v>46</v>
      </c>
      <c r="V41" s="68"/>
    </row>
    <row r="42" spans="2:22" ht="55.2" customHeight="1" thickBot="1" x14ac:dyDescent="0.35">
      <c r="B42" s="38">
        <v>4</v>
      </c>
      <c r="C42" s="180" t="s">
        <v>59</v>
      </c>
      <c r="D42" s="181"/>
      <c r="E42" s="182"/>
      <c r="F42" s="183" t="s">
        <v>58</v>
      </c>
      <c r="G42" s="184"/>
      <c r="H42" s="184"/>
      <c r="I42" s="184"/>
      <c r="J42" s="185"/>
      <c r="M42" s="91">
        <v>34</v>
      </c>
      <c r="N42" s="45" t="s">
        <v>93</v>
      </c>
      <c r="O42" s="85">
        <v>1</v>
      </c>
      <c r="P42" s="60"/>
      <c r="R42" s="65">
        <v>33</v>
      </c>
      <c r="S42" s="63" t="s">
        <v>199</v>
      </c>
      <c r="T42" s="63"/>
      <c r="U42" s="63" t="s">
        <v>42</v>
      </c>
      <c r="V42" s="68"/>
    </row>
    <row r="43" spans="2:22" x14ac:dyDescent="0.3">
      <c r="M43" s="91">
        <v>35</v>
      </c>
      <c r="N43" s="45" t="s">
        <v>94</v>
      </c>
      <c r="O43" s="85">
        <v>4</v>
      </c>
      <c r="P43" s="60"/>
      <c r="R43" s="65">
        <v>34</v>
      </c>
      <c r="S43" s="63" t="s">
        <v>220</v>
      </c>
      <c r="T43" s="63"/>
      <c r="U43" s="63" t="s">
        <v>42</v>
      </c>
      <c r="V43" s="68"/>
    </row>
    <row r="44" spans="2:22" x14ac:dyDescent="0.3">
      <c r="M44" s="91">
        <v>36</v>
      </c>
      <c r="N44" s="45" t="s">
        <v>95</v>
      </c>
      <c r="O44" s="85">
        <v>4</v>
      </c>
      <c r="P44" s="60"/>
      <c r="R44" s="65">
        <v>35</v>
      </c>
      <c r="S44" s="63" t="s">
        <v>200</v>
      </c>
      <c r="T44" s="63"/>
      <c r="U44" s="63"/>
      <c r="V44" s="68" t="s">
        <v>264</v>
      </c>
    </row>
    <row r="45" spans="2:22" x14ac:dyDescent="0.3">
      <c r="M45" s="91">
        <v>37</v>
      </c>
      <c r="N45" s="45" t="s">
        <v>96</v>
      </c>
      <c r="O45" s="85">
        <v>1</v>
      </c>
      <c r="P45" s="60"/>
      <c r="R45" s="65">
        <v>36</v>
      </c>
      <c r="S45" s="63" t="s">
        <v>31</v>
      </c>
      <c r="T45" s="63" t="s">
        <v>31</v>
      </c>
      <c r="U45" s="63"/>
      <c r="V45" s="68"/>
    </row>
    <row r="46" spans="2:22" x14ac:dyDescent="0.3">
      <c r="M46" s="91">
        <v>38</v>
      </c>
      <c r="N46" s="45" t="s">
        <v>97</v>
      </c>
      <c r="O46" s="85">
        <v>4</v>
      </c>
      <c r="P46" s="60"/>
      <c r="R46" s="65">
        <v>37</v>
      </c>
      <c r="S46" s="63" t="s">
        <v>222</v>
      </c>
      <c r="T46" s="63" t="s">
        <v>35</v>
      </c>
      <c r="U46" s="63"/>
      <c r="V46" s="68"/>
    </row>
    <row r="47" spans="2:22" x14ac:dyDescent="0.3">
      <c r="M47" s="91">
        <v>39</v>
      </c>
      <c r="N47" s="45" t="s">
        <v>98</v>
      </c>
      <c r="O47" s="85">
        <v>4</v>
      </c>
      <c r="P47" s="60"/>
      <c r="R47" s="65">
        <v>38</v>
      </c>
      <c r="S47" s="66" t="s">
        <v>201</v>
      </c>
      <c r="T47" s="63" t="s">
        <v>27</v>
      </c>
      <c r="U47" s="63"/>
      <c r="V47" s="68"/>
    </row>
    <row r="48" spans="2:22" ht="33" customHeight="1" x14ac:dyDescent="0.3">
      <c r="M48" s="91">
        <v>40</v>
      </c>
      <c r="N48" s="45" t="s">
        <v>99</v>
      </c>
      <c r="O48" s="85">
        <v>4</v>
      </c>
      <c r="P48" s="60"/>
      <c r="R48" s="65">
        <v>39</v>
      </c>
      <c r="S48" s="66" t="s">
        <v>202</v>
      </c>
      <c r="T48" s="63"/>
      <c r="U48" s="66" t="s">
        <v>186</v>
      </c>
      <c r="V48" s="68"/>
    </row>
    <row r="49" spans="13:22" ht="34.950000000000003" customHeight="1" x14ac:dyDescent="0.3">
      <c r="M49" s="91">
        <v>41</v>
      </c>
      <c r="N49" s="45" t="s">
        <v>100</v>
      </c>
      <c r="O49" s="85">
        <v>3</v>
      </c>
      <c r="P49" s="60"/>
      <c r="R49" s="65">
        <v>40</v>
      </c>
      <c r="S49" s="63" t="s">
        <v>223</v>
      </c>
      <c r="T49" s="63"/>
      <c r="U49" s="63"/>
      <c r="V49" s="68" t="s">
        <v>54</v>
      </c>
    </row>
    <row r="50" spans="13:22" x14ac:dyDescent="0.3">
      <c r="M50" s="91">
        <v>42</v>
      </c>
      <c r="N50" s="45" t="s">
        <v>101</v>
      </c>
      <c r="O50" s="85">
        <v>3</v>
      </c>
      <c r="P50" s="60"/>
      <c r="R50" s="65">
        <v>41</v>
      </c>
      <c r="S50" s="63" t="s">
        <v>54</v>
      </c>
      <c r="T50" s="63"/>
      <c r="U50" s="63"/>
      <c r="V50" s="68" t="s">
        <v>54</v>
      </c>
    </row>
    <row r="51" spans="13:22" x14ac:dyDescent="0.3">
      <c r="M51" s="91">
        <v>43</v>
      </c>
      <c r="N51" s="45" t="s">
        <v>102</v>
      </c>
      <c r="O51" s="85">
        <v>3</v>
      </c>
      <c r="P51" s="60"/>
      <c r="R51" s="65">
        <v>42</v>
      </c>
      <c r="S51" s="63" t="s">
        <v>203</v>
      </c>
      <c r="T51" s="63"/>
      <c r="U51" s="63"/>
      <c r="V51" s="68" t="s">
        <v>214</v>
      </c>
    </row>
    <row r="52" spans="13:22" x14ac:dyDescent="0.3">
      <c r="M52" s="91">
        <v>44</v>
      </c>
      <c r="N52" s="45" t="s">
        <v>103</v>
      </c>
      <c r="O52" s="85">
        <v>2</v>
      </c>
      <c r="P52" s="60"/>
      <c r="R52" s="65">
        <v>43</v>
      </c>
      <c r="S52" s="63" t="s">
        <v>34</v>
      </c>
      <c r="T52" s="63" t="s">
        <v>34</v>
      </c>
      <c r="U52" s="63"/>
      <c r="V52" s="68"/>
    </row>
    <row r="53" spans="13:22" x14ac:dyDescent="0.3">
      <c r="M53" s="91">
        <v>45</v>
      </c>
      <c r="N53" s="45" t="s">
        <v>104</v>
      </c>
      <c r="O53" s="85">
        <v>1</v>
      </c>
      <c r="P53" s="60"/>
      <c r="R53" s="65">
        <v>44</v>
      </c>
      <c r="S53" s="63" t="s">
        <v>224</v>
      </c>
      <c r="T53" s="63"/>
      <c r="U53" s="63"/>
      <c r="V53" s="68" t="s">
        <v>214</v>
      </c>
    </row>
    <row r="54" spans="13:22" x14ac:dyDescent="0.3">
      <c r="M54" s="91">
        <v>46</v>
      </c>
      <c r="N54" s="45" t="s">
        <v>105</v>
      </c>
      <c r="O54" s="85">
        <v>1</v>
      </c>
      <c r="P54" s="60"/>
      <c r="R54" s="65">
        <v>45</v>
      </c>
      <c r="S54" s="63" t="s">
        <v>48</v>
      </c>
      <c r="T54" s="63"/>
      <c r="U54" s="63" t="s">
        <v>48</v>
      </c>
      <c r="V54" s="68"/>
    </row>
    <row r="55" spans="13:22" x14ac:dyDescent="0.3">
      <c r="M55" s="91">
        <v>47</v>
      </c>
      <c r="N55" s="45" t="s">
        <v>106</v>
      </c>
      <c r="O55" s="85">
        <v>1</v>
      </c>
      <c r="P55" s="60"/>
      <c r="R55" s="65">
        <v>46</v>
      </c>
      <c r="S55" s="63" t="s">
        <v>225</v>
      </c>
      <c r="T55" s="63"/>
      <c r="U55" s="63"/>
      <c r="V55" s="68" t="s">
        <v>53</v>
      </c>
    </row>
    <row r="56" spans="13:22" x14ac:dyDescent="0.3">
      <c r="M56" s="91">
        <v>48</v>
      </c>
      <c r="N56" s="45" t="s">
        <v>107</v>
      </c>
      <c r="O56" s="85">
        <v>4</v>
      </c>
      <c r="P56" s="60"/>
      <c r="R56" s="65">
        <v>47</v>
      </c>
      <c r="S56" s="66" t="s">
        <v>204</v>
      </c>
      <c r="T56" s="63"/>
      <c r="U56" s="63" t="s">
        <v>48</v>
      </c>
      <c r="V56" s="68"/>
    </row>
    <row r="57" spans="13:22" ht="30.6" customHeight="1" x14ac:dyDescent="0.3">
      <c r="M57" s="91">
        <v>49</v>
      </c>
      <c r="N57" s="45" t="s">
        <v>108</v>
      </c>
      <c r="O57" s="85">
        <v>4</v>
      </c>
      <c r="P57" s="60"/>
      <c r="R57" s="65">
        <v>48</v>
      </c>
      <c r="S57" s="63" t="s">
        <v>226</v>
      </c>
      <c r="T57" s="63" t="s">
        <v>31</v>
      </c>
      <c r="U57" s="63"/>
      <c r="V57" s="68"/>
    </row>
    <row r="58" spans="13:22" x14ac:dyDescent="0.3">
      <c r="M58" s="91">
        <v>50</v>
      </c>
      <c r="N58" s="45" t="s">
        <v>109</v>
      </c>
      <c r="O58" s="85">
        <v>3</v>
      </c>
      <c r="P58" s="60"/>
      <c r="R58" s="65">
        <v>49</v>
      </c>
      <c r="S58" s="63" t="s">
        <v>227</v>
      </c>
      <c r="T58" s="63" t="s">
        <v>31</v>
      </c>
      <c r="U58" s="63"/>
      <c r="V58" s="68"/>
    </row>
    <row r="59" spans="13:22" x14ac:dyDescent="0.3">
      <c r="M59" s="91">
        <v>51</v>
      </c>
      <c r="N59" s="45" t="s">
        <v>110</v>
      </c>
      <c r="O59" s="85">
        <v>3</v>
      </c>
      <c r="P59" s="60"/>
      <c r="R59" s="65">
        <v>50</v>
      </c>
      <c r="S59" s="63" t="s">
        <v>228</v>
      </c>
      <c r="T59" s="63"/>
      <c r="U59" s="63"/>
      <c r="V59" s="68" t="s">
        <v>59</v>
      </c>
    </row>
    <row r="60" spans="13:22" x14ac:dyDescent="0.3">
      <c r="M60" s="91">
        <v>52</v>
      </c>
      <c r="N60" s="45" t="s">
        <v>111</v>
      </c>
      <c r="O60" s="85">
        <v>3</v>
      </c>
      <c r="P60" s="60"/>
      <c r="R60" s="65">
        <v>51</v>
      </c>
      <c r="S60" s="66" t="s">
        <v>229</v>
      </c>
      <c r="T60" s="63"/>
      <c r="U60" s="63"/>
      <c r="V60" s="68" t="s">
        <v>57</v>
      </c>
    </row>
    <row r="61" spans="13:22" ht="30" customHeight="1" x14ac:dyDescent="0.3">
      <c r="M61" s="91">
        <v>53</v>
      </c>
      <c r="N61" s="45" t="s">
        <v>112</v>
      </c>
      <c r="O61" s="85">
        <v>1</v>
      </c>
      <c r="P61" s="60"/>
      <c r="R61" s="65">
        <v>52</v>
      </c>
      <c r="S61" s="63" t="s">
        <v>230</v>
      </c>
      <c r="T61" s="63"/>
      <c r="U61" s="63"/>
      <c r="V61" s="68" t="s">
        <v>54</v>
      </c>
    </row>
    <row r="62" spans="13:22" x14ac:dyDescent="0.3">
      <c r="M62" s="91">
        <v>54</v>
      </c>
      <c r="N62" s="45" t="s">
        <v>113</v>
      </c>
      <c r="O62" s="85">
        <v>2</v>
      </c>
      <c r="P62" s="60"/>
      <c r="R62" s="65">
        <v>53</v>
      </c>
      <c r="S62" s="63" t="s">
        <v>48</v>
      </c>
      <c r="T62" s="63"/>
      <c r="U62" s="63" t="s">
        <v>48</v>
      </c>
      <c r="V62" s="68"/>
    </row>
    <row r="63" spans="13:22" x14ac:dyDescent="0.3">
      <c r="M63" s="91">
        <v>55</v>
      </c>
      <c r="N63" s="45" t="s">
        <v>114</v>
      </c>
      <c r="O63" s="85">
        <v>4</v>
      </c>
      <c r="P63" s="60"/>
      <c r="R63" s="65">
        <v>54</v>
      </c>
      <c r="S63" s="63" t="s">
        <v>205</v>
      </c>
      <c r="T63" s="63"/>
      <c r="U63" s="63" t="s">
        <v>191</v>
      </c>
      <c r="V63" s="68"/>
    </row>
    <row r="64" spans="13:22" x14ac:dyDescent="0.3">
      <c r="M64" s="91">
        <v>56</v>
      </c>
      <c r="N64" s="45" t="s">
        <v>115</v>
      </c>
      <c r="O64" s="85">
        <v>3</v>
      </c>
      <c r="P64" s="60"/>
      <c r="R64" s="65">
        <v>55</v>
      </c>
      <c r="S64" s="63" t="s">
        <v>231</v>
      </c>
      <c r="T64" s="63"/>
      <c r="U64" s="63"/>
      <c r="V64" s="68" t="s">
        <v>214</v>
      </c>
    </row>
    <row r="65" spans="13:22" x14ac:dyDescent="0.3">
      <c r="M65" s="91">
        <v>57</v>
      </c>
      <c r="N65" s="45" t="s">
        <v>116</v>
      </c>
      <c r="O65" s="85">
        <v>4</v>
      </c>
      <c r="P65" s="60"/>
      <c r="R65" s="65">
        <v>56</v>
      </c>
      <c r="S65" s="63" t="s">
        <v>230</v>
      </c>
      <c r="T65" s="63"/>
      <c r="U65" s="63"/>
      <c r="V65" s="68" t="s">
        <v>54</v>
      </c>
    </row>
    <row r="66" spans="13:22" x14ac:dyDescent="0.3">
      <c r="M66" s="91">
        <v>58</v>
      </c>
      <c r="N66" s="45" t="s">
        <v>117</v>
      </c>
      <c r="O66" s="85">
        <v>2</v>
      </c>
      <c r="P66" s="60"/>
      <c r="R66" s="65">
        <v>57</v>
      </c>
      <c r="S66" s="63" t="s">
        <v>206</v>
      </c>
      <c r="T66" s="63"/>
      <c r="U66" s="63"/>
      <c r="V66" s="68" t="s">
        <v>57</v>
      </c>
    </row>
    <row r="67" spans="13:22" x14ac:dyDescent="0.3">
      <c r="M67" s="91">
        <v>59</v>
      </c>
      <c r="N67" s="45" t="s">
        <v>118</v>
      </c>
      <c r="O67" s="85">
        <v>3</v>
      </c>
      <c r="P67" s="60"/>
      <c r="R67" s="65">
        <v>58</v>
      </c>
      <c r="S67" s="63" t="s">
        <v>207</v>
      </c>
      <c r="T67" s="63"/>
      <c r="U67" s="63"/>
      <c r="V67" s="68" t="s">
        <v>264</v>
      </c>
    </row>
    <row r="68" spans="13:22" x14ac:dyDescent="0.3">
      <c r="M68" s="91">
        <v>60</v>
      </c>
      <c r="N68" s="45" t="s">
        <v>119</v>
      </c>
      <c r="O68" s="85">
        <v>3</v>
      </c>
      <c r="P68" s="60"/>
      <c r="R68" s="65">
        <v>59</v>
      </c>
      <c r="S68" s="63" t="s">
        <v>232</v>
      </c>
      <c r="T68" s="63"/>
      <c r="U68" s="63"/>
      <c r="V68" s="68" t="s">
        <v>54</v>
      </c>
    </row>
    <row r="69" spans="13:22" x14ac:dyDescent="0.3">
      <c r="M69" s="91">
        <v>61</v>
      </c>
      <c r="N69" s="45" t="s">
        <v>120</v>
      </c>
      <c r="O69" s="85">
        <v>2</v>
      </c>
      <c r="P69" s="60"/>
      <c r="R69" s="65">
        <v>60</v>
      </c>
      <c r="S69" s="63" t="s">
        <v>208</v>
      </c>
      <c r="T69" s="63" t="s">
        <v>27</v>
      </c>
      <c r="U69" s="63"/>
      <c r="V69" s="68"/>
    </row>
    <row r="70" spans="13:22" x14ac:dyDescent="0.3">
      <c r="M70" s="91">
        <v>62</v>
      </c>
      <c r="N70" s="45" t="s">
        <v>121</v>
      </c>
      <c r="O70" s="85">
        <v>1</v>
      </c>
      <c r="P70" s="60"/>
      <c r="R70" s="65">
        <v>61</v>
      </c>
      <c r="S70" s="63" t="s">
        <v>212</v>
      </c>
      <c r="T70" s="63"/>
      <c r="U70" s="63" t="s">
        <v>42</v>
      </c>
      <c r="V70" s="68"/>
    </row>
    <row r="71" spans="13:22" x14ac:dyDescent="0.3">
      <c r="M71" s="91">
        <v>63</v>
      </c>
      <c r="N71" s="45" t="s">
        <v>122</v>
      </c>
      <c r="O71" s="85">
        <v>3</v>
      </c>
      <c r="P71" s="60"/>
      <c r="R71" s="65">
        <v>62</v>
      </c>
      <c r="S71" s="63" t="s">
        <v>233</v>
      </c>
      <c r="T71" s="63"/>
      <c r="U71" s="63"/>
      <c r="V71" s="68" t="s">
        <v>57</v>
      </c>
    </row>
    <row r="72" spans="13:22" x14ac:dyDescent="0.3">
      <c r="M72" s="91">
        <v>64</v>
      </c>
      <c r="N72" s="45" t="s">
        <v>123</v>
      </c>
      <c r="O72" s="85">
        <v>3</v>
      </c>
      <c r="P72" s="60"/>
      <c r="R72" s="65">
        <v>63</v>
      </c>
      <c r="S72" s="63" t="s">
        <v>234</v>
      </c>
      <c r="T72" s="63" t="s">
        <v>25</v>
      </c>
      <c r="U72" s="63"/>
      <c r="V72" s="68"/>
    </row>
    <row r="73" spans="13:22" x14ac:dyDescent="0.3">
      <c r="M73" s="91">
        <v>65</v>
      </c>
      <c r="N73" s="45" t="s">
        <v>124</v>
      </c>
      <c r="O73" s="85">
        <v>1</v>
      </c>
      <c r="P73" s="60"/>
      <c r="R73" s="65">
        <v>64</v>
      </c>
      <c r="S73" s="63" t="s">
        <v>235</v>
      </c>
      <c r="T73" s="63"/>
      <c r="U73" s="63"/>
      <c r="V73" s="68" t="s">
        <v>214</v>
      </c>
    </row>
    <row r="74" spans="13:22" x14ac:dyDescent="0.3">
      <c r="M74" s="91">
        <v>66</v>
      </c>
      <c r="N74" s="45" t="s">
        <v>125</v>
      </c>
      <c r="O74" s="85">
        <v>4</v>
      </c>
      <c r="P74" s="60"/>
      <c r="R74" s="65">
        <v>65</v>
      </c>
      <c r="S74" s="63" t="s">
        <v>209</v>
      </c>
      <c r="T74" s="63"/>
      <c r="U74" s="63"/>
      <c r="V74" s="68" t="s">
        <v>54</v>
      </c>
    </row>
    <row r="75" spans="13:22" x14ac:dyDescent="0.3">
      <c r="M75" s="91">
        <v>67</v>
      </c>
      <c r="N75" s="45" t="s">
        <v>126</v>
      </c>
      <c r="O75" s="85">
        <v>2</v>
      </c>
      <c r="P75" s="60"/>
      <c r="R75" s="65">
        <v>66</v>
      </c>
      <c r="S75" s="63" t="s">
        <v>230</v>
      </c>
      <c r="T75" s="63"/>
      <c r="U75" s="63"/>
      <c r="V75" s="68" t="s">
        <v>54</v>
      </c>
    </row>
    <row r="76" spans="13:22" x14ac:dyDescent="0.3">
      <c r="M76" s="91">
        <v>68</v>
      </c>
      <c r="N76" s="45" t="s">
        <v>127</v>
      </c>
      <c r="O76" s="85">
        <v>3</v>
      </c>
      <c r="P76" s="60"/>
      <c r="R76" s="65">
        <v>67</v>
      </c>
      <c r="S76" s="66" t="s">
        <v>210</v>
      </c>
      <c r="T76" s="63" t="s">
        <v>29</v>
      </c>
      <c r="U76" s="63"/>
      <c r="V76" s="68" t="s">
        <v>54</v>
      </c>
    </row>
    <row r="77" spans="13:22" ht="31.2" x14ac:dyDescent="0.3">
      <c r="M77" s="91">
        <v>69</v>
      </c>
      <c r="N77" s="45" t="s">
        <v>128</v>
      </c>
      <c r="O77" s="85">
        <v>2</v>
      </c>
      <c r="P77" s="60"/>
      <c r="R77" s="65">
        <v>68</v>
      </c>
      <c r="S77" s="66" t="s">
        <v>194</v>
      </c>
      <c r="T77" s="63"/>
      <c r="U77" s="66" t="s">
        <v>186</v>
      </c>
      <c r="V77" s="68"/>
    </row>
    <row r="78" spans="13:22" x14ac:dyDescent="0.3">
      <c r="M78" s="91">
        <v>70</v>
      </c>
      <c r="N78" s="45" t="s">
        <v>129</v>
      </c>
      <c r="O78" s="85">
        <v>2</v>
      </c>
      <c r="P78" s="60"/>
      <c r="R78" s="65">
        <v>69</v>
      </c>
      <c r="S78" s="63" t="s">
        <v>211</v>
      </c>
      <c r="T78" s="63" t="s">
        <v>29</v>
      </c>
      <c r="U78" s="63"/>
      <c r="V78" s="68"/>
    </row>
    <row r="79" spans="13:22" ht="34.200000000000003" customHeight="1" x14ac:dyDescent="0.3">
      <c r="M79" s="91">
        <v>71</v>
      </c>
      <c r="N79" s="45" t="s">
        <v>130</v>
      </c>
      <c r="O79" s="85">
        <v>2</v>
      </c>
      <c r="P79" s="60"/>
      <c r="R79" s="65">
        <v>70</v>
      </c>
      <c r="S79" s="63" t="s">
        <v>213</v>
      </c>
      <c r="T79" s="63"/>
      <c r="U79" s="63" t="s">
        <v>46</v>
      </c>
      <c r="V79" s="68"/>
    </row>
    <row r="80" spans="13:22" ht="33" customHeight="1" x14ac:dyDescent="0.3">
      <c r="M80" s="91">
        <v>72</v>
      </c>
      <c r="N80" s="45" t="s">
        <v>131</v>
      </c>
      <c r="O80" s="85">
        <v>2</v>
      </c>
      <c r="P80" s="60"/>
      <c r="R80" s="65">
        <v>71</v>
      </c>
      <c r="S80" s="63" t="s">
        <v>35</v>
      </c>
      <c r="T80" s="63" t="s">
        <v>35</v>
      </c>
      <c r="U80" s="63"/>
      <c r="V80" s="68"/>
    </row>
    <row r="81" spans="13:22" x14ac:dyDescent="0.3">
      <c r="M81" s="91">
        <v>73</v>
      </c>
      <c r="N81" s="45" t="s">
        <v>132</v>
      </c>
      <c r="O81" s="85">
        <v>1</v>
      </c>
      <c r="P81" s="60"/>
      <c r="R81" s="65">
        <v>72</v>
      </c>
      <c r="S81" s="63" t="s">
        <v>42</v>
      </c>
      <c r="T81" s="63"/>
      <c r="U81" s="63" t="s">
        <v>42</v>
      </c>
      <c r="V81" s="68"/>
    </row>
    <row r="82" spans="13:22" x14ac:dyDescent="0.3">
      <c r="M82" s="91">
        <v>74</v>
      </c>
      <c r="N82" s="45" t="s">
        <v>133</v>
      </c>
      <c r="O82" s="85">
        <v>3</v>
      </c>
      <c r="P82" s="60"/>
      <c r="R82" s="65">
        <v>73</v>
      </c>
      <c r="S82" s="63" t="s">
        <v>236</v>
      </c>
      <c r="T82" s="63"/>
      <c r="U82" s="63" t="s">
        <v>43</v>
      </c>
      <c r="V82" s="68"/>
    </row>
    <row r="83" spans="13:22" x14ac:dyDescent="0.3">
      <c r="M83" s="91">
        <v>75</v>
      </c>
      <c r="N83" s="45" t="s">
        <v>134</v>
      </c>
      <c r="O83" s="85">
        <v>3</v>
      </c>
      <c r="P83" s="60"/>
      <c r="R83" s="65">
        <v>74</v>
      </c>
      <c r="S83" s="63" t="s">
        <v>245</v>
      </c>
      <c r="T83" s="63" t="s">
        <v>29</v>
      </c>
      <c r="U83" s="68"/>
      <c r="V83" s="68" t="s">
        <v>54</v>
      </c>
    </row>
    <row r="84" spans="13:22" x14ac:dyDescent="0.3">
      <c r="M84" s="91">
        <v>76</v>
      </c>
      <c r="N84" s="45" t="s">
        <v>135</v>
      </c>
      <c r="O84" s="85">
        <v>1</v>
      </c>
      <c r="P84" s="60"/>
      <c r="R84" s="65">
        <v>75</v>
      </c>
      <c r="S84" s="63" t="s">
        <v>246</v>
      </c>
      <c r="T84" s="63"/>
      <c r="U84" s="63"/>
      <c r="V84" s="68" t="s">
        <v>53</v>
      </c>
    </row>
    <row r="85" spans="13:22" ht="31.2" x14ac:dyDescent="0.3">
      <c r="M85" s="91">
        <v>77</v>
      </c>
      <c r="N85" s="45" t="s">
        <v>136</v>
      </c>
      <c r="O85" s="85">
        <v>2</v>
      </c>
      <c r="P85" s="60"/>
      <c r="R85" s="65">
        <v>76</v>
      </c>
      <c r="S85" s="74" t="s">
        <v>247</v>
      </c>
      <c r="T85" s="63"/>
      <c r="U85" s="66" t="s">
        <v>186</v>
      </c>
      <c r="V85" s="68"/>
    </row>
    <row r="86" spans="13:22" x14ac:dyDescent="0.3">
      <c r="M86" s="91">
        <v>78</v>
      </c>
      <c r="N86" s="45" t="s">
        <v>137</v>
      </c>
      <c r="O86" s="85">
        <v>1</v>
      </c>
      <c r="P86" s="60"/>
      <c r="R86" s="65">
        <v>77</v>
      </c>
      <c r="S86" s="63"/>
      <c r="T86" s="63"/>
      <c r="U86" s="63"/>
      <c r="V86" s="68"/>
    </row>
    <row r="87" spans="13:22" x14ac:dyDescent="0.3">
      <c r="M87" s="91">
        <v>79</v>
      </c>
      <c r="N87" s="45" t="s">
        <v>138</v>
      </c>
      <c r="O87" s="85">
        <v>4</v>
      </c>
      <c r="P87" s="60"/>
      <c r="R87" s="65">
        <v>78</v>
      </c>
      <c r="S87" s="63"/>
      <c r="T87" s="63"/>
      <c r="U87" s="63"/>
      <c r="V87" s="68"/>
    </row>
    <row r="88" spans="13:22" x14ac:dyDescent="0.3">
      <c r="M88" s="91">
        <v>80</v>
      </c>
      <c r="N88" s="45" t="s">
        <v>139</v>
      </c>
      <c r="O88" s="85">
        <v>3</v>
      </c>
      <c r="P88" s="60"/>
      <c r="R88" s="65">
        <v>79</v>
      </c>
      <c r="S88" s="63"/>
      <c r="T88" s="63"/>
      <c r="U88" s="63"/>
      <c r="V88" s="68"/>
    </row>
    <row r="89" spans="13:22" x14ac:dyDescent="0.3">
      <c r="M89" s="91">
        <v>81</v>
      </c>
      <c r="N89" s="45" t="s">
        <v>140</v>
      </c>
      <c r="O89" s="85">
        <v>3</v>
      </c>
      <c r="P89" s="60"/>
      <c r="R89" s="65">
        <v>80</v>
      </c>
      <c r="S89" s="63"/>
      <c r="T89" s="63"/>
      <c r="U89" s="63"/>
      <c r="V89" s="68"/>
    </row>
    <row r="90" spans="13:22" x14ac:dyDescent="0.3">
      <c r="M90" s="91">
        <v>82</v>
      </c>
      <c r="N90" s="45" t="s">
        <v>141</v>
      </c>
      <c r="O90" s="85">
        <v>1</v>
      </c>
      <c r="P90" s="60"/>
      <c r="R90" s="65">
        <v>81</v>
      </c>
      <c r="S90" s="63"/>
      <c r="T90" s="63"/>
      <c r="U90" s="63"/>
      <c r="V90" s="68"/>
    </row>
    <row r="91" spans="13:22" x14ac:dyDescent="0.3">
      <c r="M91" s="91">
        <v>83</v>
      </c>
      <c r="N91" s="45" t="s">
        <v>142</v>
      </c>
      <c r="O91" s="85">
        <v>3</v>
      </c>
      <c r="P91" s="60"/>
    </row>
    <row r="92" spans="13:22" x14ac:dyDescent="0.3">
      <c r="M92" s="91">
        <v>84</v>
      </c>
      <c r="N92" s="45" t="s">
        <v>143</v>
      </c>
      <c r="O92" s="85">
        <v>4</v>
      </c>
      <c r="P92" s="60"/>
    </row>
    <row r="93" spans="13:22" x14ac:dyDescent="0.3">
      <c r="M93" s="91">
        <v>85</v>
      </c>
      <c r="N93" s="45" t="s">
        <v>144</v>
      </c>
      <c r="O93" s="85">
        <v>3</v>
      </c>
      <c r="P93" s="60"/>
    </row>
    <row r="94" spans="13:22" x14ac:dyDescent="0.3">
      <c r="M94" s="91">
        <v>86</v>
      </c>
      <c r="N94" s="45" t="s">
        <v>145</v>
      </c>
      <c r="O94" s="85">
        <v>1</v>
      </c>
      <c r="P94" s="60"/>
    </row>
    <row r="95" spans="13:22" x14ac:dyDescent="0.3">
      <c r="M95" s="91">
        <v>87</v>
      </c>
      <c r="N95" s="45" t="s">
        <v>146</v>
      </c>
      <c r="O95" s="85">
        <v>1</v>
      </c>
      <c r="P95" s="60"/>
    </row>
    <row r="96" spans="13:22" x14ac:dyDescent="0.3">
      <c r="M96" s="91">
        <v>88</v>
      </c>
      <c r="N96" s="45" t="s">
        <v>147</v>
      </c>
      <c r="O96" s="85">
        <v>2</v>
      </c>
      <c r="P96" s="60"/>
    </row>
    <row r="97" spans="13:16" x14ac:dyDescent="0.3">
      <c r="M97" s="91">
        <v>89</v>
      </c>
      <c r="N97" s="45" t="s">
        <v>148</v>
      </c>
      <c r="O97" s="85">
        <v>2</v>
      </c>
      <c r="P97" s="60"/>
    </row>
    <row r="98" spans="13:16" x14ac:dyDescent="0.3">
      <c r="M98" s="91">
        <v>90</v>
      </c>
      <c r="N98" s="45" t="s">
        <v>149</v>
      </c>
      <c r="O98" s="85">
        <v>1</v>
      </c>
      <c r="P98" s="60"/>
    </row>
    <row r="99" spans="13:16" x14ac:dyDescent="0.3">
      <c r="M99" s="91">
        <v>91</v>
      </c>
      <c r="N99" s="45" t="s">
        <v>150</v>
      </c>
      <c r="O99" s="85">
        <v>3</v>
      </c>
      <c r="P99" s="60"/>
    </row>
    <row r="100" spans="13:16" x14ac:dyDescent="0.3">
      <c r="M100" s="91">
        <v>92</v>
      </c>
      <c r="N100" s="45" t="s">
        <v>151</v>
      </c>
      <c r="O100" s="85">
        <v>4</v>
      </c>
      <c r="P100" s="60"/>
    </row>
    <row r="101" spans="13:16" x14ac:dyDescent="0.3">
      <c r="M101" s="91">
        <v>93</v>
      </c>
      <c r="N101" s="45" t="s">
        <v>152</v>
      </c>
      <c r="O101" s="85">
        <v>2</v>
      </c>
      <c r="P101" s="60"/>
    </row>
    <row r="102" spans="13:16" x14ac:dyDescent="0.3">
      <c r="M102" s="91">
        <v>94</v>
      </c>
      <c r="N102" s="45" t="s">
        <v>153</v>
      </c>
      <c r="O102" s="85">
        <v>3</v>
      </c>
      <c r="P102" s="60"/>
    </row>
    <row r="103" spans="13:16" x14ac:dyDescent="0.3">
      <c r="M103" s="91">
        <v>95</v>
      </c>
      <c r="N103" s="45" t="s">
        <v>154</v>
      </c>
      <c r="O103" s="85">
        <v>3</v>
      </c>
      <c r="P103" s="60"/>
    </row>
    <row r="104" spans="13:16" x14ac:dyDescent="0.3">
      <c r="M104" s="91">
        <v>96</v>
      </c>
      <c r="N104" s="45" t="s">
        <v>157</v>
      </c>
      <c r="O104" s="57">
        <v>0</v>
      </c>
      <c r="P104" s="61"/>
    </row>
  </sheetData>
  <mergeCells count="46">
    <mergeCell ref="B6:J6"/>
    <mergeCell ref="F10:J10"/>
    <mergeCell ref="F9:J9"/>
    <mergeCell ref="F11:J11"/>
    <mergeCell ref="C10:E10"/>
    <mergeCell ref="C11:E11"/>
    <mergeCell ref="C9:E9"/>
    <mergeCell ref="B21:J21"/>
    <mergeCell ref="C24:E24"/>
    <mergeCell ref="F24:J24"/>
    <mergeCell ref="C25:E25"/>
    <mergeCell ref="C12:E12"/>
    <mergeCell ref="C13:E13"/>
    <mergeCell ref="C14:E14"/>
    <mergeCell ref="F25:J25"/>
    <mergeCell ref="F12:J12"/>
    <mergeCell ref="F13:J13"/>
    <mergeCell ref="F14:J14"/>
    <mergeCell ref="F15:J15"/>
    <mergeCell ref="F16:J16"/>
    <mergeCell ref="C41:E41"/>
    <mergeCell ref="F41:J41"/>
    <mergeCell ref="C42:E42"/>
    <mergeCell ref="F42:J42"/>
    <mergeCell ref="B35:J35"/>
    <mergeCell ref="B36:J36"/>
    <mergeCell ref="C38:E38"/>
    <mergeCell ref="F38:J38"/>
    <mergeCell ref="C39:E39"/>
    <mergeCell ref="F39:J39"/>
    <mergeCell ref="R8:V8"/>
    <mergeCell ref="R6:V6"/>
    <mergeCell ref="R7:V7"/>
    <mergeCell ref="C40:E40"/>
    <mergeCell ref="F40:J40"/>
    <mergeCell ref="C29:E29"/>
    <mergeCell ref="F29:J29"/>
    <mergeCell ref="B7:J7"/>
    <mergeCell ref="B22:J22"/>
    <mergeCell ref="C26:E26"/>
    <mergeCell ref="F26:J26"/>
    <mergeCell ref="C27:E27"/>
    <mergeCell ref="F27:J27"/>
    <mergeCell ref="C28:E28"/>
    <mergeCell ref="F28:J28"/>
    <mergeCell ref="C15:E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159D3-60CD-4070-8D3E-4ECEDA327516}">
  <sheetPr codeName="Sheet19"/>
  <dimension ref="A1:Q300"/>
  <sheetViews>
    <sheetView topLeftCell="B1" workbookViewId="0">
      <selection activeCell="L36" sqref="L36"/>
    </sheetView>
  </sheetViews>
  <sheetFormatPr defaultRowHeight="14.4" x14ac:dyDescent="0.3"/>
  <cols>
    <col min="1" max="9" width="24.77734375" customWidth="1"/>
    <col min="10" max="10" width="30.77734375" style="151" customWidth="1"/>
    <col min="11" max="13" width="24.77734375" customWidth="1"/>
    <col min="14" max="14" width="24.77734375" style="142" customWidth="1"/>
    <col min="15" max="17" width="24.77734375" customWidth="1"/>
  </cols>
  <sheetData>
    <row r="1" spans="1:17" s="141" customFormat="1" x14ac:dyDescent="0.3">
      <c r="A1" s="144" t="s">
        <v>322</v>
      </c>
      <c r="B1" s="144" t="s">
        <v>535</v>
      </c>
      <c r="C1" s="144" t="s">
        <v>536</v>
      </c>
      <c r="D1" s="144" t="s">
        <v>537</v>
      </c>
      <c r="E1" s="144" t="s">
        <v>538</v>
      </c>
      <c r="F1" s="144" t="s">
        <v>539</v>
      </c>
      <c r="G1" s="144" t="s">
        <v>543</v>
      </c>
      <c r="H1" s="144" t="s">
        <v>540</v>
      </c>
      <c r="I1" s="144" t="s">
        <v>541</v>
      </c>
      <c r="J1" s="150" t="s">
        <v>326</v>
      </c>
      <c r="K1" s="144" t="s">
        <v>328</v>
      </c>
      <c r="L1" s="144" t="s">
        <v>542</v>
      </c>
      <c r="M1" s="144" t="s">
        <v>329</v>
      </c>
      <c r="N1" s="145" t="s">
        <v>330</v>
      </c>
      <c r="O1" s="144" t="s">
        <v>544</v>
      </c>
      <c r="P1" s="144" t="s">
        <v>331</v>
      </c>
      <c r="Q1" s="144"/>
    </row>
    <row r="2" spans="1:17" x14ac:dyDescent="0.3">
      <c r="A2" s="147" t="s">
        <v>511</v>
      </c>
      <c r="B2" s="147" t="s">
        <v>413</v>
      </c>
      <c r="C2" s="147" t="s">
        <v>414</v>
      </c>
      <c r="D2" s="153">
        <v>88.101858123366284</v>
      </c>
      <c r="E2" s="147">
        <v>30.999999999999996</v>
      </c>
      <c r="F2" s="147">
        <v>39.895276807667905</v>
      </c>
      <c r="G2" s="147">
        <v>0</v>
      </c>
      <c r="H2" s="147">
        <v>10.504665314401622</v>
      </c>
      <c r="I2" s="147">
        <v>6.701916001296758</v>
      </c>
      <c r="J2" s="151" t="s">
        <v>498</v>
      </c>
      <c r="K2" s="147" t="s">
        <v>500</v>
      </c>
      <c r="L2" s="147" t="s">
        <v>499</v>
      </c>
      <c r="M2" s="147">
        <v>13.24</v>
      </c>
      <c r="N2" s="148">
        <v>2065833.34</v>
      </c>
      <c r="O2" s="147">
        <v>0</v>
      </c>
      <c r="P2" s="147" t="s">
        <v>569</v>
      </c>
      <c r="Q2" s="147"/>
    </row>
    <row r="3" spans="1:17" x14ac:dyDescent="0.3">
      <c r="A3" s="147" t="s">
        <v>509</v>
      </c>
      <c r="B3" s="147" t="s">
        <v>413</v>
      </c>
      <c r="C3" s="147" t="s">
        <v>411</v>
      </c>
      <c r="D3" s="153">
        <v>72.54496108991907</v>
      </c>
      <c r="E3" s="147">
        <v>11.899999999999999</v>
      </c>
      <c r="F3" s="147">
        <v>39.895276807667905</v>
      </c>
      <c r="G3" s="147">
        <v>0</v>
      </c>
      <c r="H3" s="147">
        <v>10.806060851926977</v>
      </c>
      <c r="I3" s="147">
        <v>9.9436234303241893</v>
      </c>
      <c r="J3" s="151" t="s">
        <v>545</v>
      </c>
      <c r="K3" s="147" t="s">
        <v>500</v>
      </c>
      <c r="L3" s="147" t="s">
        <v>499</v>
      </c>
      <c r="M3" s="147">
        <v>11.44</v>
      </c>
      <c r="N3" s="148">
        <v>1552436.03</v>
      </c>
      <c r="O3" s="147">
        <v>0</v>
      </c>
      <c r="P3" s="147" t="s">
        <v>569</v>
      </c>
      <c r="Q3" s="147"/>
    </row>
    <row r="4" spans="1:17" ht="28.8" x14ac:dyDescent="0.3">
      <c r="A4" s="147" t="s">
        <v>512</v>
      </c>
      <c r="B4" s="147" t="s">
        <v>413</v>
      </c>
      <c r="C4" s="147" t="s">
        <v>415</v>
      </c>
      <c r="D4" s="153">
        <v>71.976890955553174</v>
      </c>
      <c r="E4" s="147">
        <v>12.600000000000001</v>
      </c>
      <c r="F4" s="147">
        <v>37.640802484160162</v>
      </c>
      <c r="G4" s="147">
        <v>0</v>
      </c>
      <c r="H4" s="147">
        <v>8.8312373225152125</v>
      </c>
      <c r="I4" s="147">
        <v>12.904851148877805</v>
      </c>
      <c r="J4" s="151" t="s">
        <v>577</v>
      </c>
      <c r="K4" s="147" t="s">
        <v>571</v>
      </c>
      <c r="L4" s="147" t="s">
        <v>338</v>
      </c>
      <c r="M4" s="147">
        <v>15.74</v>
      </c>
      <c r="N4" s="148">
        <v>791928.23</v>
      </c>
      <c r="O4" s="147">
        <v>0</v>
      </c>
      <c r="P4" s="147" t="s">
        <v>569</v>
      </c>
      <c r="Q4" s="147"/>
    </row>
    <row r="5" spans="1:17" ht="28.8" x14ac:dyDescent="0.3">
      <c r="A5" s="147" t="s">
        <v>510</v>
      </c>
      <c r="B5" s="147" t="s">
        <v>413</v>
      </c>
      <c r="C5" s="147" t="s">
        <v>412</v>
      </c>
      <c r="D5" s="156">
        <v>64.361205302567981</v>
      </c>
      <c r="E5" s="147">
        <v>8</v>
      </c>
      <c r="F5" s="147">
        <v>35.038655039409448</v>
      </c>
      <c r="G5" s="147">
        <v>0</v>
      </c>
      <c r="H5" s="147">
        <v>9.1746247464503039</v>
      </c>
      <c r="I5" s="147">
        <v>12.147925516708229</v>
      </c>
      <c r="J5" s="151" t="s">
        <v>596</v>
      </c>
      <c r="K5" s="147" t="s">
        <v>559</v>
      </c>
      <c r="L5" s="147" t="s">
        <v>560</v>
      </c>
      <c r="M5" s="147">
        <v>15.227</v>
      </c>
      <c r="N5" s="148">
        <v>1125474.58</v>
      </c>
      <c r="O5" s="147">
        <v>0</v>
      </c>
      <c r="P5" s="147" t="s">
        <v>569</v>
      </c>
      <c r="Q5" s="147"/>
    </row>
    <row r="6" spans="1:17" x14ac:dyDescent="0.3">
      <c r="A6" s="147" t="s">
        <v>532</v>
      </c>
      <c r="B6" s="147" t="s">
        <v>413</v>
      </c>
      <c r="C6" s="147" t="s">
        <v>488</v>
      </c>
      <c r="D6" s="156">
        <v>61.50904666584529</v>
      </c>
      <c r="E6" s="147">
        <v>19.600000000000001</v>
      </c>
      <c r="F6" s="147">
        <v>35.038655039409448</v>
      </c>
      <c r="G6" s="147">
        <v>0</v>
      </c>
      <c r="H6" s="147">
        <v>4.5778867789046647</v>
      </c>
      <c r="I6" s="147">
        <v>2.292504847531172</v>
      </c>
      <c r="J6" s="151" t="s">
        <v>616</v>
      </c>
      <c r="K6" s="147" t="s">
        <v>559</v>
      </c>
      <c r="L6" s="147" t="s">
        <v>560</v>
      </c>
      <c r="M6" s="147">
        <v>21.626570000000001</v>
      </c>
      <c r="N6" s="148">
        <v>3376030.67</v>
      </c>
      <c r="O6" s="147">
        <v>0</v>
      </c>
      <c r="P6" s="147" t="s">
        <v>569</v>
      </c>
      <c r="Q6" s="147"/>
    </row>
    <row r="7" spans="1:17" x14ac:dyDescent="0.3">
      <c r="A7" s="147" t="s">
        <v>649</v>
      </c>
      <c r="B7" s="147" t="s">
        <v>413</v>
      </c>
      <c r="C7" s="147" t="s">
        <v>490</v>
      </c>
      <c r="D7" s="156">
        <v>60.362890769640359</v>
      </c>
      <c r="E7" s="147">
        <v>11.899999999999999</v>
      </c>
      <c r="F7" s="147">
        <v>28.696874340990888</v>
      </c>
      <c r="G7" s="147">
        <v>0</v>
      </c>
      <c r="H7" s="147">
        <v>6.8468083164300211</v>
      </c>
      <c r="I7" s="147">
        <v>12.919208112219451</v>
      </c>
      <c r="J7" s="151" t="s">
        <v>545</v>
      </c>
      <c r="K7" s="147" t="s">
        <v>650</v>
      </c>
      <c r="L7" s="147" t="s">
        <v>338</v>
      </c>
      <c r="M7" s="147">
        <v>4.3987499999999997</v>
      </c>
      <c r="N7" s="148">
        <v>785601.7</v>
      </c>
      <c r="O7" s="147">
        <v>0</v>
      </c>
      <c r="P7" s="147" t="s">
        <v>569</v>
      </c>
      <c r="Q7" s="147"/>
    </row>
    <row r="8" spans="1:17" ht="28.8" x14ac:dyDescent="0.3">
      <c r="A8" s="147" t="s">
        <v>504</v>
      </c>
      <c r="B8" s="147" t="s">
        <v>413</v>
      </c>
      <c r="C8" s="147" t="s">
        <v>403</v>
      </c>
      <c r="D8" s="156">
        <v>53.710942160385251</v>
      </c>
      <c r="E8" s="147">
        <v>12.600000000000001</v>
      </c>
      <c r="F8" s="147">
        <v>21.474458403171791</v>
      </c>
      <c r="G8" s="147">
        <v>0</v>
      </c>
      <c r="H8" s="147">
        <v>6.7588640973630847</v>
      </c>
      <c r="I8" s="147">
        <v>12.877619659850376</v>
      </c>
      <c r="J8" s="151" t="s">
        <v>577</v>
      </c>
      <c r="K8" s="147" t="s">
        <v>565</v>
      </c>
      <c r="L8" s="147" t="s">
        <v>557</v>
      </c>
      <c r="M8" s="147">
        <v>18.7</v>
      </c>
      <c r="N8" s="148">
        <v>803928.04</v>
      </c>
      <c r="O8" s="147">
        <v>0</v>
      </c>
      <c r="P8" s="147" t="s">
        <v>569</v>
      </c>
      <c r="Q8" s="147"/>
    </row>
    <row r="9" spans="1:17" ht="28.8" x14ac:dyDescent="0.3">
      <c r="A9" s="147" t="s">
        <v>503</v>
      </c>
      <c r="B9" s="147" t="s">
        <v>413</v>
      </c>
      <c r="C9" s="147" t="s">
        <v>402</v>
      </c>
      <c r="D9" s="156">
        <v>52.120221337468408</v>
      </c>
      <c r="E9" s="147">
        <v>12.600000000000001</v>
      </c>
      <c r="F9" s="147">
        <v>21.474458403171791</v>
      </c>
      <c r="G9" s="147">
        <v>0</v>
      </c>
      <c r="H9" s="147">
        <v>5.2385882352941193</v>
      </c>
      <c r="I9" s="147">
        <v>12.807174699002493</v>
      </c>
      <c r="J9" s="151" t="s">
        <v>577</v>
      </c>
      <c r="K9" s="147" t="s">
        <v>565</v>
      </c>
      <c r="L9" s="147" t="s">
        <v>557</v>
      </c>
      <c r="M9" s="147">
        <v>20.74</v>
      </c>
      <c r="N9" s="148">
        <v>834970.27</v>
      </c>
      <c r="O9" s="147">
        <v>0</v>
      </c>
      <c r="P9" s="147" t="s">
        <v>569</v>
      </c>
      <c r="Q9" s="147"/>
    </row>
    <row r="10" spans="1:17" ht="28.8" x14ac:dyDescent="0.3">
      <c r="A10" s="147" t="s">
        <v>505</v>
      </c>
      <c r="B10" s="147" t="s">
        <v>413</v>
      </c>
      <c r="C10" s="147" t="s">
        <v>404</v>
      </c>
      <c r="D10" s="156">
        <v>51.790546605793033</v>
      </c>
      <c r="E10" s="147">
        <v>12.600000000000001</v>
      </c>
      <c r="F10" s="147">
        <v>21.474458403171791</v>
      </c>
      <c r="G10" s="147">
        <v>0</v>
      </c>
      <c r="H10" s="147">
        <v>5.0746369168356988</v>
      </c>
      <c r="I10" s="147">
        <v>12.641451285785536</v>
      </c>
      <c r="J10" s="151" t="s">
        <v>577</v>
      </c>
      <c r="K10" s="147" t="s">
        <v>565</v>
      </c>
      <c r="L10" s="147" t="s">
        <v>557</v>
      </c>
      <c r="M10" s="147">
        <v>20.96</v>
      </c>
      <c r="N10" s="148">
        <v>907997.84</v>
      </c>
      <c r="O10" s="147">
        <v>0</v>
      </c>
      <c r="P10" s="147" t="s">
        <v>569</v>
      </c>
      <c r="Q10" s="147"/>
    </row>
    <row r="11" spans="1:17" ht="28.8" x14ac:dyDescent="0.3">
      <c r="A11" s="147" t="s">
        <v>506</v>
      </c>
      <c r="B11" s="147" t="s">
        <v>413</v>
      </c>
      <c r="C11" s="147" t="s">
        <v>405</v>
      </c>
      <c r="D11" s="154">
        <v>49.205083870008089</v>
      </c>
      <c r="E11" s="147">
        <v>12.600000000000001</v>
      </c>
      <c r="F11" s="147">
        <v>14.542928106349279</v>
      </c>
      <c r="G11" s="147">
        <v>0</v>
      </c>
      <c r="H11" s="147">
        <v>10.721608519269775</v>
      </c>
      <c r="I11" s="147">
        <v>11.340547244389029</v>
      </c>
      <c r="J11" s="151" t="s">
        <v>577</v>
      </c>
      <c r="K11" s="147" t="s">
        <v>591</v>
      </c>
      <c r="L11" s="147" t="s">
        <v>501</v>
      </c>
      <c r="M11" s="147">
        <v>12.915900000000001</v>
      </c>
      <c r="N11" s="148">
        <v>607017.5</v>
      </c>
      <c r="O11" s="147">
        <v>0</v>
      </c>
      <c r="P11" s="147" t="s">
        <v>569</v>
      </c>
      <c r="Q11" s="147"/>
    </row>
    <row r="12" spans="1:17" ht="28.8" x14ac:dyDescent="0.3">
      <c r="A12" s="147" t="s">
        <v>507</v>
      </c>
      <c r="B12" s="147" t="s">
        <v>413</v>
      </c>
      <c r="C12" s="147" t="s">
        <v>406</v>
      </c>
      <c r="D12" s="154">
        <v>41.490931963750917</v>
      </c>
      <c r="E12" s="147">
        <v>12.600000000000001</v>
      </c>
      <c r="F12" s="147">
        <v>11.159458702071952</v>
      </c>
      <c r="G12" s="147">
        <v>0</v>
      </c>
      <c r="H12" s="147">
        <v>5.1044462474645043</v>
      </c>
      <c r="I12" s="147">
        <v>12.627027014214462</v>
      </c>
      <c r="J12" s="151" t="s">
        <v>577</v>
      </c>
      <c r="K12" s="147" t="s">
        <v>592</v>
      </c>
      <c r="L12" s="147" t="s">
        <v>501</v>
      </c>
      <c r="M12" s="147">
        <v>20.919999999999998</v>
      </c>
      <c r="N12" s="148">
        <v>914354.03</v>
      </c>
      <c r="O12" s="147">
        <v>0</v>
      </c>
      <c r="P12" s="147" t="s">
        <v>569</v>
      </c>
      <c r="Q12" s="147"/>
    </row>
    <row r="13" spans="1:17" ht="28.8" x14ac:dyDescent="0.3">
      <c r="A13" s="147" t="s">
        <v>533</v>
      </c>
      <c r="B13" s="147" t="s">
        <v>413</v>
      </c>
      <c r="C13" s="147" t="s">
        <v>489</v>
      </c>
      <c r="D13" s="154">
        <v>38.396861836765346</v>
      </c>
      <c r="E13" s="147">
        <v>12.600000000000001</v>
      </c>
      <c r="F13" s="147">
        <v>11.159458702071952</v>
      </c>
      <c r="G13" s="147">
        <v>0</v>
      </c>
      <c r="H13" s="147">
        <v>7.4444787018255578</v>
      </c>
      <c r="I13" s="147">
        <v>7.1929244328678301</v>
      </c>
      <c r="J13" s="151" t="s">
        <v>579</v>
      </c>
      <c r="K13" s="147" t="s">
        <v>592</v>
      </c>
      <c r="L13" s="147" t="s">
        <v>501</v>
      </c>
      <c r="M13" s="147">
        <v>17.78</v>
      </c>
      <c r="N13" s="148">
        <v>1987762.61</v>
      </c>
      <c r="O13" s="147">
        <v>0</v>
      </c>
      <c r="P13" s="147" t="s">
        <v>569</v>
      </c>
      <c r="Q13" s="147"/>
    </row>
    <row r="14" spans="1:17" x14ac:dyDescent="0.3">
      <c r="A14" s="147" t="s">
        <v>508</v>
      </c>
      <c r="B14" s="147" t="s">
        <v>413</v>
      </c>
      <c r="C14" s="147" t="s">
        <v>410</v>
      </c>
      <c r="D14" s="154">
        <v>36.371858015815953</v>
      </c>
      <c r="E14" s="147">
        <v>5.6000000000000005</v>
      </c>
      <c r="F14" s="147">
        <v>23.355912243908801</v>
      </c>
      <c r="G14" s="147">
        <v>0</v>
      </c>
      <c r="H14" s="147">
        <v>5.4025395537525362</v>
      </c>
      <c r="I14" s="147">
        <v>2.0134062181546137</v>
      </c>
      <c r="J14" s="151" t="s">
        <v>564</v>
      </c>
      <c r="K14" s="147" t="s">
        <v>595</v>
      </c>
      <c r="L14" s="147" t="s">
        <v>499</v>
      </c>
      <c r="M14" s="147">
        <v>20.52</v>
      </c>
      <c r="N14" s="148">
        <v>3629240.06</v>
      </c>
      <c r="O14" s="147">
        <v>0</v>
      </c>
      <c r="P14" s="147" t="s">
        <v>569</v>
      </c>
      <c r="Q14" s="147"/>
    </row>
    <row r="15" spans="1:17" ht="28.8" x14ac:dyDescent="0.3">
      <c r="A15" s="147" t="s">
        <v>345</v>
      </c>
      <c r="B15" s="147" t="s">
        <v>413</v>
      </c>
      <c r="C15" s="147" t="s">
        <v>387</v>
      </c>
      <c r="D15" s="154">
        <v>36.112754756195727</v>
      </c>
      <c r="E15" s="147">
        <v>12.600000000000001</v>
      </c>
      <c r="F15" s="147">
        <v>0</v>
      </c>
      <c r="G15" s="147">
        <v>0</v>
      </c>
      <c r="H15" s="147">
        <v>10.77241379310345</v>
      </c>
      <c r="I15" s="147">
        <v>12.740340963092271</v>
      </c>
      <c r="J15" s="151" t="s">
        <v>579</v>
      </c>
      <c r="K15" s="147" t="s">
        <v>584</v>
      </c>
      <c r="L15" s="147" t="s">
        <v>501</v>
      </c>
      <c r="M15" s="147">
        <v>12.84</v>
      </c>
      <c r="N15" s="148">
        <v>864421.18</v>
      </c>
      <c r="O15" s="147">
        <v>0</v>
      </c>
      <c r="P15" s="147" t="s">
        <v>569</v>
      </c>
      <c r="Q15" s="147"/>
    </row>
    <row r="16" spans="1:17" ht="28.8" x14ac:dyDescent="0.3">
      <c r="A16" s="147" t="s">
        <v>516</v>
      </c>
      <c r="B16" s="147" t="s">
        <v>413</v>
      </c>
      <c r="C16" s="147" t="s">
        <v>419</v>
      </c>
      <c r="D16" s="154">
        <v>35.547620984005604</v>
      </c>
      <c r="E16" s="147">
        <v>12.600000000000001</v>
      </c>
      <c r="F16" s="147">
        <v>0</v>
      </c>
      <c r="G16" s="147">
        <v>0</v>
      </c>
      <c r="H16" s="147">
        <v>10.721166734279919</v>
      </c>
      <c r="I16" s="147">
        <v>12.226454249725688</v>
      </c>
      <c r="J16" s="151" t="s">
        <v>579</v>
      </c>
      <c r="K16" s="147" t="s">
        <v>597</v>
      </c>
      <c r="L16" s="147" t="s">
        <v>499</v>
      </c>
      <c r="M16" s="147">
        <v>10.975999999999999</v>
      </c>
      <c r="N16" s="148">
        <v>683349.41</v>
      </c>
      <c r="O16" s="147">
        <v>0</v>
      </c>
      <c r="P16" s="147" t="s">
        <v>569</v>
      </c>
      <c r="Q16" s="147"/>
    </row>
    <row r="17" spans="1:17" ht="28.8" x14ac:dyDescent="0.3">
      <c r="A17" s="147" t="s">
        <v>342</v>
      </c>
      <c r="B17" s="147" t="s">
        <v>413</v>
      </c>
      <c r="C17" s="147" t="s">
        <v>384</v>
      </c>
      <c r="D17" s="154">
        <v>35.177216039045192</v>
      </c>
      <c r="E17" s="147">
        <v>12.600000000000001</v>
      </c>
      <c r="F17" s="147">
        <v>0</v>
      </c>
      <c r="G17" s="147">
        <v>0</v>
      </c>
      <c r="H17" s="147">
        <v>10.667010141987829</v>
      </c>
      <c r="I17" s="147">
        <v>11.910205897057358</v>
      </c>
      <c r="J17" s="151" t="s">
        <v>579</v>
      </c>
      <c r="K17" s="147" t="s">
        <v>580</v>
      </c>
      <c r="L17" s="147" t="s">
        <v>557</v>
      </c>
      <c r="M17" s="147">
        <v>10.68</v>
      </c>
      <c r="N17" s="148">
        <v>656100.68000000005</v>
      </c>
      <c r="O17" s="147">
        <v>0</v>
      </c>
      <c r="P17" s="147" t="s">
        <v>569</v>
      </c>
      <c r="Q17" s="147"/>
    </row>
    <row r="18" spans="1:17" ht="28.8" x14ac:dyDescent="0.3">
      <c r="A18" s="147" t="s">
        <v>343</v>
      </c>
      <c r="B18" s="147" t="s">
        <v>413</v>
      </c>
      <c r="C18" s="147" t="s">
        <v>385</v>
      </c>
      <c r="D18" s="154">
        <v>35.158647997157715</v>
      </c>
      <c r="E18" s="147">
        <v>12.600000000000001</v>
      </c>
      <c r="F18" s="147">
        <v>0</v>
      </c>
      <c r="G18" s="147">
        <v>0</v>
      </c>
      <c r="H18" s="147">
        <v>9.9423935091277897</v>
      </c>
      <c r="I18" s="147">
        <v>12.616254488029925</v>
      </c>
      <c r="J18" s="151" t="s">
        <v>579</v>
      </c>
      <c r="K18" s="147" t="s">
        <v>581</v>
      </c>
      <c r="L18" s="147" t="s">
        <v>582</v>
      </c>
      <c r="M18" s="147">
        <v>14.08</v>
      </c>
      <c r="N18" s="148">
        <v>716935.55</v>
      </c>
      <c r="O18" s="147">
        <v>0</v>
      </c>
      <c r="P18" s="147" t="s">
        <v>569</v>
      </c>
      <c r="Q18" s="147"/>
    </row>
    <row r="19" spans="1:17" ht="28.8" x14ac:dyDescent="0.3">
      <c r="A19" s="147" t="s">
        <v>526</v>
      </c>
      <c r="B19" s="147" t="s">
        <v>413</v>
      </c>
      <c r="C19" s="147" t="s">
        <v>428</v>
      </c>
      <c r="D19" s="154">
        <v>35.006788452111614</v>
      </c>
      <c r="E19" s="147">
        <v>12.600000000000001</v>
      </c>
      <c r="F19" s="147">
        <v>0</v>
      </c>
      <c r="G19" s="147">
        <v>0</v>
      </c>
      <c r="H19" s="147">
        <v>9.7014198782961483</v>
      </c>
      <c r="I19" s="147">
        <v>12.705368573815463</v>
      </c>
      <c r="J19" s="151" t="s">
        <v>579</v>
      </c>
      <c r="K19" s="147" t="s">
        <v>602</v>
      </c>
      <c r="L19" s="147" t="s">
        <v>499</v>
      </c>
      <c r="M19" s="147">
        <v>14.44</v>
      </c>
      <c r="N19" s="148">
        <v>879832.09</v>
      </c>
      <c r="O19" s="147">
        <v>0</v>
      </c>
      <c r="P19" s="147" t="s">
        <v>569</v>
      </c>
      <c r="Q19" s="147"/>
    </row>
    <row r="20" spans="1:17" ht="28.8" x14ac:dyDescent="0.3">
      <c r="A20" s="147" t="s">
        <v>522</v>
      </c>
      <c r="B20" s="147" t="s">
        <v>413</v>
      </c>
      <c r="C20" s="147" t="s">
        <v>425</v>
      </c>
      <c r="D20" s="154">
        <v>34.996373370872618</v>
      </c>
      <c r="E20" s="147">
        <v>12.600000000000001</v>
      </c>
      <c r="F20" s="147">
        <v>0</v>
      </c>
      <c r="G20" s="147">
        <v>0</v>
      </c>
      <c r="H20" s="147">
        <v>10.736535496957405</v>
      </c>
      <c r="I20" s="147">
        <v>11.659837873915212</v>
      </c>
      <c r="J20" s="151" t="s">
        <v>579</v>
      </c>
      <c r="K20" s="147" t="s">
        <v>601</v>
      </c>
      <c r="L20" s="147" t="s">
        <v>501</v>
      </c>
      <c r="M20" s="147">
        <v>11.06</v>
      </c>
      <c r="N20" s="148">
        <v>634528.36</v>
      </c>
      <c r="O20" s="147">
        <v>0</v>
      </c>
      <c r="P20" s="147" t="s">
        <v>569</v>
      </c>
      <c r="Q20" s="147"/>
    </row>
    <row r="21" spans="1:17" ht="28.8" x14ac:dyDescent="0.3">
      <c r="A21" s="147" t="s">
        <v>356</v>
      </c>
      <c r="B21" s="147" t="s">
        <v>413</v>
      </c>
      <c r="C21" s="147" t="s">
        <v>398</v>
      </c>
      <c r="D21" s="154">
        <v>34.959164499387029</v>
      </c>
      <c r="E21" s="147">
        <v>12.600000000000001</v>
      </c>
      <c r="F21" s="147">
        <v>0</v>
      </c>
      <c r="G21" s="147">
        <v>0</v>
      </c>
      <c r="H21" s="147">
        <v>10.906288032454361</v>
      </c>
      <c r="I21" s="147">
        <v>11.452876466932668</v>
      </c>
      <c r="J21" s="151" t="s">
        <v>577</v>
      </c>
      <c r="K21" s="147" t="s">
        <v>549</v>
      </c>
      <c r="L21" s="147" t="s">
        <v>499</v>
      </c>
      <c r="M21" s="147">
        <v>12.64</v>
      </c>
      <c r="N21" s="148">
        <v>616696.06000000006</v>
      </c>
      <c r="O21" s="147">
        <v>0</v>
      </c>
      <c r="P21" s="147" t="s">
        <v>569</v>
      </c>
      <c r="Q21" s="147"/>
    </row>
    <row r="22" spans="1:17" ht="28.8" x14ac:dyDescent="0.3">
      <c r="A22" s="147" t="s">
        <v>515</v>
      </c>
      <c r="B22" s="147" t="s">
        <v>413</v>
      </c>
      <c r="C22" s="147" t="s">
        <v>418</v>
      </c>
      <c r="D22" s="154">
        <v>34.920015915524075</v>
      </c>
      <c r="E22" s="147">
        <v>12.600000000000001</v>
      </c>
      <c r="F22" s="147">
        <v>0</v>
      </c>
      <c r="G22" s="147">
        <v>0</v>
      </c>
      <c r="H22" s="147">
        <v>9.9099959432048692</v>
      </c>
      <c r="I22" s="147">
        <v>12.410019972319203</v>
      </c>
      <c r="J22" s="151" t="s">
        <v>579</v>
      </c>
      <c r="K22" s="147" t="s">
        <v>599</v>
      </c>
      <c r="L22" s="147" t="s">
        <v>499</v>
      </c>
      <c r="M22" s="147">
        <v>14.128399999999999</v>
      </c>
      <c r="N22" s="148">
        <v>1009980.21</v>
      </c>
      <c r="O22" s="147">
        <v>0</v>
      </c>
      <c r="P22" s="147" t="s">
        <v>569</v>
      </c>
      <c r="Q22" s="147"/>
    </row>
    <row r="23" spans="1:17" ht="28.8" x14ac:dyDescent="0.3">
      <c r="A23" s="147" t="s">
        <v>521</v>
      </c>
      <c r="B23" s="147" t="s">
        <v>413</v>
      </c>
      <c r="C23" s="147" t="s">
        <v>424</v>
      </c>
      <c r="D23" s="154">
        <v>34.819067294611855</v>
      </c>
      <c r="E23" s="147">
        <v>12.600000000000001</v>
      </c>
      <c r="F23" s="147">
        <v>0</v>
      </c>
      <c r="G23" s="147">
        <v>0</v>
      </c>
      <c r="H23" s="147">
        <v>9.4202839756592294</v>
      </c>
      <c r="I23" s="147">
        <v>12.798783318952619</v>
      </c>
      <c r="J23" s="151" t="s">
        <v>577</v>
      </c>
      <c r="K23" s="147" t="s">
        <v>601</v>
      </c>
      <c r="L23" s="147" t="s">
        <v>501</v>
      </c>
      <c r="M23" s="147">
        <v>14.86</v>
      </c>
      <c r="N23" s="148">
        <v>838668.01</v>
      </c>
      <c r="O23" s="147">
        <v>0</v>
      </c>
      <c r="P23" s="147" t="s">
        <v>569</v>
      </c>
      <c r="Q23" s="147"/>
    </row>
    <row r="24" spans="1:17" ht="28.8" x14ac:dyDescent="0.3">
      <c r="A24" s="147" t="s">
        <v>524</v>
      </c>
      <c r="B24" s="147" t="s">
        <v>413</v>
      </c>
      <c r="C24" s="147" t="s">
        <v>427</v>
      </c>
      <c r="D24" s="154">
        <v>34.756732990861089</v>
      </c>
      <c r="E24" s="147">
        <v>12.600000000000001</v>
      </c>
      <c r="F24" s="147">
        <v>0</v>
      </c>
      <c r="G24" s="147">
        <v>0</v>
      </c>
      <c r="H24" s="147">
        <v>9.447058823529412</v>
      </c>
      <c r="I24" s="147">
        <v>12.709674167331672</v>
      </c>
      <c r="J24" s="151" t="s">
        <v>579</v>
      </c>
      <c r="K24" s="147" t="s">
        <v>602</v>
      </c>
      <c r="L24" s="147" t="s">
        <v>499</v>
      </c>
      <c r="M24" s="147">
        <v>14.82</v>
      </c>
      <c r="N24" s="148">
        <v>877934.79</v>
      </c>
      <c r="O24" s="147">
        <v>0</v>
      </c>
      <c r="P24" s="147" t="s">
        <v>569</v>
      </c>
      <c r="Q24" s="147"/>
    </row>
    <row r="25" spans="1:17" ht="28.8" x14ac:dyDescent="0.3">
      <c r="A25" s="147" t="s">
        <v>349</v>
      </c>
      <c r="B25" s="147" t="s">
        <v>413</v>
      </c>
      <c r="C25" s="147" t="s">
        <v>391</v>
      </c>
      <c r="D25" s="154">
        <v>34.478391242761653</v>
      </c>
      <c r="E25" s="147">
        <v>12.600000000000001</v>
      </c>
      <c r="F25" s="147">
        <v>0</v>
      </c>
      <c r="G25" s="147">
        <v>0</v>
      </c>
      <c r="H25" s="147">
        <v>10.875674028397565</v>
      </c>
      <c r="I25" s="147">
        <v>11.00271721436409</v>
      </c>
      <c r="J25" s="151" t="s">
        <v>577</v>
      </c>
      <c r="K25" s="147" t="s">
        <v>586</v>
      </c>
      <c r="L25" s="147" t="s">
        <v>501</v>
      </c>
      <c r="M25" s="147">
        <v>11.82048</v>
      </c>
      <c r="N25" s="148">
        <v>577909.24</v>
      </c>
      <c r="O25" s="147">
        <v>0</v>
      </c>
      <c r="P25" s="147" t="s">
        <v>569</v>
      </c>
      <c r="Q25" s="147"/>
    </row>
    <row r="26" spans="1:17" ht="28.8" x14ac:dyDescent="0.3">
      <c r="A26" s="147" t="s">
        <v>514</v>
      </c>
      <c r="B26" s="147" t="s">
        <v>413</v>
      </c>
      <c r="C26" s="147" t="s">
        <v>417</v>
      </c>
      <c r="D26" s="154">
        <v>34.449997008247642</v>
      </c>
      <c r="E26" s="147">
        <v>12.600000000000001</v>
      </c>
      <c r="F26" s="147">
        <v>0</v>
      </c>
      <c r="G26" s="147">
        <v>0</v>
      </c>
      <c r="H26" s="147">
        <v>8.9718052738336738</v>
      </c>
      <c r="I26" s="147">
        <v>12.878191734413965</v>
      </c>
      <c r="J26" s="151" t="s">
        <v>577</v>
      </c>
      <c r="K26" s="147" t="s">
        <v>598</v>
      </c>
      <c r="L26" s="147" t="s">
        <v>501</v>
      </c>
      <c r="M26" s="147">
        <v>15.53</v>
      </c>
      <c r="N26" s="148">
        <v>803675.95</v>
      </c>
      <c r="O26" s="147">
        <v>0</v>
      </c>
      <c r="P26" s="147" t="s">
        <v>569</v>
      </c>
      <c r="Q26" s="147"/>
    </row>
    <row r="27" spans="1:17" ht="28.8" x14ac:dyDescent="0.3">
      <c r="A27" s="147" t="s">
        <v>352</v>
      </c>
      <c r="B27" s="147" t="s">
        <v>413</v>
      </c>
      <c r="C27" s="147" t="s">
        <v>394</v>
      </c>
      <c r="D27" s="154">
        <v>34.216934491713516</v>
      </c>
      <c r="E27" s="147">
        <v>12.600000000000001</v>
      </c>
      <c r="F27" s="147">
        <v>0</v>
      </c>
      <c r="G27" s="147">
        <v>0</v>
      </c>
      <c r="H27" s="147">
        <v>10.70221014198783</v>
      </c>
      <c r="I27" s="147">
        <v>10.914724349725686</v>
      </c>
      <c r="J27" s="151" t="s">
        <v>577</v>
      </c>
      <c r="K27" s="147" t="s">
        <v>587</v>
      </c>
      <c r="L27" s="147" t="s">
        <v>499</v>
      </c>
      <c r="M27" s="147">
        <v>12.944879999999999</v>
      </c>
      <c r="N27" s="148">
        <v>570327.56000000006</v>
      </c>
      <c r="O27" s="147">
        <v>0</v>
      </c>
      <c r="P27" s="147" t="s">
        <v>569</v>
      </c>
      <c r="Q27" s="147"/>
    </row>
    <row r="28" spans="1:17" ht="28.8" x14ac:dyDescent="0.3">
      <c r="A28" s="147" t="s">
        <v>351</v>
      </c>
      <c r="B28" s="147" t="s">
        <v>413</v>
      </c>
      <c r="C28" s="147" t="s">
        <v>393</v>
      </c>
      <c r="D28" s="154">
        <v>33.915252859637931</v>
      </c>
      <c r="E28" s="147">
        <v>12.600000000000001</v>
      </c>
      <c r="F28" s="147">
        <v>0</v>
      </c>
      <c r="G28" s="147">
        <v>0</v>
      </c>
      <c r="H28" s="147">
        <v>8.3282718052738325</v>
      </c>
      <c r="I28" s="147">
        <v>12.98698105436409</v>
      </c>
      <c r="J28" s="151" t="s">
        <v>577</v>
      </c>
      <c r="K28" s="147" t="s">
        <v>587</v>
      </c>
      <c r="L28" s="147" t="s">
        <v>499</v>
      </c>
      <c r="M28" s="147">
        <v>16.491400000000002</v>
      </c>
      <c r="N28" s="148">
        <v>755736.92</v>
      </c>
      <c r="O28" s="147">
        <v>0</v>
      </c>
      <c r="P28" s="147" t="s">
        <v>569</v>
      </c>
      <c r="Q28" s="147"/>
    </row>
    <row r="29" spans="1:17" ht="28.8" x14ac:dyDescent="0.3">
      <c r="A29" s="147" t="s">
        <v>518</v>
      </c>
      <c r="B29" s="147" t="s">
        <v>413</v>
      </c>
      <c r="C29" s="147" t="s">
        <v>421</v>
      </c>
      <c r="D29" s="154">
        <v>33.753500806021968</v>
      </c>
      <c r="E29" s="147">
        <v>12.600000000000001</v>
      </c>
      <c r="F29" s="147">
        <v>0</v>
      </c>
      <c r="G29" s="147">
        <v>0</v>
      </c>
      <c r="H29" s="147">
        <v>10.374271805273835</v>
      </c>
      <c r="I29" s="147">
        <v>10.77922900074813</v>
      </c>
      <c r="J29" s="151" t="s">
        <v>577</v>
      </c>
      <c r="K29" s="147" t="s">
        <v>600</v>
      </c>
      <c r="L29" s="147" t="s">
        <v>501</v>
      </c>
      <c r="M29" s="147">
        <v>9.08</v>
      </c>
      <c r="N29" s="148">
        <v>558652.94999999995</v>
      </c>
      <c r="O29" s="147">
        <v>0</v>
      </c>
      <c r="P29" s="147" t="s">
        <v>569</v>
      </c>
      <c r="Q29" s="147"/>
    </row>
    <row r="30" spans="1:17" ht="28.8" x14ac:dyDescent="0.3">
      <c r="A30" s="147" t="s">
        <v>340</v>
      </c>
      <c r="B30" s="147" t="s">
        <v>413</v>
      </c>
      <c r="C30" s="147" t="s">
        <v>382</v>
      </c>
      <c r="D30" s="154">
        <v>33.531081617177549</v>
      </c>
      <c r="E30" s="147">
        <v>12.600000000000001</v>
      </c>
      <c r="F30" s="147">
        <v>0</v>
      </c>
      <c r="G30" s="147">
        <v>0</v>
      </c>
      <c r="H30" s="147">
        <v>10.549914807302232</v>
      </c>
      <c r="I30" s="147">
        <v>10.381166809875312</v>
      </c>
      <c r="J30" s="151" t="s">
        <v>577</v>
      </c>
      <c r="K30" s="147" t="s">
        <v>578</v>
      </c>
      <c r="L30" s="147" t="s">
        <v>501</v>
      </c>
      <c r="M30" s="147">
        <v>10.039999999999999</v>
      </c>
      <c r="N30" s="148">
        <v>524354.93999999994</v>
      </c>
      <c r="O30" s="147">
        <v>0</v>
      </c>
      <c r="P30" s="147" t="s">
        <v>569</v>
      </c>
      <c r="Q30" s="147"/>
    </row>
    <row r="31" spans="1:17" ht="28.8" x14ac:dyDescent="0.3">
      <c r="A31" s="147" t="s">
        <v>347</v>
      </c>
      <c r="B31" s="147" t="s">
        <v>413</v>
      </c>
      <c r="C31" s="147" t="s">
        <v>389</v>
      </c>
      <c r="D31" s="154">
        <v>33.0444547024359</v>
      </c>
      <c r="E31" s="147">
        <v>12.600000000000001</v>
      </c>
      <c r="F31" s="147">
        <v>0</v>
      </c>
      <c r="G31" s="147">
        <v>0</v>
      </c>
      <c r="H31" s="147">
        <v>10.280632129817445</v>
      </c>
      <c r="I31" s="147">
        <v>10.163822572618455</v>
      </c>
      <c r="J31" s="151" t="s">
        <v>577</v>
      </c>
      <c r="K31" s="147" t="s">
        <v>585</v>
      </c>
      <c r="L31" s="147" t="s">
        <v>557</v>
      </c>
      <c r="M31" s="147">
        <v>8.5682000000000009</v>
      </c>
      <c r="N31" s="148">
        <v>505628.03</v>
      </c>
      <c r="O31" s="147">
        <v>0</v>
      </c>
      <c r="P31" s="147" t="s">
        <v>569</v>
      </c>
      <c r="Q31" s="147"/>
    </row>
    <row r="32" spans="1:17" ht="28.8" x14ac:dyDescent="0.3">
      <c r="A32" s="147" t="s">
        <v>344</v>
      </c>
      <c r="B32" s="147" t="s">
        <v>413</v>
      </c>
      <c r="C32" s="147" t="s">
        <v>386</v>
      </c>
      <c r="D32" s="154">
        <v>32.84343480678578</v>
      </c>
      <c r="E32" s="147">
        <v>12.600000000000001</v>
      </c>
      <c r="F32" s="147">
        <v>0</v>
      </c>
      <c r="G32" s="147">
        <v>0</v>
      </c>
      <c r="H32" s="147">
        <v>9.9807707910750505</v>
      </c>
      <c r="I32" s="147">
        <v>10.262664015710723</v>
      </c>
      <c r="J32" s="151" t="s">
        <v>579</v>
      </c>
      <c r="K32" s="147" t="s">
        <v>583</v>
      </c>
      <c r="L32" s="147" t="s">
        <v>501</v>
      </c>
      <c r="M32" s="147">
        <v>7.3999999999999995</v>
      </c>
      <c r="N32" s="148">
        <v>514144.45</v>
      </c>
      <c r="O32" s="147">
        <v>0</v>
      </c>
      <c r="P32" s="147" t="s">
        <v>569</v>
      </c>
      <c r="Q32" s="147"/>
    </row>
    <row r="33" spans="1:17" ht="28.8" x14ac:dyDescent="0.3">
      <c r="A33" s="147" t="s">
        <v>502</v>
      </c>
      <c r="B33" s="147" t="s">
        <v>413</v>
      </c>
      <c r="C33" s="147" t="s">
        <v>400</v>
      </c>
      <c r="D33" s="154">
        <v>32.467816550963668</v>
      </c>
      <c r="E33" s="147">
        <v>12.600000000000001</v>
      </c>
      <c r="F33" s="147">
        <v>0</v>
      </c>
      <c r="G33" s="147">
        <v>0</v>
      </c>
      <c r="H33" s="147">
        <v>10.254111866125761</v>
      </c>
      <c r="I33" s="147">
        <v>9.6137046848379057</v>
      </c>
      <c r="J33" s="151" t="s">
        <v>577</v>
      </c>
      <c r="K33" s="147" t="s">
        <v>549</v>
      </c>
      <c r="L33" s="147" t="s">
        <v>499</v>
      </c>
      <c r="M33" s="147">
        <v>8.4232499999999995</v>
      </c>
      <c r="N33" s="148">
        <v>458228.53</v>
      </c>
      <c r="O33" s="147">
        <v>0</v>
      </c>
      <c r="P33" s="147" t="s">
        <v>569</v>
      </c>
      <c r="Q33" s="147"/>
    </row>
    <row r="34" spans="1:17" ht="28.8" x14ac:dyDescent="0.3">
      <c r="A34" s="147" t="s">
        <v>357</v>
      </c>
      <c r="B34" s="147" t="s">
        <v>413</v>
      </c>
      <c r="C34" s="147" t="s">
        <v>399</v>
      </c>
      <c r="D34" s="154">
        <v>32.182196916881132</v>
      </c>
      <c r="E34" s="147">
        <v>12.600000000000001</v>
      </c>
      <c r="F34" s="147">
        <v>0</v>
      </c>
      <c r="G34" s="147">
        <v>0</v>
      </c>
      <c r="H34" s="147">
        <v>10.134317849898581</v>
      </c>
      <c r="I34" s="147">
        <v>9.4478790669825443</v>
      </c>
      <c r="J34" s="151" t="s">
        <v>577</v>
      </c>
      <c r="K34" s="147" t="s">
        <v>549</v>
      </c>
      <c r="L34" s="147" t="s">
        <v>499</v>
      </c>
      <c r="M34" s="147">
        <v>7.7684999999999995</v>
      </c>
      <c r="N34" s="148">
        <v>443940.59</v>
      </c>
      <c r="O34" s="147">
        <v>0</v>
      </c>
      <c r="P34" s="147" t="s">
        <v>569</v>
      </c>
      <c r="Q34" s="147"/>
    </row>
    <row r="35" spans="1:17" ht="28.8" x14ac:dyDescent="0.3">
      <c r="A35" s="147" t="s">
        <v>354</v>
      </c>
      <c r="B35" s="147" t="s">
        <v>413</v>
      </c>
      <c r="C35" s="147" t="s">
        <v>396</v>
      </c>
      <c r="D35" s="154">
        <v>31.737054857271126</v>
      </c>
      <c r="E35" s="147">
        <v>12.600000000000001</v>
      </c>
      <c r="F35" s="147">
        <v>0</v>
      </c>
      <c r="G35" s="147">
        <v>0</v>
      </c>
      <c r="H35" s="147">
        <v>6.386247464503044</v>
      </c>
      <c r="I35" s="147">
        <v>12.750807392768079</v>
      </c>
      <c r="J35" s="151" t="s">
        <v>577</v>
      </c>
      <c r="K35" s="147" t="s">
        <v>588</v>
      </c>
      <c r="L35" s="147" t="s">
        <v>557</v>
      </c>
      <c r="M35" s="147">
        <v>19.2</v>
      </c>
      <c r="N35" s="148">
        <v>859809.05</v>
      </c>
      <c r="O35" s="147">
        <v>0</v>
      </c>
      <c r="P35" s="147" t="s">
        <v>569</v>
      </c>
      <c r="Q35" s="147"/>
    </row>
    <row r="36" spans="1:17" ht="28.8" x14ac:dyDescent="0.3">
      <c r="A36" s="147" t="s">
        <v>520</v>
      </c>
      <c r="B36" s="147" t="s">
        <v>413</v>
      </c>
      <c r="C36" s="147" t="s">
        <v>423</v>
      </c>
      <c r="D36" s="154">
        <v>31.381634794072639</v>
      </c>
      <c r="E36" s="147">
        <v>12.600000000000001</v>
      </c>
      <c r="F36" s="147">
        <v>0</v>
      </c>
      <c r="G36" s="147">
        <v>0</v>
      </c>
      <c r="H36" s="147">
        <v>7.4593833671399619</v>
      </c>
      <c r="I36" s="147">
        <v>11.322251426932668</v>
      </c>
      <c r="J36" s="151" t="s">
        <v>579</v>
      </c>
      <c r="K36" s="147" t="s">
        <v>566</v>
      </c>
      <c r="L36" s="147" t="s">
        <v>499</v>
      </c>
      <c r="M36" s="147">
        <v>17.759999999999998</v>
      </c>
      <c r="N36" s="148">
        <v>1335469.8500000001</v>
      </c>
      <c r="O36" s="147">
        <v>0</v>
      </c>
      <c r="P36" s="147" t="s">
        <v>569</v>
      </c>
      <c r="Q36" s="147"/>
    </row>
    <row r="37" spans="1:17" ht="28.8" x14ac:dyDescent="0.3">
      <c r="A37" s="147" t="s">
        <v>341</v>
      </c>
      <c r="B37" s="147" t="s">
        <v>413</v>
      </c>
      <c r="C37" s="147" t="s">
        <v>383</v>
      </c>
      <c r="D37" s="154">
        <v>31.352110026911426</v>
      </c>
      <c r="E37" s="147">
        <v>12.600000000000001</v>
      </c>
      <c r="F37" s="147">
        <v>0</v>
      </c>
      <c r="G37" s="147">
        <v>0</v>
      </c>
      <c r="H37" s="147">
        <v>5.8642711805273837</v>
      </c>
      <c r="I37" s="147">
        <v>12.887838846384041</v>
      </c>
      <c r="J37" s="151" t="s">
        <v>577</v>
      </c>
      <c r="K37" s="147" t="s">
        <v>578</v>
      </c>
      <c r="L37" s="147" t="s">
        <v>501</v>
      </c>
      <c r="M37" s="147">
        <v>19.90042</v>
      </c>
      <c r="N37" s="148">
        <v>799424.86</v>
      </c>
      <c r="O37" s="147">
        <v>0</v>
      </c>
      <c r="P37" s="147" t="s">
        <v>569</v>
      </c>
      <c r="Q37" s="147"/>
    </row>
    <row r="38" spans="1:17" ht="28.8" x14ac:dyDescent="0.3">
      <c r="A38" s="147" t="s">
        <v>517</v>
      </c>
      <c r="B38" s="147" t="s">
        <v>413</v>
      </c>
      <c r="C38" s="147" t="s">
        <v>420</v>
      </c>
      <c r="D38" s="154">
        <v>31.28839708126894</v>
      </c>
      <c r="E38" s="147">
        <v>12.600000000000001</v>
      </c>
      <c r="F38" s="147">
        <v>0</v>
      </c>
      <c r="G38" s="147">
        <v>0</v>
      </c>
      <c r="H38" s="147">
        <v>6.0136308316430034</v>
      </c>
      <c r="I38" s="147">
        <v>12.674766249625936</v>
      </c>
      <c r="J38" s="151" t="s">
        <v>577</v>
      </c>
      <c r="K38" s="147" t="s">
        <v>572</v>
      </c>
      <c r="L38" s="147" t="s">
        <v>573</v>
      </c>
      <c r="M38" s="147">
        <v>19.7</v>
      </c>
      <c r="N38" s="148">
        <v>893317.29</v>
      </c>
      <c r="O38" s="147">
        <v>0</v>
      </c>
      <c r="P38" s="147" t="s">
        <v>569</v>
      </c>
      <c r="Q38" s="147"/>
    </row>
    <row r="39" spans="1:17" x14ac:dyDescent="0.3">
      <c r="A39" s="147" t="s">
        <v>334</v>
      </c>
      <c r="B39" s="147" t="s">
        <v>413</v>
      </c>
      <c r="C39" s="147" t="s">
        <v>376</v>
      </c>
      <c r="D39" s="154">
        <v>30.461921433192678</v>
      </c>
      <c r="E39" s="147">
        <v>11.899999999999999</v>
      </c>
      <c r="F39" s="147">
        <v>0</v>
      </c>
      <c r="G39" s="147">
        <v>0</v>
      </c>
      <c r="H39" s="147">
        <v>10.954259634888439</v>
      </c>
      <c r="I39" s="147">
        <v>7.6076617983042389</v>
      </c>
      <c r="J39" s="151" t="s">
        <v>545</v>
      </c>
      <c r="K39" s="147" t="s">
        <v>567</v>
      </c>
      <c r="L39" s="147" t="s">
        <v>568</v>
      </c>
      <c r="M39" s="147">
        <v>12.25</v>
      </c>
      <c r="N39" s="148">
        <v>1921819.04</v>
      </c>
      <c r="O39" s="147">
        <v>0</v>
      </c>
      <c r="P39" s="147" t="s">
        <v>569</v>
      </c>
      <c r="Q39" s="147"/>
    </row>
    <row r="40" spans="1:17" ht="28.8" x14ac:dyDescent="0.3">
      <c r="A40" s="147" t="s">
        <v>355</v>
      </c>
      <c r="B40" s="147" t="s">
        <v>413</v>
      </c>
      <c r="C40" s="147" t="s">
        <v>397</v>
      </c>
      <c r="D40" s="154">
        <v>30.308525081490998</v>
      </c>
      <c r="E40" s="147">
        <v>12.600000000000001</v>
      </c>
      <c r="F40" s="147">
        <v>0</v>
      </c>
      <c r="G40" s="147">
        <v>0</v>
      </c>
      <c r="H40" s="147">
        <v>5.0299229208924947</v>
      </c>
      <c r="I40" s="147">
        <v>12.678602160598505</v>
      </c>
      <c r="J40" s="151" t="s">
        <v>577</v>
      </c>
      <c r="K40" s="147" t="s">
        <v>589</v>
      </c>
      <c r="L40" s="147" t="s">
        <v>499</v>
      </c>
      <c r="M40" s="147">
        <v>21.02</v>
      </c>
      <c r="N40" s="148">
        <v>891626.96</v>
      </c>
      <c r="O40" s="147">
        <v>0</v>
      </c>
      <c r="P40" s="147" t="s">
        <v>569</v>
      </c>
      <c r="Q40" s="147"/>
    </row>
    <row r="41" spans="1:17" ht="28.8" x14ac:dyDescent="0.3">
      <c r="A41" s="147" t="s">
        <v>523</v>
      </c>
      <c r="B41" s="147" t="s">
        <v>413</v>
      </c>
      <c r="C41" s="147" t="s">
        <v>426</v>
      </c>
      <c r="D41" s="154">
        <v>29.761379910832957</v>
      </c>
      <c r="E41" s="147">
        <v>12.600000000000001</v>
      </c>
      <c r="F41" s="147">
        <v>0</v>
      </c>
      <c r="G41" s="147">
        <v>0</v>
      </c>
      <c r="H41" s="147">
        <v>5.2534929006085207</v>
      </c>
      <c r="I41" s="147">
        <v>11.907887010224437</v>
      </c>
      <c r="J41" s="151" t="s">
        <v>579</v>
      </c>
      <c r="K41" s="147" t="s">
        <v>566</v>
      </c>
      <c r="L41" s="147" t="s">
        <v>499</v>
      </c>
      <c r="M41" s="147">
        <v>20.72</v>
      </c>
      <c r="N41" s="148">
        <v>1231249.79</v>
      </c>
      <c r="O41" s="147">
        <v>0</v>
      </c>
      <c r="P41" s="147" t="s">
        <v>569</v>
      </c>
      <c r="Q41" s="147"/>
    </row>
    <row r="42" spans="1:17" ht="28.8" x14ac:dyDescent="0.3">
      <c r="A42" s="147" t="s">
        <v>350</v>
      </c>
      <c r="B42" s="147" t="s">
        <v>413</v>
      </c>
      <c r="C42" s="147" t="s">
        <v>392</v>
      </c>
      <c r="D42" s="154">
        <v>29.689363488156893</v>
      </c>
      <c r="E42" s="147">
        <v>12.600000000000001</v>
      </c>
      <c r="F42" s="147">
        <v>0</v>
      </c>
      <c r="G42" s="147">
        <v>0</v>
      </c>
      <c r="H42" s="147">
        <v>4.2399756592292102</v>
      </c>
      <c r="I42" s="147">
        <v>12.84938782892768</v>
      </c>
      <c r="J42" s="151" t="s">
        <v>577</v>
      </c>
      <c r="K42" s="147" t="s">
        <v>586</v>
      </c>
      <c r="L42" s="147" t="s">
        <v>501</v>
      </c>
      <c r="M42" s="147">
        <v>22.08</v>
      </c>
      <c r="N42" s="148">
        <v>816368.66</v>
      </c>
      <c r="O42" s="147">
        <v>0</v>
      </c>
      <c r="P42" s="147" t="s">
        <v>569</v>
      </c>
      <c r="Q42" s="147"/>
    </row>
    <row r="43" spans="1:17" ht="28.8" x14ac:dyDescent="0.3">
      <c r="A43" s="147" t="s">
        <v>519</v>
      </c>
      <c r="B43" s="147" t="s">
        <v>413</v>
      </c>
      <c r="C43" s="147" t="s">
        <v>422</v>
      </c>
      <c r="D43" s="154">
        <v>28.292109316747691</v>
      </c>
      <c r="E43" s="147">
        <v>12.600000000000001</v>
      </c>
      <c r="F43" s="147">
        <v>0</v>
      </c>
      <c r="G43" s="147">
        <v>0</v>
      </c>
      <c r="H43" s="147">
        <v>3.6795780933062878</v>
      </c>
      <c r="I43" s="147">
        <v>12.012531223441398</v>
      </c>
      <c r="J43" s="151" t="s">
        <v>579</v>
      </c>
      <c r="K43" s="147" t="s">
        <v>575</v>
      </c>
      <c r="L43" s="147" t="s">
        <v>338</v>
      </c>
      <c r="M43" s="147">
        <v>23.16</v>
      </c>
      <c r="N43" s="148">
        <v>1185137.3400000001</v>
      </c>
      <c r="O43" s="147">
        <v>0</v>
      </c>
      <c r="P43" s="147" t="s">
        <v>569</v>
      </c>
      <c r="Q43" s="147"/>
    </row>
    <row r="44" spans="1:17" ht="28.8" x14ac:dyDescent="0.3">
      <c r="A44" s="147" t="s">
        <v>346</v>
      </c>
      <c r="B44" s="147" t="s">
        <v>413</v>
      </c>
      <c r="C44" s="147" t="s">
        <v>388</v>
      </c>
      <c r="D44" s="154">
        <v>27.473898537445436</v>
      </c>
      <c r="E44" s="147">
        <v>12.600000000000001</v>
      </c>
      <c r="F44" s="147">
        <v>0</v>
      </c>
      <c r="G44" s="147">
        <v>0</v>
      </c>
      <c r="H44" s="147">
        <v>2.6724368356997976</v>
      </c>
      <c r="I44" s="147">
        <v>12.201461701745638</v>
      </c>
      <c r="J44" s="151" t="s">
        <v>577</v>
      </c>
      <c r="K44" s="147" t="s">
        <v>549</v>
      </c>
      <c r="L44" s="147" t="s">
        <v>499</v>
      </c>
      <c r="M44" s="147">
        <v>25.846799999999998</v>
      </c>
      <c r="N44" s="148">
        <v>1101883.3600000001</v>
      </c>
      <c r="O44" s="147">
        <v>0</v>
      </c>
      <c r="P44" s="147" t="s">
        <v>569</v>
      </c>
      <c r="Q44" s="147"/>
    </row>
    <row r="45" spans="1:17" ht="28.8" x14ac:dyDescent="0.3">
      <c r="A45" s="147" t="s">
        <v>339</v>
      </c>
      <c r="B45" s="147" t="s">
        <v>413</v>
      </c>
      <c r="C45" s="147" t="s">
        <v>381</v>
      </c>
      <c r="D45" s="154">
        <v>27.111907768936181</v>
      </c>
      <c r="E45" s="147">
        <v>12.600000000000001</v>
      </c>
      <c r="F45" s="147">
        <v>0</v>
      </c>
      <c r="G45" s="147">
        <v>0</v>
      </c>
      <c r="H45" s="147">
        <v>1.9135091277890464</v>
      </c>
      <c r="I45" s="147">
        <v>12.598398641147133</v>
      </c>
      <c r="J45" s="151" t="s">
        <v>577</v>
      </c>
      <c r="K45" s="147" t="s">
        <v>553</v>
      </c>
      <c r="L45" s="147" t="s">
        <v>499</v>
      </c>
      <c r="M45" s="147">
        <v>28.28</v>
      </c>
      <c r="N45" s="148">
        <v>926969.39</v>
      </c>
      <c r="O45" s="147">
        <v>0</v>
      </c>
      <c r="P45" s="147" t="s">
        <v>569</v>
      </c>
      <c r="Q45" s="147"/>
    </row>
    <row r="46" spans="1:17" ht="28.8" x14ac:dyDescent="0.3">
      <c r="A46" s="147" t="s">
        <v>353</v>
      </c>
      <c r="B46" s="147" t="s">
        <v>413</v>
      </c>
      <c r="C46" s="147" t="s">
        <v>395</v>
      </c>
      <c r="D46" s="154">
        <v>26.443598385140398</v>
      </c>
      <c r="E46" s="147">
        <v>12.600000000000001</v>
      </c>
      <c r="F46" s="147">
        <v>0</v>
      </c>
      <c r="G46" s="147">
        <v>0</v>
      </c>
      <c r="H46" s="147">
        <v>5.8874320486815419</v>
      </c>
      <c r="I46" s="147">
        <v>7.9561663364588533</v>
      </c>
      <c r="J46" s="151" t="s">
        <v>577</v>
      </c>
      <c r="K46" s="147" t="s">
        <v>546</v>
      </c>
      <c r="L46" s="147" t="s">
        <v>501</v>
      </c>
      <c r="M46" s="147">
        <v>3.48</v>
      </c>
      <c r="N46" s="148">
        <v>315410.98</v>
      </c>
      <c r="O46" s="147">
        <v>0</v>
      </c>
      <c r="P46" s="147" t="s">
        <v>569</v>
      </c>
      <c r="Q46" s="147"/>
    </row>
    <row r="47" spans="1:17" ht="28.8" x14ac:dyDescent="0.3">
      <c r="A47" s="147" t="s">
        <v>348</v>
      </c>
      <c r="B47" s="147" t="s">
        <v>413</v>
      </c>
      <c r="C47" s="147" t="s">
        <v>390</v>
      </c>
      <c r="D47" s="154">
        <v>25.490551640387068</v>
      </c>
      <c r="E47" s="147">
        <v>12.600000000000001</v>
      </c>
      <c r="F47" s="147">
        <v>0</v>
      </c>
      <c r="G47" s="147">
        <v>0</v>
      </c>
      <c r="H47" s="147">
        <v>5.1355943204868151</v>
      </c>
      <c r="I47" s="147">
        <v>7.7549573199002504</v>
      </c>
      <c r="J47" s="151" t="s">
        <v>577</v>
      </c>
      <c r="K47" s="147" t="s">
        <v>585</v>
      </c>
      <c r="L47" s="147" t="s">
        <v>557</v>
      </c>
      <c r="M47" s="147">
        <v>2.76</v>
      </c>
      <c r="N47" s="148">
        <v>298074.32</v>
      </c>
      <c r="O47" s="147">
        <v>0</v>
      </c>
      <c r="P47" s="147" t="s">
        <v>569</v>
      </c>
      <c r="Q47" s="147"/>
    </row>
    <row r="48" spans="1:17" ht="28.8" x14ac:dyDescent="0.3">
      <c r="A48" s="147" t="s">
        <v>529</v>
      </c>
      <c r="B48" s="147" t="s">
        <v>413</v>
      </c>
      <c r="C48" s="147" t="s">
        <v>431</v>
      </c>
      <c r="D48" s="154">
        <v>24.649041388764804</v>
      </c>
      <c r="E48" s="147">
        <v>12.600000000000001</v>
      </c>
      <c r="F48" s="147">
        <v>0</v>
      </c>
      <c r="G48" s="147">
        <v>0</v>
      </c>
      <c r="H48" s="147">
        <v>3.6870750507099386</v>
      </c>
      <c r="I48" s="147">
        <v>8.361966338054863</v>
      </c>
      <c r="J48" s="151" t="s">
        <v>577</v>
      </c>
      <c r="K48" s="147" t="s">
        <v>605</v>
      </c>
      <c r="L48" s="147" t="s">
        <v>501</v>
      </c>
      <c r="M48" s="147">
        <v>23.14</v>
      </c>
      <c r="N48" s="148">
        <v>1801884.02</v>
      </c>
      <c r="O48" s="147">
        <v>0</v>
      </c>
      <c r="P48" s="147" t="s">
        <v>569</v>
      </c>
      <c r="Q48" s="147"/>
    </row>
    <row r="49" spans="1:17" ht="28.8" x14ac:dyDescent="0.3">
      <c r="A49" s="147" t="s">
        <v>528</v>
      </c>
      <c r="B49" s="147" t="s">
        <v>413</v>
      </c>
      <c r="C49" s="147" t="s">
        <v>430</v>
      </c>
      <c r="D49" s="154">
        <v>24.213158064765068</v>
      </c>
      <c r="E49" s="147">
        <v>16.200000000000003</v>
      </c>
      <c r="F49" s="147">
        <v>0</v>
      </c>
      <c r="G49" s="147">
        <v>0</v>
      </c>
      <c r="H49" s="147">
        <v>3.1847789046653143</v>
      </c>
      <c r="I49" s="147">
        <v>4.8283791600997503</v>
      </c>
      <c r="J49" s="151" t="s">
        <v>603</v>
      </c>
      <c r="K49" s="147" t="s">
        <v>604</v>
      </c>
      <c r="L49" s="147" t="s">
        <v>338</v>
      </c>
      <c r="M49" s="147">
        <v>24.48</v>
      </c>
      <c r="N49" s="148">
        <v>2387894.21</v>
      </c>
      <c r="O49" s="147">
        <v>0</v>
      </c>
      <c r="P49" s="147" t="s">
        <v>569</v>
      </c>
      <c r="Q49" s="147"/>
    </row>
    <row r="50" spans="1:17" x14ac:dyDescent="0.3">
      <c r="A50" s="147" t="s">
        <v>527</v>
      </c>
      <c r="B50" s="147" t="s">
        <v>413</v>
      </c>
      <c r="C50" s="147" t="s">
        <v>429</v>
      </c>
      <c r="D50" s="154">
        <v>22.184943780953297</v>
      </c>
      <c r="E50" s="147">
        <v>11.899999999999999</v>
      </c>
      <c r="F50" s="147">
        <v>0</v>
      </c>
      <c r="G50" s="147">
        <v>0</v>
      </c>
      <c r="H50" s="147">
        <v>6.8930060851926989</v>
      </c>
      <c r="I50" s="147">
        <v>3.3919376957605998</v>
      </c>
      <c r="J50" s="151" t="s">
        <v>545</v>
      </c>
      <c r="K50" s="147" t="s">
        <v>556</v>
      </c>
      <c r="L50" s="147" t="s">
        <v>557</v>
      </c>
      <c r="M50" s="147">
        <v>18.52</v>
      </c>
      <c r="N50" s="148">
        <v>2664823.5499999998</v>
      </c>
      <c r="O50" s="147">
        <v>0</v>
      </c>
      <c r="P50" s="147" t="s">
        <v>569</v>
      </c>
      <c r="Q50" s="147"/>
    </row>
    <row r="51" spans="1:17" x14ac:dyDescent="0.3">
      <c r="A51" s="147" t="s">
        <v>531</v>
      </c>
      <c r="B51" s="147" t="s">
        <v>413</v>
      </c>
      <c r="C51" s="147" t="s">
        <v>433</v>
      </c>
      <c r="D51" s="154">
        <v>20.859867899677177</v>
      </c>
      <c r="E51" s="147">
        <v>11.899999999999999</v>
      </c>
      <c r="F51" s="147">
        <v>0</v>
      </c>
      <c r="G51" s="147">
        <v>0</v>
      </c>
      <c r="H51" s="147">
        <v>7.1463853955375267</v>
      </c>
      <c r="I51" s="147">
        <v>1.813482504139651</v>
      </c>
      <c r="J51" s="151" t="s">
        <v>545</v>
      </c>
      <c r="K51" s="147" t="s">
        <v>606</v>
      </c>
      <c r="L51" s="147" t="s">
        <v>499</v>
      </c>
      <c r="M51" s="147">
        <v>18.18</v>
      </c>
      <c r="N51" s="148">
        <v>3823608.56</v>
      </c>
      <c r="O51" s="147">
        <v>0</v>
      </c>
      <c r="P51" s="147" t="s">
        <v>569</v>
      </c>
      <c r="Q51" s="147"/>
    </row>
    <row r="52" spans="1:17" x14ac:dyDescent="0.3">
      <c r="A52" s="147" t="s">
        <v>337</v>
      </c>
      <c r="B52" s="147" t="s">
        <v>413</v>
      </c>
      <c r="C52" s="147" t="s">
        <v>380</v>
      </c>
      <c r="D52" s="154">
        <v>19.817427745954891</v>
      </c>
      <c r="E52" s="147">
        <v>11.899999999999999</v>
      </c>
      <c r="F52" s="147">
        <v>0</v>
      </c>
      <c r="G52" s="147">
        <v>0</v>
      </c>
      <c r="H52" s="147">
        <v>5.9290170466531444</v>
      </c>
      <c r="I52" s="147">
        <v>1.9884106993017454</v>
      </c>
      <c r="J52" s="151" t="s">
        <v>545</v>
      </c>
      <c r="K52" s="147" t="s">
        <v>566</v>
      </c>
      <c r="L52" s="147" t="s">
        <v>499</v>
      </c>
      <c r="M52" s="147">
        <v>19.81354</v>
      </c>
      <c r="N52" s="148">
        <v>3651916.99</v>
      </c>
      <c r="O52" s="147">
        <v>0</v>
      </c>
      <c r="P52" s="147" t="s">
        <v>569</v>
      </c>
      <c r="Q52" s="147"/>
    </row>
    <row r="53" spans="1:17" x14ac:dyDescent="0.3">
      <c r="A53" s="147" t="s">
        <v>530</v>
      </c>
      <c r="B53" s="147" t="s">
        <v>413</v>
      </c>
      <c r="C53" s="147" t="s">
        <v>432</v>
      </c>
      <c r="D53" s="154">
        <v>19.074315208920499</v>
      </c>
      <c r="E53" s="147">
        <v>11.899999999999999</v>
      </c>
      <c r="F53" s="147">
        <v>0</v>
      </c>
      <c r="G53" s="147">
        <v>0</v>
      </c>
      <c r="H53" s="147">
        <v>6.2670101419878304</v>
      </c>
      <c r="I53" s="147">
        <v>0.90730506693266888</v>
      </c>
      <c r="J53" s="151" t="s">
        <v>545</v>
      </c>
      <c r="K53" s="147" t="s">
        <v>601</v>
      </c>
      <c r="L53" s="147" t="s">
        <v>501</v>
      </c>
      <c r="M53" s="147">
        <v>19.36</v>
      </c>
      <c r="N53" s="148">
        <v>4821897.4400000004</v>
      </c>
      <c r="O53" s="147">
        <v>0</v>
      </c>
      <c r="P53" s="147" t="s">
        <v>569</v>
      </c>
      <c r="Q53" s="147"/>
    </row>
    <row r="54" spans="1:17" x14ac:dyDescent="0.3">
      <c r="A54" s="147" t="s">
        <v>332</v>
      </c>
      <c r="B54" s="147" t="s">
        <v>413</v>
      </c>
      <c r="C54" s="147" t="s">
        <v>373</v>
      </c>
      <c r="D54" s="154">
        <v>18.648755054715341</v>
      </c>
      <c r="E54" s="147">
        <v>11.899999999999999</v>
      </c>
      <c r="F54" s="147">
        <v>0</v>
      </c>
      <c r="G54" s="147">
        <v>0</v>
      </c>
      <c r="H54" s="147">
        <v>3.9528372819472621</v>
      </c>
      <c r="I54" s="147">
        <v>2.79591777276808</v>
      </c>
      <c r="J54" s="151" t="s">
        <v>545</v>
      </c>
      <c r="K54" s="147" t="s">
        <v>567</v>
      </c>
      <c r="L54" s="147" t="s">
        <v>568</v>
      </c>
      <c r="M54" s="147">
        <v>22.465299999999999</v>
      </c>
      <c r="N54" s="148">
        <v>2898646.57</v>
      </c>
      <c r="O54" s="147">
        <v>0</v>
      </c>
      <c r="P54" s="147" t="s">
        <v>569</v>
      </c>
      <c r="Q54" s="147"/>
    </row>
    <row r="55" spans="1:17" x14ac:dyDescent="0.3">
      <c r="A55" s="147" t="s">
        <v>513</v>
      </c>
      <c r="B55" s="147" t="s">
        <v>413</v>
      </c>
      <c r="C55" s="147" t="s">
        <v>416</v>
      </c>
      <c r="D55" s="154">
        <v>14.870148588104687</v>
      </c>
      <c r="E55" s="147">
        <v>11</v>
      </c>
      <c r="F55" s="147">
        <v>0</v>
      </c>
      <c r="G55" s="147">
        <v>0</v>
      </c>
      <c r="H55" s="147">
        <v>1.9581338742393508</v>
      </c>
      <c r="I55" s="147">
        <v>1.9120147138653365</v>
      </c>
      <c r="J55" s="151" t="s">
        <v>594</v>
      </c>
      <c r="K55" s="147" t="s">
        <v>597</v>
      </c>
      <c r="L55" s="147" t="s">
        <v>499</v>
      </c>
      <c r="M55" s="147">
        <v>28.03</v>
      </c>
      <c r="N55" s="148">
        <v>3721226.47</v>
      </c>
      <c r="O55" s="147">
        <v>0</v>
      </c>
      <c r="P55" s="147" t="s">
        <v>569</v>
      </c>
      <c r="Q55" s="147"/>
    </row>
    <row r="56" spans="1:17" x14ac:dyDescent="0.3">
      <c r="A56" s="147"/>
      <c r="B56" s="147" t="s">
        <v>413</v>
      </c>
      <c r="C56" s="147" t="s">
        <v>359</v>
      </c>
      <c r="D56" s="154">
        <v>0</v>
      </c>
      <c r="E56" s="147">
        <v>11.899999999999999</v>
      </c>
      <c r="F56" s="147">
        <v>0</v>
      </c>
      <c r="G56" s="147">
        <v>0</v>
      </c>
      <c r="H56" s="147">
        <v>7.851608113590264</v>
      </c>
      <c r="I56" s="147">
        <v>12.868611749127183</v>
      </c>
      <c r="J56" s="151" t="s">
        <v>545</v>
      </c>
      <c r="K56" s="147" t="s">
        <v>546</v>
      </c>
      <c r="L56" s="147" t="s">
        <v>501</v>
      </c>
      <c r="M56" s="147">
        <v>5.3609999999999998</v>
      </c>
      <c r="N56" s="148">
        <v>807897.46</v>
      </c>
      <c r="O56" s="147">
        <v>0</v>
      </c>
      <c r="P56" s="147" t="s">
        <v>547</v>
      </c>
      <c r="Q56" s="147"/>
    </row>
    <row r="57" spans="1:17" x14ac:dyDescent="0.3">
      <c r="A57" s="147"/>
      <c r="B57" s="147" t="s">
        <v>413</v>
      </c>
      <c r="C57" s="147" t="s">
        <v>360</v>
      </c>
      <c r="D57" s="154">
        <v>0</v>
      </c>
      <c r="E57" s="147">
        <v>11.899999999999999</v>
      </c>
      <c r="F57" s="147">
        <v>0</v>
      </c>
      <c r="G57" s="147">
        <v>0</v>
      </c>
      <c r="H57" s="147">
        <v>10.319383367139961</v>
      </c>
      <c r="I57" s="147">
        <v>12.081312382044889</v>
      </c>
      <c r="J57" s="151" t="s">
        <v>545</v>
      </c>
      <c r="K57" s="147" t="s">
        <v>546</v>
      </c>
      <c r="L57" s="147" t="s">
        <v>501</v>
      </c>
      <c r="M57" s="147">
        <v>8.7799999999999994</v>
      </c>
      <c r="N57" s="148">
        <v>1154828.28</v>
      </c>
      <c r="O57" s="147">
        <v>0</v>
      </c>
      <c r="P57" s="147" t="s">
        <v>547</v>
      </c>
      <c r="Q57" s="147"/>
    </row>
    <row r="58" spans="1:17" x14ac:dyDescent="0.3">
      <c r="A58" s="147"/>
      <c r="B58" s="147" t="s">
        <v>413</v>
      </c>
      <c r="C58" s="147" t="s">
        <v>361</v>
      </c>
      <c r="D58" s="154">
        <v>0</v>
      </c>
      <c r="E58" s="147">
        <v>14.3</v>
      </c>
      <c r="F58" s="147">
        <v>0</v>
      </c>
      <c r="G58" s="147">
        <v>0</v>
      </c>
      <c r="H58" s="147">
        <v>10.623145131845842</v>
      </c>
      <c r="I58" s="147">
        <v>11.035547925286783</v>
      </c>
      <c r="J58" s="151" t="s">
        <v>548</v>
      </c>
      <c r="K58" s="147" t="s">
        <v>549</v>
      </c>
      <c r="L58" s="147" t="s">
        <v>499</v>
      </c>
      <c r="M58" s="147">
        <v>10.440249999999999</v>
      </c>
      <c r="N58" s="148">
        <v>1380590.77</v>
      </c>
      <c r="O58" s="147">
        <v>0</v>
      </c>
      <c r="P58" s="147" t="s">
        <v>547</v>
      </c>
      <c r="Q58" s="147"/>
    </row>
    <row r="59" spans="1:17" ht="28.8" x14ac:dyDescent="0.3">
      <c r="A59" s="147"/>
      <c r="B59" s="147" t="s">
        <v>413</v>
      </c>
      <c r="C59" s="147" t="s">
        <v>362</v>
      </c>
      <c r="D59" s="154">
        <v>0</v>
      </c>
      <c r="E59" s="147">
        <v>22</v>
      </c>
      <c r="F59" s="147">
        <v>0</v>
      </c>
      <c r="G59" s="147">
        <v>0</v>
      </c>
      <c r="H59" s="147">
        <v>10.022718052738337</v>
      </c>
      <c r="I59" s="147">
        <v>7.4342617197506238</v>
      </c>
      <c r="J59" s="151" t="s">
        <v>550</v>
      </c>
      <c r="K59" s="147" t="s">
        <v>551</v>
      </c>
      <c r="L59" s="147" t="s">
        <v>499</v>
      </c>
      <c r="M59" s="147">
        <v>13.959999999999999</v>
      </c>
      <c r="N59" s="148">
        <v>1949389.79</v>
      </c>
      <c r="O59" s="147">
        <v>0</v>
      </c>
      <c r="P59" s="147" t="s">
        <v>547</v>
      </c>
      <c r="Q59" s="147"/>
    </row>
    <row r="60" spans="1:17" x14ac:dyDescent="0.3">
      <c r="A60" s="147"/>
      <c r="B60" s="147" t="s">
        <v>413</v>
      </c>
      <c r="C60" s="147" t="s">
        <v>363</v>
      </c>
      <c r="D60" s="154">
        <v>0</v>
      </c>
      <c r="E60" s="147">
        <v>14.3</v>
      </c>
      <c r="F60" s="147">
        <v>0</v>
      </c>
      <c r="G60" s="147">
        <v>0</v>
      </c>
      <c r="H60" s="147">
        <v>3.4978518458417849</v>
      </c>
      <c r="I60" s="147">
        <v>6.3720238730673335</v>
      </c>
      <c r="J60" s="151" t="s">
        <v>548</v>
      </c>
      <c r="K60" s="147" t="s">
        <v>552</v>
      </c>
      <c r="L60" s="147" t="s">
        <v>499</v>
      </c>
      <c r="M60" s="147">
        <v>23.6448</v>
      </c>
      <c r="N60" s="148">
        <v>2118286.4500000002</v>
      </c>
      <c r="O60" s="147">
        <v>0</v>
      </c>
      <c r="P60" s="147" t="s">
        <v>547</v>
      </c>
      <c r="Q60" s="147"/>
    </row>
    <row r="61" spans="1:17" x14ac:dyDescent="0.3">
      <c r="A61" s="147"/>
      <c r="B61" s="147" t="s">
        <v>413</v>
      </c>
      <c r="C61" s="147" t="s">
        <v>364</v>
      </c>
      <c r="D61" s="154">
        <v>0</v>
      </c>
      <c r="E61" s="147">
        <v>14.3</v>
      </c>
      <c r="F61" s="147">
        <v>0</v>
      </c>
      <c r="G61" s="147">
        <v>0</v>
      </c>
      <c r="H61" s="147">
        <v>8.7199806896551717</v>
      </c>
      <c r="I61" s="147">
        <v>11.3495213401995</v>
      </c>
      <c r="J61" s="151" t="s">
        <v>548</v>
      </c>
      <c r="K61" s="147" t="s">
        <v>553</v>
      </c>
      <c r="L61" s="147" t="s">
        <v>499</v>
      </c>
      <c r="M61" s="147">
        <v>6.1925999999999997</v>
      </c>
      <c r="N61" s="148">
        <v>607790.73</v>
      </c>
      <c r="O61" s="147">
        <v>0</v>
      </c>
      <c r="P61" s="147" t="s">
        <v>547</v>
      </c>
      <c r="Q61" s="147"/>
    </row>
    <row r="62" spans="1:17" ht="28.8" x14ac:dyDescent="0.3">
      <c r="A62" s="147"/>
      <c r="B62" s="147" t="s">
        <v>413</v>
      </c>
      <c r="C62" s="147" t="s">
        <v>365</v>
      </c>
      <c r="D62" s="154">
        <v>0</v>
      </c>
      <c r="E62" s="147">
        <v>22</v>
      </c>
      <c r="F62" s="147">
        <v>0</v>
      </c>
      <c r="G62" s="147">
        <v>0</v>
      </c>
      <c r="H62" s="147">
        <v>5.3131115618661253</v>
      </c>
      <c r="I62" s="147">
        <v>1.8346367590024935</v>
      </c>
      <c r="J62" s="151" t="s">
        <v>554</v>
      </c>
      <c r="K62" s="147" t="s">
        <v>555</v>
      </c>
      <c r="L62" s="147" t="s">
        <v>499</v>
      </c>
      <c r="M62" s="147">
        <v>20.64</v>
      </c>
      <c r="N62" s="148">
        <v>3800304.01</v>
      </c>
      <c r="O62" s="147">
        <v>0</v>
      </c>
      <c r="P62" s="147" t="s">
        <v>547</v>
      </c>
      <c r="Q62" s="147"/>
    </row>
    <row r="63" spans="1:17" x14ac:dyDescent="0.3">
      <c r="A63" s="147"/>
      <c r="B63" s="147" t="s">
        <v>413</v>
      </c>
      <c r="C63" s="147" t="s">
        <v>366</v>
      </c>
      <c r="D63" s="154">
        <v>0</v>
      </c>
      <c r="E63" s="147">
        <v>11.899999999999999</v>
      </c>
      <c r="F63" s="147">
        <v>0</v>
      </c>
      <c r="G63" s="147">
        <v>0</v>
      </c>
      <c r="H63" s="147">
        <v>9.9423935091277897</v>
      </c>
      <c r="I63" s="147">
        <v>2.5250701837406484</v>
      </c>
      <c r="J63" s="151" t="s">
        <v>545</v>
      </c>
      <c r="K63" s="147" t="s">
        <v>556</v>
      </c>
      <c r="L63" s="147" t="s">
        <v>557</v>
      </c>
      <c r="M63" s="147">
        <v>14.08</v>
      </c>
      <c r="N63" s="148">
        <v>3159728.02</v>
      </c>
      <c r="O63" s="147">
        <v>0</v>
      </c>
      <c r="P63" s="147" t="s">
        <v>547</v>
      </c>
      <c r="Q63" s="147"/>
    </row>
    <row r="64" spans="1:17" x14ac:dyDescent="0.3">
      <c r="A64" s="147"/>
      <c r="B64" s="147" t="s">
        <v>413</v>
      </c>
      <c r="C64" s="147" t="s">
        <v>367</v>
      </c>
      <c r="D64" s="154">
        <v>0</v>
      </c>
      <c r="E64" s="147">
        <v>25.900000000000002</v>
      </c>
      <c r="F64" s="147">
        <v>35.038655039409448</v>
      </c>
      <c r="G64" s="147">
        <v>0</v>
      </c>
      <c r="H64" s="147">
        <v>10.495896551724137</v>
      </c>
      <c r="I64" s="147">
        <v>6.8765148789027437</v>
      </c>
      <c r="J64" s="151" t="s">
        <v>558</v>
      </c>
      <c r="K64" s="147" t="s">
        <v>559</v>
      </c>
      <c r="L64" s="147" t="s">
        <v>560</v>
      </c>
      <c r="M64" s="147">
        <v>13.2531</v>
      </c>
      <c r="N64" s="148">
        <v>2038071.98</v>
      </c>
      <c r="O64" s="147">
        <v>0</v>
      </c>
      <c r="P64" s="147" t="s">
        <v>547</v>
      </c>
      <c r="Q64" s="147"/>
    </row>
    <row r="65" spans="1:17" x14ac:dyDescent="0.3">
      <c r="A65" s="147"/>
      <c r="B65" s="147" t="s">
        <v>413</v>
      </c>
      <c r="C65" s="147" t="s">
        <v>368</v>
      </c>
      <c r="D65" s="154">
        <v>0</v>
      </c>
      <c r="E65" s="147">
        <v>26.700000000000003</v>
      </c>
      <c r="F65" s="147">
        <v>27.641392019828395</v>
      </c>
      <c r="G65" s="147">
        <v>0</v>
      </c>
      <c r="H65" s="147">
        <v>7.6208356997971611</v>
      </c>
      <c r="I65" s="147">
        <v>12.559937003241895</v>
      </c>
      <c r="J65" s="151" t="s">
        <v>561</v>
      </c>
      <c r="K65" s="147" t="s">
        <v>562</v>
      </c>
      <c r="L65" s="147" t="s">
        <v>338</v>
      </c>
      <c r="M65" s="147">
        <v>5.14</v>
      </c>
      <c r="N65" s="148">
        <v>943917.87</v>
      </c>
      <c r="O65" s="147">
        <v>0</v>
      </c>
      <c r="P65" s="147" t="s">
        <v>547</v>
      </c>
      <c r="Q65" s="147"/>
    </row>
    <row r="66" spans="1:17" x14ac:dyDescent="0.3">
      <c r="A66" s="147"/>
      <c r="B66" s="147" t="s">
        <v>413</v>
      </c>
      <c r="C66" s="147" t="s">
        <v>369</v>
      </c>
      <c r="D66" s="154">
        <v>0</v>
      </c>
      <c r="E66" s="147">
        <v>30.999999999999996</v>
      </c>
      <c r="F66" s="147">
        <v>32.795563035656784</v>
      </c>
      <c r="G66" s="147">
        <v>0</v>
      </c>
      <c r="H66" s="147">
        <v>10.359634888438135</v>
      </c>
      <c r="I66" s="147">
        <v>11.400007618254364</v>
      </c>
      <c r="J66" s="151" t="s">
        <v>498</v>
      </c>
      <c r="K66" s="147" t="s">
        <v>563</v>
      </c>
      <c r="L66" s="147" t="s">
        <v>501</v>
      </c>
      <c r="M66" s="147">
        <v>9</v>
      </c>
      <c r="N66" s="148">
        <v>1323232.71</v>
      </c>
      <c r="O66" s="147">
        <v>0</v>
      </c>
      <c r="P66" s="147" t="s">
        <v>547</v>
      </c>
      <c r="Q66" s="147"/>
    </row>
    <row r="67" spans="1:17" x14ac:dyDescent="0.3">
      <c r="A67" s="147"/>
      <c r="B67" s="147" t="s">
        <v>413</v>
      </c>
      <c r="C67" s="147" t="s">
        <v>370</v>
      </c>
      <c r="D67" s="154">
        <v>0</v>
      </c>
      <c r="E67" s="147">
        <v>5.6000000000000005</v>
      </c>
      <c r="F67" s="147">
        <v>21.474458403171791</v>
      </c>
      <c r="G67" s="147">
        <v>0</v>
      </c>
      <c r="H67" s="147">
        <v>4.6871156186612568</v>
      </c>
      <c r="I67" s="147">
        <v>2.5106305540149627</v>
      </c>
      <c r="J67" s="151" t="s">
        <v>564</v>
      </c>
      <c r="K67" s="147" t="s">
        <v>565</v>
      </c>
      <c r="L67" s="147" t="s">
        <v>557</v>
      </c>
      <c r="M67" s="147">
        <v>21.48</v>
      </c>
      <c r="N67" s="148">
        <v>3173646.99</v>
      </c>
      <c r="O67" s="147">
        <v>0</v>
      </c>
      <c r="P67" s="147" t="s">
        <v>547</v>
      </c>
      <c r="Q67" s="147"/>
    </row>
    <row r="68" spans="1:17" ht="28.8" x14ac:dyDescent="0.3">
      <c r="A68" s="147"/>
      <c r="B68" s="147" t="s">
        <v>413</v>
      </c>
      <c r="C68" s="147" t="s">
        <v>371</v>
      </c>
      <c r="D68" s="154">
        <v>0</v>
      </c>
      <c r="E68" s="147">
        <v>22</v>
      </c>
      <c r="F68" s="147">
        <v>0</v>
      </c>
      <c r="G68" s="147">
        <v>0</v>
      </c>
      <c r="H68" s="147">
        <v>6.2215821501014199</v>
      </c>
      <c r="I68" s="147">
        <v>12.946633061346633</v>
      </c>
      <c r="J68" s="151" t="s">
        <v>554</v>
      </c>
      <c r="K68" s="147" t="s">
        <v>566</v>
      </c>
      <c r="L68" s="147" t="s">
        <v>499</v>
      </c>
      <c r="M68" s="147">
        <v>3.8</v>
      </c>
      <c r="N68" s="148">
        <v>773516.64</v>
      </c>
      <c r="O68" s="147">
        <v>0</v>
      </c>
      <c r="P68" s="147" t="s">
        <v>547</v>
      </c>
      <c r="Q68" s="147"/>
    </row>
    <row r="69" spans="1:17" x14ac:dyDescent="0.3">
      <c r="A69" s="147"/>
      <c r="B69" s="147" t="s">
        <v>413</v>
      </c>
      <c r="C69" s="147" t="s">
        <v>372</v>
      </c>
      <c r="D69" s="154">
        <v>0</v>
      </c>
      <c r="E69" s="147">
        <v>11.899999999999999</v>
      </c>
      <c r="F69" s="147">
        <v>0</v>
      </c>
      <c r="G69" s="147">
        <v>0</v>
      </c>
      <c r="H69" s="147">
        <v>9.8989040162271831</v>
      </c>
      <c r="I69" s="147">
        <v>11.441909382942644</v>
      </c>
      <c r="J69" s="151" t="s">
        <v>545</v>
      </c>
      <c r="K69" s="147" t="s">
        <v>566</v>
      </c>
      <c r="L69" s="147" t="s">
        <v>499</v>
      </c>
      <c r="M69" s="147">
        <v>7.3216000000000001</v>
      </c>
      <c r="N69" s="148">
        <v>1316638.28</v>
      </c>
      <c r="O69" s="147">
        <v>0</v>
      </c>
      <c r="P69" s="147" t="s">
        <v>547</v>
      </c>
      <c r="Q69" s="147"/>
    </row>
    <row r="70" spans="1:17" x14ac:dyDescent="0.3">
      <c r="A70" s="147"/>
      <c r="B70" s="147" t="s">
        <v>413</v>
      </c>
      <c r="C70" s="147" t="s">
        <v>374</v>
      </c>
      <c r="D70" s="154">
        <v>0</v>
      </c>
      <c r="E70" s="147">
        <v>11.899999999999999</v>
      </c>
      <c r="F70" s="147">
        <v>0</v>
      </c>
      <c r="G70" s="147">
        <v>0</v>
      </c>
      <c r="H70" s="147">
        <v>10.575529411764707</v>
      </c>
      <c r="I70" s="147">
        <v>10.442459242294264</v>
      </c>
      <c r="J70" s="151" t="s">
        <v>545</v>
      </c>
      <c r="K70" s="147" t="s">
        <v>570</v>
      </c>
      <c r="L70" s="147" t="s">
        <v>338</v>
      </c>
      <c r="M70" s="147">
        <v>10.18</v>
      </c>
      <c r="N70" s="148">
        <v>1473930.08</v>
      </c>
      <c r="O70" s="147">
        <v>0</v>
      </c>
      <c r="P70" s="147" t="s">
        <v>547</v>
      </c>
      <c r="Q70" s="147"/>
    </row>
    <row r="71" spans="1:17" x14ac:dyDescent="0.3">
      <c r="A71" s="147"/>
      <c r="B71" s="147" t="s">
        <v>413</v>
      </c>
      <c r="C71" s="147" t="s">
        <v>375</v>
      </c>
      <c r="D71" s="154">
        <v>0</v>
      </c>
      <c r="E71" s="147">
        <v>11.899999999999999</v>
      </c>
      <c r="F71" s="147">
        <v>37.640802484160162</v>
      </c>
      <c r="G71" s="147">
        <v>0</v>
      </c>
      <c r="H71" s="147">
        <v>10.205947261663287</v>
      </c>
      <c r="I71" s="147">
        <v>9.1627542639401511</v>
      </c>
      <c r="J71" s="151" t="s">
        <v>545</v>
      </c>
      <c r="K71" s="147" t="s">
        <v>571</v>
      </c>
      <c r="L71" s="147" t="s">
        <v>338</v>
      </c>
      <c r="M71" s="147">
        <v>8.16</v>
      </c>
      <c r="N71" s="148">
        <v>1675327.92</v>
      </c>
      <c r="O71" s="147">
        <v>0</v>
      </c>
      <c r="P71" s="147" t="s">
        <v>547</v>
      </c>
      <c r="Q71" s="147"/>
    </row>
    <row r="72" spans="1:17" x14ac:dyDescent="0.3">
      <c r="A72" s="147"/>
      <c r="B72" s="147" t="s">
        <v>413</v>
      </c>
      <c r="C72" s="147" t="s">
        <v>377</v>
      </c>
      <c r="D72" s="154">
        <v>0</v>
      </c>
      <c r="E72" s="147">
        <v>11.899999999999999</v>
      </c>
      <c r="F72" s="147">
        <v>0</v>
      </c>
      <c r="G72" s="147">
        <v>0</v>
      </c>
      <c r="H72" s="147">
        <v>3.2477533468559834</v>
      </c>
      <c r="I72" s="147">
        <v>6.0931150754613475</v>
      </c>
      <c r="J72" s="151" t="s">
        <v>545</v>
      </c>
      <c r="K72" s="147" t="s">
        <v>572</v>
      </c>
      <c r="L72" s="147" t="s">
        <v>573</v>
      </c>
      <c r="M72" s="147">
        <v>24.312000000000001</v>
      </c>
      <c r="N72" s="148">
        <v>2162633.17</v>
      </c>
      <c r="O72" s="147">
        <v>0</v>
      </c>
      <c r="P72" s="147" t="s">
        <v>547</v>
      </c>
      <c r="Q72" s="147"/>
    </row>
    <row r="73" spans="1:17" x14ac:dyDescent="0.3">
      <c r="A73" s="147"/>
      <c r="B73" s="147" t="s">
        <v>413</v>
      </c>
      <c r="C73" s="147" t="s">
        <v>378</v>
      </c>
      <c r="D73" s="154">
        <v>0</v>
      </c>
      <c r="E73" s="147">
        <v>11.899999999999999</v>
      </c>
      <c r="F73" s="147">
        <v>0</v>
      </c>
      <c r="G73" s="147">
        <v>0</v>
      </c>
      <c r="H73" s="147">
        <v>6.7048346855983771</v>
      </c>
      <c r="I73" s="147">
        <v>7.6974060047880295</v>
      </c>
      <c r="J73" s="151" t="s">
        <v>545</v>
      </c>
      <c r="K73" s="147" t="s">
        <v>574</v>
      </c>
      <c r="L73" s="147" t="s">
        <v>557</v>
      </c>
      <c r="M73" s="147">
        <v>18.772500000000001</v>
      </c>
      <c r="N73" s="148">
        <v>1907549.64</v>
      </c>
      <c r="O73" s="147">
        <v>0</v>
      </c>
      <c r="P73" s="147" t="s">
        <v>547</v>
      </c>
      <c r="Q73" s="147"/>
    </row>
    <row r="74" spans="1:17" x14ac:dyDescent="0.3">
      <c r="A74" s="147"/>
      <c r="B74" s="147" t="s">
        <v>413</v>
      </c>
      <c r="C74" s="147" t="s">
        <v>379</v>
      </c>
      <c r="D74" s="154">
        <v>0</v>
      </c>
      <c r="E74" s="147">
        <v>11.899999999999999</v>
      </c>
      <c r="F74" s="147">
        <v>0</v>
      </c>
      <c r="G74" s="147">
        <v>0</v>
      </c>
      <c r="H74" s="147">
        <v>1.7488366734279921</v>
      </c>
      <c r="I74" s="147">
        <v>5.3168263381546135</v>
      </c>
      <c r="J74" s="151" t="s">
        <v>545</v>
      </c>
      <c r="K74" s="147" t="s">
        <v>575</v>
      </c>
      <c r="L74" s="147" t="s">
        <v>338</v>
      </c>
      <c r="M74" s="147">
        <v>29.202539999999999</v>
      </c>
      <c r="N74" s="148">
        <v>2293727.23</v>
      </c>
      <c r="O74" s="147">
        <v>0</v>
      </c>
      <c r="P74" s="147" t="s">
        <v>576</v>
      </c>
      <c r="Q74" s="147"/>
    </row>
    <row r="75" spans="1:17" x14ac:dyDescent="0.3">
      <c r="A75" s="147"/>
      <c r="B75" s="147" t="s">
        <v>413</v>
      </c>
      <c r="C75" s="147" t="s">
        <v>401</v>
      </c>
      <c r="D75" s="154">
        <v>0</v>
      </c>
      <c r="E75" s="147">
        <v>11.899999999999999</v>
      </c>
      <c r="F75" s="147">
        <v>0</v>
      </c>
      <c r="G75" s="147">
        <v>0</v>
      </c>
      <c r="H75" s="147">
        <v>10.511359026369169</v>
      </c>
      <c r="I75" s="147">
        <v>3.5944383521196994</v>
      </c>
      <c r="J75" s="151" t="s">
        <v>545</v>
      </c>
      <c r="K75" s="147" t="s">
        <v>588</v>
      </c>
      <c r="L75" s="147" t="s">
        <v>557</v>
      </c>
      <c r="M75" s="147">
        <v>13.23</v>
      </c>
      <c r="N75" s="148">
        <v>2625783.7599999998</v>
      </c>
      <c r="O75" s="147">
        <v>0</v>
      </c>
      <c r="P75" s="147" t="s">
        <v>590</v>
      </c>
      <c r="Q75" s="147"/>
    </row>
    <row r="76" spans="1:17" x14ac:dyDescent="0.3">
      <c r="A76" s="147"/>
      <c r="B76" s="147" t="s">
        <v>413</v>
      </c>
      <c r="C76" s="147" t="s">
        <v>407</v>
      </c>
      <c r="D76" s="154">
        <v>0</v>
      </c>
      <c r="E76" s="147">
        <v>11.899999999999999</v>
      </c>
      <c r="F76" s="147">
        <v>0</v>
      </c>
      <c r="G76" s="147">
        <v>0</v>
      </c>
      <c r="H76" s="147">
        <v>4.9685192697768761</v>
      </c>
      <c r="I76" s="147">
        <v>9.5922223547132166</v>
      </c>
      <c r="J76" s="151" t="s">
        <v>545</v>
      </c>
      <c r="K76" s="147" t="s">
        <v>593</v>
      </c>
      <c r="L76" s="147" t="s">
        <v>501</v>
      </c>
      <c r="M76" s="147">
        <v>2.6</v>
      </c>
      <c r="N76" s="148">
        <v>456377.56</v>
      </c>
      <c r="O76" s="147">
        <v>0</v>
      </c>
      <c r="P76" s="147" t="s">
        <v>590</v>
      </c>
      <c r="Q76" s="147"/>
    </row>
    <row r="77" spans="1:17" x14ac:dyDescent="0.3">
      <c r="A77" s="147"/>
      <c r="B77" s="147" t="s">
        <v>413</v>
      </c>
      <c r="C77" s="147" t="s">
        <v>408</v>
      </c>
      <c r="D77" s="154">
        <v>0</v>
      </c>
      <c r="E77" s="147">
        <v>11.899999999999999</v>
      </c>
      <c r="F77" s="147">
        <v>0</v>
      </c>
      <c r="G77" s="147">
        <v>0</v>
      </c>
      <c r="H77" s="147">
        <v>3.8519602567193205</v>
      </c>
      <c r="I77" s="147">
        <v>8.0350985246384052</v>
      </c>
      <c r="J77" s="151" t="s">
        <v>545</v>
      </c>
      <c r="K77" s="147" t="s">
        <v>593</v>
      </c>
      <c r="L77" s="147" t="s">
        <v>501</v>
      </c>
      <c r="M77" s="147">
        <v>1.98</v>
      </c>
      <c r="N77" s="148">
        <v>322211.96999999997</v>
      </c>
      <c r="O77" s="147">
        <v>0</v>
      </c>
      <c r="P77" s="147" t="s">
        <v>590</v>
      </c>
      <c r="Q77" s="147"/>
    </row>
    <row r="78" spans="1:17" x14ac:dyDescent="0.3">
      <c r="A78" s="147"/>
      <c r="B78" s="147" t="s">
        <v>413</v>
      </c>
      <c r="C78" s="147" t="s">
        <v>409</v>
      </c>
      <c r="D78" s="154">
        <v>0</v>
      </c>
      <c r="E78" s="147">
        <v>11</v>
      </c>
      <c r="F78" s="147">
        <v>0</v>
      </c>
      <c r="G78" s="147">
        <v>0</v>
      </c>
      <c r="H78" s="147">
        <v>8.5367139959432059</v>
      </c>
      <c r="I78" s="147">
        <v>7.7391164256857863</v>
      </c>
      <c r="J78" s="151" t="s">
        <v>594</v>
      </c>
      <c r="K78" s="147" t="s">
        <v>593</v>
      </c>
      <c r="L78" s="147" t="s">
        <v>501</v>
      </c>
      <c r="M78" s="147">
        <v>16.18</v>
      </c>
      <c r="N78" s="148">
        <v>1900917.65</v>
      </c>
      <c r="O78" s="147">
        <v>0</v>
      </c>
      <c r="P78" s="147" t="s">
        <v>590</v>
      </c>
      <c r="Q78" s="147"/>
    </row>
    <row r="79" spans="1:17" x14ac:dyDescent="0.3">
      <c r="A79" s="147"/>
      <c r="B79" s="147" t="s">
        <v>413</v>
      </c>
      <c r="C79" s="147" t="s">
        <v>434</v>
      </c>
      <c r="D79" s="154">
        <v>0</v>
      </c>
      <c r="E79" s="147">
        <v>11.899999999999999</v>
      </c>
      <c r="F79" s="147">
        <v>0</v>
      </c>
      <c r="G79" s="147">
        <v>0</v>
      </c>
      <c r="H79" s="147">
        <v>10.009330628803244</v>
      </c>
      <c r="I79" s="147">
        <v>10.93838410723192</v>
      </c>
      <c r="J79" s="151" t="s">
        <v>545</v>
      </c>
      <c r="K79" s="147" t="s">
        <v>607</v>
      </c>
      <c r="L79" s="147" t="s">
        <v>525</v>
      </c>
      <c r="M79" s="147">
        <v>13.98</v>
      </c>
      <c r="N79" s="148">
        <v>1395882.25</v>
      </c>
      <c r="O79" s="147">
        <v>0</v>
      </c>
      <c r="P79" s="147" t="s">
        <v>590</v>
      </c>
      <c r="Q79" s="147"/>
    </row>
    <row r="80" spans="1:17" x14ac:dyDescent="0.3">
      <c r="A80" s="147"/>
      <c r="B80" s="147" t="s">
        <v>413</v>
      </c>
      <c r="C80" s="147" t="s">
        <v>435</v>
      </c>
      <c r="D80" s="154">
        <v>0</v>
      </c>
      <c r="E80" s="147">
        <v>11.899999999999999</v>
      </c>
      <c r="F80" s="147">
        <v>0</v>
      </c>
      <c r="G80" s="147">
        <v>0</v>
      </c>
      <c r="H80" s="147">
        <v>10.328546077079107</v>
      </c>
      <c r="I80" s="147">
        <v>12.494574789526185</v>
      </c>
      <c r="J80" s="151" t="s">
        <v>545</v>
      </c>
      <c r="K80" s="147" t="s">
        <v>607</v>
      </c>
      <c r="L80" s="147" t="s">
        <v>525</v>
      </c>
      <c r="M80" s="147">
        <v>8.8300800000000006</v>
      </c>
      <c r="N80" s="148">
        <v>972720.34</v>
      </c>
      <c r="O80" s="147">
        <v>0</v>
      </c>
      <c r="P80" s="147" t="s">
        <v>590</v>
      </c>
      <c r="Q80" s="147"/>
    </row>
    <row r="81" spans="1:17" x14ac:dyDescent="0.3">
      <c r="A81" s="147"/>
      <c r="B81" s="147" t="s">
        <v>413</v>
      </c>
      <c r="C81" s="147" t="s">
        <v>436</v>
      </c>
      <c r="D81" s="154">
        <v>0</v>
      </c>
      <c r="E81" s="147">
        <v>11.899999999999999</v>
      </c>
      <c r="F81" s="147">
        <v>0</v>
      </c>
      <c r="G81" s="147">
        <v>0</v>
      </c>
      <c r="H81" s="147">
        <v>7.3699553752535509</v>
      </c>
      <c r="I81" s="147">
        <v>9.11170276468828</v>
      </c>
      <c r="J81" s="151" t="s">
        <v>545</v>
      </c>
      <c r="K81" s="147" t="s">
        <v>608</v>
      </c>
      <c r="L81" s="147" t="s">
        <v>501</v>
      </c>
      <c r="M81" s="147">
        <v>17.88</v>
      </c>
      <c r="N81" s="148">
        <v>1683362.32</v>
      </c>
      <c r="O81" s="147">
        <v>0</v>
      </c>
      <c r="P81" s="147" t="s">
        <v>590</v>
      </c>
      <c r="Q81" s="147"/>
    </row>
    <row r="82" spans="1:17" x14ac:dyDescent="0.3">
      <c r="A82" s="147"/>
      <c r="B82" s="147" t="s">
        <v>413</v>
      </c>
      <c r="C82" s="147" t="s">
        <v>437</v>
      </c>
      <c r="D82" s="154">
        <v>0</v>
      </c>
      <c r="E82" s="147">
        <v>11.899999999999999</v>
      </c>
      <c r="F82" s="147">
        <v>0</v>
      </c>
      <c r="G82" s="147">
        <v>0</v>
      </c>
      <c r="H82" s="147">
        <v>10.535640154158216</v>
      </c>
      <c r="I82" s="147">
        <v>12.118072183790524</v>
      </c>
      <c r="J82" s="151" t="s">
        <v>545</v>
      </c>
      <c r="K82" s="147" t="s">
        <v>572</v>
      </c>
      <c r="L82" s="147" t="s">
        <v>573</v>
      </c>
      <c r="M82" s="147">
        <v>9.9619800000000005</v>
      </c>
      <c r="N82" s="148">
        <v>1138629.73</v>
      </c>
      <c r="O82" s="147">
        <v>0</v>
      </c>
      <c r="P82" s="147" t="s">
        <v>590</v>
      </c>
      <c r="Q82" s="147"/>
    </row>
    <row r="83" spans="1:17" ht="28.8" x14ac:dyDescent="0.3">
      <c r="A83" s="147"/>
      <c r="B83" s="147" t="s">
        <v>413</v>
      </c>
      <c r="C83" s="147" t="s">
        <v>438</v>
      </c>
      <c r="D83" s="154">
        <v>0</v>
      </c>
      <c r="E83" s="147">
        <v>13.4</v>
      </c>
      <c r="F83" s="147">
        <v>0</v>
      </c>
      <c r="G83" s="147">
        <v>0</v>
      </c>
      <c r="H83" s="147">
        <v>10.722381598377282</v>
      </c>
      <c r="I83" s="147">
        <v>9.7422323806982547</v>
      </c>
      <c r="J83" s="151" t="s">
        <v>609</v>
      </c>
      <c r="K83" s="147" t="s">
        <v>610</v>
      </c>
      <c r="L83" s="147" t="s">
        <v>557</v>
      </c>
      <c r="M83" s="147">
        <v>10.98264</v>
      </c>
      <c r="N83" s="148">
        <v>469302.79</v>
      </c>
      <c r="O83" s="147">
        <v>0</v>
      </c>
      <c r="P83" s="147" t="s">
        <v>576</v>
      </c>
      <c r="Q83" s="147"/>
    </row>
    <row r="84" spans="1:17" x14ac:dyDescent="0.3">
      <c r="A84" s="147"/>
      <c r="B84" s="147" t="s">
        <v>413</v>
      </c>
      <c r="C84" s="147" t="s">
        <v>439</v>
      </c>
      <c r="D84" s="154">
        <v>0</v>
      </c>
      <c r="E84" s="147">
        <v>11</v>
      </c>
      <c r="F84" s="147">
        <v>0</v>
      </c>
      <c r="G84" s="147">
        <v>0</v>
      </c>
      <c r="H84" s="147">
        <v>10.879245436105476</v>
      </c>
      <c r="I84" s="147">
        <v>9.9792025967082285</v>
      </c>
      <c r="J84" s="151" t="s">
        <v>594</v>
      </c>
      <c r="K84" s="147" t="s">
        <v>610</v>
      </c>
      <c r="L84" s="147" t="s">
        <v>557</v>
      </c>
      <c r="M84" s="147">
        <v>11.84</v>
      </c>
      <c r="N84" s="148">
        <v>1546836.64</v>
      </c>
      <c r="O84" s="147">
        <v>0</v>
      </c>
      <c r="P84" s="147" t="s">
        <v>576</v>
      </c>
      <c r="Q84" s="147"/>
    </row>
    <row r="85" spans="1:17" x14ac:dyDescent="0.3">
      <c r="A85" s="147"/>
      <c r="B85" s="147" t="s">
        <v>413</v>
      </c>
      <c r="C85" s="147" t="s">
        <v>440</v>
      </c>
      <c r="D85" s="154">
        <v>0</v>
      </c>
      <c r="E85" s="147">
        <v>11.899999999999999</v>
      </c>
      <c r="F85" s="147">
        <v>0</v>
      </c>
      <c r="G85" s="147">
        <v>0</v>
      </c>
      <c r="H85" s="147">
        <v>9.0044170385395539</v>
      </c>
      <c r="I85" s="147">
        <v>8.9630756372069822</v>
      </c>
      <c r="J85" s="151" t="s">
        <v>545</v>
      </c>
      <c r="K85" s="147" t="s">
        <v>611</v>
      </c>
      <c r="L85" s="147" t="s">
        <v>338</v>
      </c>
      <c r="M85" s="147">
        <v>15.48128</v>
      </c>
      <c r="N85" s="148">
        <v>1706753.01</v>
      </c>
      <c r="O85" s="147">
        <v>0</v>
      </c>
      <c r="P85" s="147" t="s">
        <v>590</v>
      </c>
      <c r="Q85" s="147"/>
    </row>
    <row r="86" spans="1:17" ht="28.8" x14ac:dyDescent="0.3">
      <c r="A86" s="147"/>
      <c r="B86" s="147" t="s">
        <v>413</v>
      </c>
      <c r="C86" s="147" t="s">
        <v>441</v>
      </c>
      <c r="D86" s="154">
        <v>0</v>
      </c>
      <c r="E86" s="147">
        <v>13.4</v>
      </c>
      <c r="F86" s="147">
        <v>0</v>
      </c>
      <c r="G86" s="147">
        <v>0</v>
      </c>
      <c r="H86" s="147">
        <v>5.276990105476675</v>
      </c>
      <c r="I86" s="147">
        <v>10.050753677306734</v>
      </c>
      <c r="J86" s="151" t="s">
        <v>609</v>
      </c>
      <c r="K86" s="147" t="s">
        <v>612</v>
      </c>
      <c r="L86" s="147" t="s">
        <v>573</v>
      </c>
      <c r="M86" s="147">
        <v>20.688469999999999</v>
      </c>
      <c r="N86" s="148">
        <v>1535576.05</v>
      </c>
      <c r="O86" s="147">
        <v>0</v>
      </c>
      <c r="P86" s="147" t="s">
        <v>590</v>
      </c>
      <c r="Q86" s="147"/>
    </row>
    <row r="87" spans="1:17" x14ac:dyDescent="0.3">
      <c r="A87" s="147"/>
      <c r="B87" s="147" t="s">
        <v>413</v>
      </c>
      <c r="C87" s="147" t="s">
        <v>442</v>
      </c>
      <c r="D87" s="154">
        <v>0</v>
      </c>
      <c r="E87" s="147">
        <v>11.899999999999999</v>
      </c>
      <c r="F87" s="147">
        <v>0</v>
      </c>
      <c r="G87" s="147">
        <v>0</v>
      </c>
      <c r="H87" s="147">
        <v>2.8088664665314402</v>
      </c>
      <c r="I87" s="147">
        <v>2.6104217751620946</v>
      </c>
      <c r="J87" s="151" t="s">
        <v>545</v>
      </c>
      <c r="K87" s="147" t="s">
        <v>607</v>
      </c>
      <c r="L87" s="147" t="s">
        <v>525</v>
      </c>
      <c r="M87" s="147">
        <v>25.482839999999999</v>
      </c>
      <c r="N87" s="148">
        <v>3077454.01</v>
      </c>
      <c r="O87" s="147">
        <v>0</v>
      </c>
      <c r="P87" s="147" t="s">
        <v>590</v>
      </c>
      <c r="Q87" s="147"/>
    </row>
    <row r="88" spans="1:17" x14ac:dyDescent="0.3">
      <c r="A88" s="147"/>
      <c r="B88" s="147" t="s">
        <v>413</v>
      </c>
      <c r="C88" s="147" t="s">
        <v>443</v>
      </c>
      <c r="D88" s="154">
        <v>0</v>
      </c>
      <c r="E88" s="147">
        <v>11.899999999999999</v>
      </c>
      <c r="F88" s="147">
        <v>35.038655039409448</v>
      </c>
      <c r="G88" s="147">
        <v>0</v>
      </c>
      <c r="H88" s="147">
        <v>3.587646653144017</v>
      </c>
      <c r="I88" s="147">
        <v>2.5973347575062342</v>
      </c>
      <c r="J88" s="151" t="s">
        <v>545</v>
      </c>
      <c r="K88" s="147" t="s">
        <v>559</v>
      </c>
      <c r="L88" s="147" t="s">
        <v>560</v>
      </c>
      <c r="M88" s="147">
        <v>23.405249999999999</v>
      </c>
      <c r="N88" s="148">
        <v>3090069.14</v>
      </c>
      <c r="O88" s="147">
        <v>0</v>
      </c>
      <c r="P88" s="147" t="s">
        <v>576</v>
      </c>
      <c r="Q88" s="147"/>
    </row>
    <row r="89" spans="1:17" x14ac:dyDescent="0.3">
      <c r="A89" s="147"/>
      <c r="B89" s="147" t="s">
        <v>413</v>
      </c>
      <c r="C89" s="147" t="s">
        <v>444</v>
      </c>
      <c r="D89" s="154">
        <v>0</v>
      </c>
      <c r="E89" s="147">
        <v>11.899999999999999</v>
      </c>
      <c r="F89" s="147">
        <v>0</v>
      </c>
      <c r="G89" s="147">
        <v>0</v>
      </c>
      <c r="H89" s="147">
        <v>1.9834807302231239</v>
      </c>
      <c r="I89" s="147">
        <v>3.0035389326683286</v>
      </c>
      <c r="J89" s="151" t="s">
        <v>545</v>
      </c>
      <c r="K89" s="147" t="s">
        <v>580</v>
      </c>
      <c r="L89" s="147" t="s">
        <v>557</v>
      </c>
      <c r="M89" s="147">
        <v>27.887999999999998</v>
      </c>
      <c r="N89" s="148">
        <v>2739702.35</v>
      </c>
      <c r="O89" s="147">
        <v>0</v>
      </c>
      <c r="P89" s="147" t="s">
        <v>590</v>
      </c>
      <c r="Q89" s="147"/>
    </row>
    <row r="90" spans="1:17" ht="28.8" x14ac:dyDescent="0.3">
      <c r="A90" s="147"/>
      <c r="B90" s="147" t="s">
        <v>413</v>
      </c>
      <c r="C90" s="147" t="s">
        <v>445</v>
      </c>
      <c r="D90" s="154">
        <v>0</v>
      </c>
      <c r="E90" s="147">
        <v>13.4</v>
      </c>
      <c r="F90" s="147">
        <v>0</v>
      </c>
      <c r="G90" s="147">
        <v>0</v>
      </c>
      <c r="H90" s="147">
        <v>10.886629760649088</v>
      </c>
      <c r="I90" s="147">
        <v>12.643960298753116</v>
      </c>
      <c r="J90" s="151" t="s">
        <v>609</v>
      </c>
      <c r="K90" s="147" t="s">
        <v>613</v>
      </c>
      <c r="L90" s="147" t="s">
        <v>501</v>
      </c>
      <c r="M90" s="147">
        <v>11.88036</v>
      </c>
      <c r="N90" s="148">
        <v>906892.22</v>
      </c>
      <c r="O90" s="147">
        <v>0</v>
      </c>
      <c r="P90" s="147" t="s">
        <v>590</v>
      </c>
      <c r="Q90" s="147"/>
    </row>
    <row r="91" spans="1:17" ht="28.8" x14ac:dyDescent="0.3">
      <c r="A91" s="147"/>
      <c r="B91" s="147" t="s">
        <v>413</v>
      </c>
      <c r="C91" s="147" t="s">
        <v>446</v>
      </c>
      <c r="D91" s="154">
        <v>0</v>
      </c>
      <c r="E91" s="147">
        <v>13.4</v>
      </c>
      <c r="F91" s="147">
        <v>0</v>
      </c>
      <c r="G91" s="147">
        <v>0</v>
      </c>
      <c r="H91" s="147">
        <v>7.6233346855983788</v>
      </c>
      <c r="I91" s="147">
        <v>10.327084086683291</v>
      </c>
      <c r="J91" s="151" t="s">
        <v>609</v>
      </c>
      <c r="K91" s="147" t="s">
        <v>614</v>
      </c>
      <c r="L91" s="147" t="s">
        <v>499</v>
      </c>
      <c r="M91" s="147">
        <v>17.54</v>
      </c>
      <c r="N91" s="148">
        <v>1492087.63</v>
      </c>
      <c r="O91" s="147">
        <v>0</v>
      </c>
      <c r="P91" s="147" t="s">
        <v>590</v>
      </c>
      <c r="Q91" s="147"/>
    </row>
    <row r="92" spans="1:17" x14ac:dyDescent="0.3">
      <c r="A92" s="147"/>
      <c r="B92" s="147" t="s">
        <v>413</v>
      </c>
      <c r="C92" s="147" t="s">
        <v>447</v>
      </c>
      <c r="D92" s="154">
        <v>0</v>
      </c>
      <c r="E92" s="147">
        <v>14.3</v>
      </c>
      <c r="F92" s="147">
        <v>0</v>
      </c>
      <c r="G92" s="147">
        <v>0</v>
      </c>
      <c r="H92" s="147">
        <v>10.575529411764707</v>
      </c>
      <c r="I92" s="147">
        <v>12.108358240149627</v>
      </c>
      <c r="J92" s="151" t="s">
        <v>548</v>
      </c>
      <c r="K92" s="147" t="s">
        <v>611</v>
      </c>
      <c r="L92" s="147" t="s">
        <v>338</v>
      </c>
      <c r="M92" s="147">
        <v>10.18</v>
      </c>
      <c r="N92" s="148">
        <v>1142910.27</v>
      </c>
      <c r="O92" s="147">
        <v>0</v>
      </c>
      <c r="P92" s="147" t="s">
        <v>590</v>
      </c>
      <c r="Q92" s="147"/>
    </row>
    <row r="93" spans="1:17" x14ac:dyDescent="0.3">
      <c r="A93" s="147"/>
      <c r="B93" s="147" t="s">
        <v>413</v>
      </c>
      <c r="C93" s="147" t="s">
        <v>448</v>
      </c>
      <c r="D93" s="154">
        <v>0</v>
      </c>
      <c r="E93" s="147">
        <v>11.899999999999999</v>
      </c>
      <c r="F93" s="147">
        <v>0</v>
      </c>
      <c r="G93" s="147">
        <v>0</v>
      </c>
      <c r="H93" s="147">
        <v>9.3114241379310361</v>
      </c>
      <c r="I93" s="147">
        <v>5.5779489027431426</v>
      </c>
      <c r="J93" s="151" t="s">
        <v>545</v>
      </c>
      <c r="K93" s="147" t="s">
        <v>607</v>
      </c>
      <c r="L93" s="147" t="s">
        <v>525</v>
      </c>
      <c r="M93" s="147">
        <v>15.022629999999999</v>
      </c>
      <c r="N93" s="148">
        <v>2244545</v>
      </c>
      <c r="O93" s="147">
        <v>0</v>
      </c>
      <c r="P93" s="147" t="s">
        <v>590</v>
      </c>
      <c r="Q93" s="147"/>
    </row>
    <row r="94" spans="1:17" ht="28.8" x14ac:dyDescent="0.3">
      <c r="A94" s="147"/>
      <c r="B94" s="147" t="s">
        <v>413</v>
      </c>
      <c r="C94" s="147" t="s">
        <v>449</v>
      </c>
      <c r="D94" s="154">
        <v>0</v>
      </c>
      <c r="E94" s="147">
        <v>22</v>
      </c>
      <c r="F94" s="147">
        <v>0</v>
      </c>
      <c r="G94" s="147">
        <v>0</v>
      </c>
      <c r="H94" s="147">
        <v>9.6494818498985797</v>
      </c>
      <c r="I94" s="147">
        <v>11.843112509975063</v>
      </c>
      <c r="J94" s="151" t="s">
        <v>550</v>
      </c>
      <c r="K94" s="147" t="s">
        <v>584</v>
      </c>
      <c r="L94" s="147" t="s">
        <v>501</v>
      </c>
      <c r="M94" s="147">
        <v>7.0827399999999994</v>
      </c>
      <c r="N94" s="148">
        <v>650319.75</v>
      </c>
      <c r="O94" s="147">
        <v>0</v>
      </c>
      <c r="P94" s="147" t="s">
        <v>590</v>
      </c>
      <c r="Q94" s="147"/>
    </row>
    <row r="95" spans="1:17" ht="28.8" x14ac:dyDescent="0.3">
      <c r="A95" s="147"/>
      <c r="B95" s="147" t="s">
        <v>413</v>
      </c>
      <c r="C95" s="147" t="s">
        <v>450</v>
      </c>
      <c r="D95" s="154">
        <v>0</v>
      </c>
      <c r="E95" s="147">
        <v>22</v>
      </c>
      <c r="F95" s="147">
        <v>0</v>
      </c>
      <c r="G95" s="147">
        <v>0</v>
      </c>
      <c r="H95" s="147">
        <v>10.579188640973632</v>
      </c>
      <c r="I95" s="147">
        <v>12.37498354264339</v>
      </c>
      <c r="J95" s="151" t="s">
        <v>550</v>
      </c>
      <c r="K95" s="147" t="s">
        <v>615</v>
      </c>
      <c r="L95" s="147" t="s">
        <v>501</v>
      </c>
      <c r="M95" s="147">
        <v>10.199999999999999</v>
      </c>
      <c r="N95" s="148">
        <v>1025419.34</v>
      </c>
      <c r="O95" s="147">
        <v>0</v>
      </c>
      <c r="P95" s="147" t="s">
        <v>590</v>
      </c>
      <c r="Q95" s="147"/>
    </row>
    <row r="96" spans="1:17" x14ac:dyDescent="0.3">
      <c r="A96" s="147"/>
      <c r="B96" s="147" t="s">
        <v>413</v>
      </c>
      <c r="C96" s="147" t="s">
        <v>451</v>
      </c>
      <c r="D96" s="154">
        <v>0</v>
      </c>
      <c r="E96" s="147">
        <v>11</v>
      </c>
      <c r="F96" s="147">
        <v>0</v>
      </c>
      <c r="G96" s="147">
        <v>0</v>
      </c>
      <c r="H96" s="147">
        <v>9.0017864097363081</v>
      </c>
      <c r="I96" s="147">
        <v>9.9300395403491262</v>
      </c>
      <c r="J96" s="151" t="s">
        <v>594</v>
      </c>
      <c r="K96" s="147" t="s">
        <v>608</v>
      </c>
      <c r="L96" s="147" t="s">
        <v>501</v>
      </c>
      <c r="M96" s="147">
        <v>15.48521</v>
      </c>
      <c r="N96" s="148">
        <v>1554573.84</v>
      </c>
      <c r="O96" s="147">
        <v>0</v>
      </c>
      <c r="P96" s="147" t="s">
        <v>590</v>
      </c>
      <c r="Q96" s="147"/>
    </row>
    <row r="97" spans="1:17" x14ac:dyDescent="0.3">
      <c r="A97" s="147"/>
      <c r="B97" s="147" t="s">
        <v>413</v>
      </c>
      <c r="C97" s="147" t="s">
        <v>452</v>
      </c>
      <c r="D97" s="154">
        <v>0</v>
      </c>
      <c r="E97" s="147">
        <v>11</v>
      </c>
      <c r="F97" s="147">
        <v>0</v>
      </c>
      <c r="G97" s="147">
        <v>0</v>
      </c>
      <c r="H97" s="147">
        <v>8.3983951318458434</v>
      </c>
      <c r="I97" s="147">
        <v>8.4760926870822946</v>
      </c>
      <c r="J97" s="151" t="s">
        <v>594</v>
      </c>
      <c r="K97" s="147" t="s">
        <v>570</v>
      </c>
      <c r="L97" s="147" t="s">
        <v>338</v>
      </c>
      <c r="M97" s="147">
        <v>16.38664</v>
      </c>
      <c r="N97" s="148">
        <v>1783737.84</v>
      </c>
      <c r="O97" s="147">
        <v>0</v>
      </c>
      <c r="P97" s="147" t="s">
        <v>590</v>
      </c>
      <c r="Q97" s="147"/>
    </row>
    <row r="98" spans="1:17" x14ac:dyDescent="0.3">
      <c r="A98" s="147"/>
      <c r="B98" s="147" t="s">
        <v>413</v>
      </c>
      <c r="C98" s="147" t="s">
        <v>453</v>
      </c>
      <c r="D98" s="154">
        <v>0</v>
      </c>
      <c r="E98" s="147">
        <v>11.899999999999999</v>
      </c>
      <c r="F98" s="147">
        <v>0</v>
      </c>
      <c r="G98" s="147">
        <v>0</v>
      </c>
      <c r="H98" s="147">
        <v>10.539070315618661</v>
      </c>
      <c r="I98" s="147">
        <v>12.033125113466335</v>
      </c>
      <c r="J98" s="151" t="s">
        <v>545</v>
      </c>
      <c r="K98" s="147" t="s">
        <v>575</v>
      </c>
      <c r="L98" s="147" t="s">
        <v>338</v>
      </c>
      <c r="M98" s="147">
        <v>9.9807279999999992</v>
      </c>
      <c r="N98" s="148">
        <v>1176062.45</v>
      </c>
      <c r="O98" s="147">
        <v>0</v>
      </c>
      <c r="P98" s="147" t="s">
        <v>590</v>
      </c>
      <c r="Q98" s="147"/>
    </row>
    <row r="99" spans="1:17" x14ac:dyDescent="0.3">
      <c r="A99" s="147"/>
      <c r="B99" s="147" t="s">
        <v>413</v>
      </c>
      <c r="C99" s="147" t="s">
        <v>454</v>
      </c>
      <c r="D99" s="154">
        <v>0</v>
      </c>
      <c r="E99" s="147">
        <v>19.600000000000001</v>
      </c>
      <c r="F99" s="147">
        <v>0</v>
      </c>
      <c r="G99" s="147">
        <v>0</v>
      </c>
      <c r="H99" s="147">
        <v>0.78120081135902619</v>
      </c>
      <c r="I99" s="147">
        <v>0</v>
      </c>
      <c r="J99" s="151" t="s">
        <v>616</v>
      </c>
      <c r="K99" s="147" t="s">
        <v>617</v>
      </c>
      <c r="L99" s="147" t="s">
        <v>501</v>
      </c>
      <c r="M99" s="147">
        <v>35.24</v>
      </c>
      <c r="N99" s="148">
        <v>6564954.7400000002</v>
      </c>
      <c r="O99" s="147">
        <v>0</v>
      </c>
      <c r="P99" s="147" t="s">
        <v>576</v>
      </c>
      <c r="Q99" s="147"/>
    </row>
    <row r="100" spans="1:17" x14ac:dyDescent="0.3">
      <c r="A100" s="147"/>
      <c r="B100" s="147" t="s">
        <v>413</v>
      </c>
      <c r="C100" s="147" t="s">
        <v>455</v>
      </c>
      <c r="D100" s="154">
        <v>0</v>
      </c>
      <c r="E100" s="147">
        <v>11.899999999999999</v>
      </c>
      <c r="F100" s="147">
        <v>0</v>
      </c>
      <c r="G100" s="147">
        <v>0</v>
      </c>
      <c r="H100" s="147">
        <v>10.86568397565923</v>
      </c>
      <c r="I100" s="147">
        <v>8.0701113786034924</v>
      </c>
      <c r="J100" s="151" t="s">
        <v>545</v>
      </c>
      <c r="K100" s="147" t="s">
        <v>618</v>
      </c>
      <c r="L100" s="147" t="s">
        <v>499</v>
      </c>
      <c r="M100" s="147">
        <v>12.700659999999999</v>
      </c>
      <c r="N100" s="148">
        <v>1848289.19</v>
      </c>
      <c r="O100" s="147">
        <v>0</v>
      </c>
      <c r="P100" s="147" t="s">
        <v>590</v>
      </c>
      <c r="Q100" s="147"/>
    </row>
    <row r="101" spans="1:17" ht="28.8" x14ac:dyDescent="0.3">
      <c r="A101" s="147"/>
      <c r="B101" s="147" t="s">
        <v>413</v>
      </c>
      <c r="C101" s="147" t="s">
        <v>456</v>
      </c>
      <c r="D101" s="154">
        <v>0</v>
      </c>
      <c r="E101" s="147">
        <v>8</v>
      </c>
      <c r="F101" s="147">
        <v>0</v>
      </c>
      <c r="G101" s="147">
        <v>0</v>
      </c>
      <c r="H101" s="147">
        <v>10.560892494929007</v>
      </c>
      <c r="I101" s="147">
        <v>12.23466213266833</v>
      </c>
      <c r="J101" s="151" t="s">
        <v>596</v>
      </c>
      <c r="K101" s="147" t="s">
        <v>585</v>
      </c>
      <c r="L101" s="147" t="s">
        <v>557</v>
      </c>
      <c r="M101" s="147">
        <v>10.1</v>
      </c>
      <c r="N101" s="148">
        <v>1087253.28</v>
      </c>
      <c r="O101" s="147">
        <v>0</v>
      </c>
      <c r="P101" s="147" t="s">
        <v>590</v>
      </c>
      <c r="Q101" s="147"/>
    </row>
    <row r="102" spans="1:17" x14ac:dyDescent="0.3">
      <c r="A102" s="147"/>
      <c r="B102" s="147" t="s">
        <v>413</v>
      </c>
      <c r="C102" s="147" t="s">
        <v>457</v>
      </c>
      <c r="D102" s="154">
        <v>0</v>
      </c>
      <c r="E102" s="147">
        <v>11.899999999999999</v>
      </c>
      <c r="F102" s="147">
        <v>0</v>
      </c>
      <c r="G102" s="147">
        <v>0</v>
      </c>
      <c r="H102" s="147">
        <v>9.5725525354969587</v>
      </c>
      <c r="I102" s="147">
        <v>5.1244019072319205</v>
      </c>
      <c r="J102" s="151" t="s">
        <v>545</v>
      </c>
      <c r="K102" s="147" t="s">
        <v>588</v>
      </c>
      <c r="L102" s="147" t="s">
        <v>557</v>
      </c>
      <c r="M102" s="147">
        <v>14.63252</v>
      </c>
      <c r="N102" s="148">
        <v>2330824.44</v>
      </c>
      <c r="O102" s="147">
        <v>0</v>
      </c>
      <c r="P102" s="147" t="s">
        <v>576</v>
      </c>
      <c r="Q102" s="147"/>
    </row>
    <row r="103" spans="1:17" x14ac:dyDescent="0.3">
      <c r="A103" s="147"/>
      <c r="B103" s="147" t="s">
        <v>413</v>
      </c>
      <c r="C103" s="147" t="s">
        <v>277</v>
      </c>
      <c r="D103" s="154">
        <v>0</v>
      </c>
      <c r="E103" s="147">
        <v>11.899999999999999</v>
      </c>
      <c r="F103" s="147">
        <v>0</v>
      </c>
      <c r="G103" s="147">
        <v>0</v>
      </c>
      <c r="H103" s="147">
        <v>10.681647058823529</v>
      </c>
      <c r="I103" s="147">
        <v>10.973079924588527</v>
      </c>
      <c r="J103" s="151" t="s">
        <v>545</v>
      </c>
      <c r="K103" s="147" t="s">
        <v>619</v>
      </c>
      <c r="L103" s="147" t="s">
        <v>499</v>
      </c>
      <c r="M103" s="147">
        <v>10.76</v>
      </c>
      <c r="N103" s="148">
        <v>1390421.88</v>
      </c>
      <c r="O103" s="147">
        <v>0</v>
      </c>
      <c r="P103" s="147" t="s">
        <v>590</v>
      </c>
      <c r="Q103" s="147"/>
    </row>
    <row r="104" spans="1:17" x14ac:dyDescent="0.3">
      <c r="A104" s="147"/>
      <c r="B104" s="147" t="s">
        <v>413</v>
      </c>
      <c r="C104" s="147" t="s">
        <v>458</v>
      </c>
      <c r="D104" s="154">
        <v>0</v>
      </c>
      <c r="E104" s="147">
        <v>11.899999999999999</v>
      </c>
      <c r="F104" s="147">
        <v>0</v>
      </c>
      <c r="G104" s="147">
        <v>0</v>
      </c>
      <c r="H104" s="147">
        <v>10.67432860040568</v>
      </c>
      <c r="I104" s="147">
        <v>11.591569054064838</v>
      </c>
      <c r="J104" s="151" t="s">
        <v>545</v>
      </c>
      <c r="K104" s="147" t="s">
        <v>620</v>
      </c>
      <c r="L104" s="147" t="s">
        <v>501</v>
      </c>
      <c r="M104" s="147">
        <v>10.719999999999999</v>
      </c>
      <c r="N104" s="148">
        <v>1293085.0900000001</v>
      </c>
      <c r="O104" s="147">
        <v>0</v>
      </c>
      <c r="P104" s="147" t="s">
        <v>590</v>
      </c>
      <c r="Q104" s="147"/>
    </row>
    <row r="105" spans="1:17" ht="28.8" x14ac:dyDescent="0.3">
      <c r="A105" s="147"/>
      <c r="B105" s="147" t="s">
        <v>413</v>
      </c>
      <c r="C105" s="147" t="s">
        <v>278</v>
      </c>
      <c r="D105" s="154">
        <v>0</v>
      </c>
      <c r="E105" s="147">
        <v>8</v>
      </c>
      <c r="F105" s="147">
        <v>0</v>
      </c>
      <c r="G105" s="147">
        <v>0</v>
      </c>
      <c r="H105" s="147">
        <v>10.839350912778905</v>
      </c>
      <c r="I105" s="147">
        <v>12.634521601745636</v>
      </c>
      <c r="J105" s="151" t="s">
        <v>596</v>
      </c>
      <c r="K105" s="147" t="s">
        <v>621</v>
      </c>
      <c r="L105" s="147" t="s">
        <v>557</v>
      </c>
      <c r="M105" s="147">
        <v>12.74</v>
      </c>
      <c r="N105" s="148">
        <v>911051.47</v>
      </c>
      <c r="O105" s="147">
        <v>0</v>
      </c>
      <c r="P105" s="147" t="s">
        <v>590</v>
      </c>
      <c r="Q105" s="147"/>
    </row>
    <row r="106" spans="1:17" x14ac:dyDescent="0.3">
      <c r="A106" s="147"/>
      <c r="B106" s="147" t="s">
        <v>413</v>
      </c>
      <c r="C106" s="147" t="s">
        <v>459</v>
      </c>
      <c r="D106" s="154">
        <v>0</v>
      </c>
      <c r="E106" s="147">
        <v>11.899999999999999</v>
      </c>
      <c r="F106" s="147">
        <v>0</v>
      </c>
      <c r="G106" s="147">
        <v>0</v>
      </c>
      <c r="H106" s="147">
        <v>8.5768762677484798</v>
      </c>
      <c r="I106" s="147">
        <v>6.9317140375561097</v>
      </c>
      <c r="J106" s="151" t="s">
        <v>545</v>
      </c>
      <c r="K106" s="147" t="s">
        <v>622</v>
      </c>
      <c r="L106" s="147" t="s">
        <v>338</v>
      </c>
      <c r="M106" s="147">
        <v>16.12</v>
      </c>
      <c r="N106" s="148">
        <v>2029295.27</v>
      </c>
      <c r="O106" s="147">
        <v>0</v>
      </c>
      <c r="P106" s="147" t="s">
        <v>590</v>
      </c>
      <c r="Q106" s="147"/>
    </row>
    <row r="107" spans="1:17" x14ac:dyDescent="0.3">
      <c r="A107" s="147"/>
      <c r="B107" s="147" t="s">
        <v>413</v>
      </c>
      <c r="C107" s="147" t="s">
        <v>279</v>
      </c>
      <c r="D107" s="154">
        <v>0</v>
      </c>
      <c r="E107" s="147">
        <v>11.899999999999999</v>
      </c>
      <c r="F107" s="147">
        <v>0</v>
      </c>
      <c r="G107" s="147">
        <v>0</v>
      </c>
      <c r="H107" s="147">
        <v>10.743853955375254</v>
      </c>
      <c r="I107" s="147">
        <v>9.0025015210972565</v>
      </c>
      <c r="J107" s="151" t="s">
        <v>545</v>
      </c>
      <c r="K107" s="147" t="s">
        <v>622</v>
      </c>
      <c r="L107" s="147" t="s">
        <v>338</v>
      </c>
      <c r="M107" s="147">
        <v>11.1</v>
      </c>
      <c r="N107" s="148">
        <v>1700548.23</v>
      </c>
      <c r="O107" s="147">
        <v>0</v>
      </c>
      <c r="P107" s="147" t="s">
        <v>590</v>
      </c>
      <c r="Q107" s="147"/>
    </row>
    <row r="108" spans="1:17" x14ac:dyDescent="0.3">
      <c r="A108" s="147"/>
      <c r="B108" s="147" t="s">
        <v>413</v>
      </c>
      <c r="C108" s="147" t="s">
        <v>280</v>
      </c>
      <c r="D108" s="154">
        <v>0</v>
      </c>
      <c r="E108" s="147">
        <v>11.899999999999999</v>
      </c>
      <c r="F108" s="147">
        <v>0</v>
      </c>
      <c r="G108" s="147">
        <v>0</v>
      </c>
      <c r="H108" s="147">
        <v>6.3266288032454359</v>
      </c>
      <c r="I108" s="147">
        <v>3.1653969596009963</v>
      </c>
      <c r="J108" s="151" t="s">
        <v>545</v>
      </c>
      <c r="K108" s="147" t="s">
        <v>623</v>
      </c>
      <c r="L108" s="147" t="s">
        <v>499</v>
      </c>
      <c r="M108" s="147">
        <v>19.28</v>
      </c>
      <c r="N108" s="148">
        <v>2708497.99</v>
      </c>
      <c r="O108" s="147">
        <v>0</v>
      </c>
      <c r="P108" s="147" t="s">
        <v>590</v>
      </c>
      <c r="Q108" s="147"/>
    </row>
    <row r="109" spans="1:17" x14ac:dyDescent="0.3">
      <c r="A109" s="147"/>
      <c r="B109" s="147" t="s">
        <v>413</v>
      </c>
      <c r="C109" s="147" t="s">
        <v>281</v>
      </c>
      <c r="D109" s="154">
        <v>0</v>
      </c>
      <c r="E109" s="147">
        <v>11.899999999999999</v>
      </c>
      <c r="F109" s="147">
        <v>0</v>
      </c>
      <c r="G109" s="147">
        <v>0</v>
      </c>
      <c r="H109" s="147">
        <v>10.557233265720082</v>
      </c>
      <c r="I109" s="147">
        <v>10.38122648149626</v>
      </c>
      <c r="J109" s="151" t="s">
        <v>545</v>
      </c>
      <c r="K109" s="147" t="s">
        <v>623</v>
      </c>
      <c r="L109" s="147" t="s">
        <v>499</v>
      </c>
      <c r="M109" s="147">
        <v>10.08</v>
      </c>
      <c r="N109" s="148">
        <v>1483566.79</v>
      </c>
      <c r="O109" s="147">
        <v>0</v>
      </c>
      <c r="P109" s="147" t="s">
        <v>590</v>
      </c>
      <c r="Q109" s="147"/>
    </row>
    <row r="110" spans="1:17" x14ac:dyDescent="0.3">
      <c r="A110" s="147"/>
      <c r="B110" s="147" t="s">
        <v>413</v>
      </c>
      <c r="C110" s="147" t="s">
        <v>282</v>
      </c>
      <c r="D110" s="154">
        <v>0</v>
      </c>
      <c r="E110" s="147">
        <v>11.899999999999999</v>
      </c>
      <c r="F110" s="147">
        <v>0</v>
      </c>
      <c r="G110" s="147">
        <v>0</v>
      </c>
      <c r="H110" s="147">
        <v>9.8136957403651124</v>
      </c>
      <c r="I110" s="147">
        <v>12.809804599002495</v>
      </c>
      <c r="J110" s="151" t="s">
        <v>545</v>
      </c>
      <c r="K110" s="147" t="s">
        <v>624</v>
      </c>
      <c r="L110" s="147" t="s">
        <v>499</v>
      </c>
      <c r="M110" s="147">
        <v>7.2399999999999993</v>
      </c>
      <c r="N110" s="148">
        <v>733612.3</v>
      </c>
      <c r="O110" s="147">
        <v>0</v>
      </c>
      <c r="P110" s="147" t="s">
        <v>590</v>
      </c>
      <c r="Q110" s="147"/>
    </row>
    <row r="111" spans="1:17" ht="28.8" x14ac:dyDescent="0.3">
      <c r="A111" s="147"/>
      <c r="B111" s="147" t="s">
        <v>413</v>
      </c>
      <c r="C111" s="147" t="s">
        <v>283</v>
      </c>
      <c r="D111" s="154">
        <v>0</v>
      </c>
      <c r="E111" s="147">
        <v>22</v>
      </c>
      <c r="F111" s="147">
        <v>0</v>
      </c>
      <c r="G111" s="147">
        <v>0</v>
      </c>
      <c r="H111" s="147">
        <v>9.8085192697768768</v>
      </c>
      <c r="I111" s="147">
        <v>12.367622890773067</v>
      </c>
      <c r="J111" s="151" t="s">
        <v>550</v>
      </c>
      <c r="K111" s="147" t="s">
        <v>625</v>
      </c>
      <c r="L111" s="147" t="s">
        <v>557</v>
      </c>
      <c r="M111" s="147">
        <v>14.28</v>
      </c>
      <c r="N111" s="148">
        <v>1028662.88</v>
      </c>
      <c r="O111" s="147">
        <v>0</v>
      </c>
      <c r="P111" s="147" t="s">
        <v>590</v>
      </c>
      <c r="Q111" s="147"/>
    </row>
    <row r="112" spans="1:17" x14ac:dyDescent="0.3">
      <c r="A112" s="147"/>
      <c r="B112" s="147" t="s">
        <v>413</v>
      </c>
      <c r="C112" s="147" t="s">
        <v>284</v>
      </c>
      <c r="D112" s="154">
        <v>0</v>
      </c>
      <c r="E112" s="147">
        <v>11.899999999999999</v>
      </c>
      <c r="F112" s="147">
        <v>0</v>
      </c>
      <c r="G112" s="147">
        <v>0</v>
      </c>
      <c r="H112" s="147">
        <v>9.5675456389452336</v>
      </c>
      <c r="I112" s="147">
        <v>9.1235850862842902</v>
      </c>
      <c r="J112" s="151" t="s">
        <v>545</v>
      </c>
      <c r="K112" s="147" t="s">
        <v>626</v>
      </c>
      <c r="L112" s="147" t="s">
        <v>499</v>
      </c>
      <c r="M112" s="147">
        <v>14.64</v>
      </c>
      <c r="N112" s="148">
        <v>1681492.3</v>
      </c>
      <c r="O112" s="147">
        <v>0</v>
      </c>
      <c r="P112" s="147" t="s">
        <v>590</v>
      </c>
      <c r="Q112" s="147"/>
    </row>
    <row r="113" spans="1:17" x14ac:dyDescent="0.3">
      <c r="A113" s="147"/>
      <c r="B113" s="147" t="s">
        <v>413</v>
      </c>
      <c r="C113" s="147" t="s">
        <v>460</v>
      </c>
      <c r="D113" s="154">
        <v>0</v>
      </c>
      <c r="E113" s="147">
        <v>5.6000000000000005</v>
      </c>
      <c r="F113" s="147">
        <v>0</v>
      </c>
      <c r="G113" s="147">
        <v>0</v>
      </c>
      <c r="H113" s="147">
        <v>8.9517241379310342</v>
      </c>
      <c r="I113" s="147">
        <v>5.0107765905236912</v>
      </c>
      <c r="J113" s="151" t="s">
        <v>564</v>
      </c>
      <c r="K113" s="147" t="s">
        <v>589</v>
      </c>
      <c r="L113" s="147" t="s">
        <v>499</v>
      </c>
      <c r="M113" s="147">
        <v>15.56</v>
      </c>
      <c r="N113" s="148">
        <v>2352730.09</v>
      </c>
      <c r="O113" s="147">
        <v>0</v>
      </c>
      <c r="P113" s="147" t="s">
        <v>590</v>
      </c>
      <c r="Q113" s="147"/>
    </row>
    <row r="114" spans="1:17" x14ac:dyDescent="0.3">
      <c r="A114" s="147"/>
      <c r="B114" s="147" t="s">
        <v>413</v>
      </c>
      <c r="C114" s="147" t="s">
        <v>461</v>
      </c>
      <c r="D114" s="154">
        <v>0</v>
      </c>
      <c r="E114" s="147">
        <v>11.899999999999999</v>
      </c>
      <c r="F114" s="147">
        <v>0</v>
      </c>
      <c r="G114" s="147">
        <v>0</v>
      </c>
      <c r="H114" s="147">
        <v>10.973225152129819</v>
      </c>
      <c r="I114" s="147">
        <v>9.188567219551123</v>
      </c>
      <c r="J114" s="151" t="s">
        <v>545</v>
      </c>
      <c r="K114" s="147" t="s">
        <v>627</v>
      </c>
      <c r="L114" s="147" t="s">
        <v>499</v>
      </c>
      <c r="M114" s="147">
        <v>12.54</v>
      </c>
      <c r="N114" s="148">
        <v>1671265.52</v>
      </c>
      <c r="O114" s="147">
        <v>0</v>
      </c>
      <c r="P114" s="147" t="s">
        <v>590</v>
      </c>
      <c r="Q114" s="147"/>
    </row>
    <row r="115" spans="1:17" ht="28.8" x14ac:dyDescent="0.3">
      <c r="A115" s="147"/>
      <c r="B115" s="147" t="s">
        <v>413</v>
      </c>
      <c r="C115" s="147" t="s">
        <v>462</v>
      </c>
      <c r="D115" s="154">
        <v>0</v>
      </c>
      <c r="E115" s="147">
        <v>20.399999999999999</v>
      </c>
      <c r="F115" s="147">
        <v>0</v>
      </c>
      <c r="G115" s="147">
        <v>0</v>
      </c>
      <c r="H115" s="147">
        <v>6.550198782961461</v>
      </c>
      <c r="I115" s="147">
        <v>11.919018216458852</v>
      </c>
      <c r="J115" s="151" t="s">
        <v>628</v>
      </c>
      <c r="K115" s="147" t="s">
        <v>625</v>
      </c>
      <c r="L115" s="147" t="s">
        <v>557</v>
      </c>
      <c r="M115" s="147">
        <v>18.98</v>
      </c>
      <c r="N115" s="148">
        <v>1226344.72</v>
      </c>
      <c r="O115" s="147">
        <v>0</v>
      </c>
      <c r="P115" s="147" t="s">
        <v>590</v>
      </c>
      <c r="Q115" s="147"/>
    </row>
    <row r="116" spans="1:17" ht="28.8" x14ac:dyDescent="0.3">
      <c r="A116" s="147"/>
      <c r="B116" s="147" t="s">
        <v>413</v>
      </c>
      <c r="C116" s="147" t="s">
        <v>463</v>
      </c>
      <c r="D116" s="154">
        <v>0</v>
      </c>
      <c r="E116" s="147">
        <v>8</v>
      </c>
      <c r="F116" s="147">
        <v>0</v>
      </c>
      <c r="G116" s="147">
        <v>0</v>
      </c>
      <c r="H116" s="147">
        <v>7.9476673427991882</v>
      </c>
      <c r="I116" s="147">
        <v>11.159773346034912</v>
      </c>
      <c r="J116" s="151" t="s">
        <v>596</v>
      </c>
      <c r="K116" s="147" t="s">
        <v>586</v>
      </c>
      <c r="L116" s="147" t="s">
        <v>501</v>
      </c>
      <c r="M116" s="147">
        <v>17.060000000000002</v>
      </c>
      <c r="N116" s="148">
        <v>1361040.38</v>
      </c>
      <c r="O116" s="147">
        <v>0</v>
      </c>
      <c r="P116" s="147" t="s">
        <v>590</v>
      </c>
      <c r="Q116" s="147"/>
    </row>
    <row r="117" spans="1:17" x14ac:dyDescent="0.3">
      <c r="A117" s="147"/>
      <c r="B117" s="147" t="s">
        <v>413</v>
      </c>
      <c r="C117" s="147" t="s">
        <v>464</v>
      </c>
      <c r="D117" s="154">
        <v>0</v>
      </c>
      <c r="E117" s="147">
        <v>11.899999999999999</v>
      </c>
      <c r="F117" s="147">
        <v>0</v>
      </c>
      <c r="G117" s="147">
        <v>0</v>
      </c>
      <c r="H117" s="147">
        <v>8.330904665314403</v>
      </c>
      <c r="I117" s="147">
        <v>12.275696935461347</v>
      </c>
      <c r="J117" s="151" t="s">
        <v>545</v>
      </c>
      <c r="K117" s="147" t="s">
        <v>585</v>
      </c>
      <c r="L117" s="147" t="s">
        <v>557</v>
      </c>
      <c r="M117" s="147">
        <v>5.8199999999999994</v>
      </c>
      <c r="N117" s="148">
        <v>687592.28</v>
      </c>
      <c r="O117" s="147">
        <v>0</v>
      </c>
      <c r="P117" s="147" t="s">
        <v>590</v>
      </c>
      <c r="Q117" s="147"/>
    </row>
    <row r="118" spans="1:17" x14ac:dyDescent="0.3">
      <c r="A118" s="147"/>
      <c r="B118" s="147" t="s">
        <v>413</v>
      </c>
      <c r="C118" s="147" t="s">
        <v>465</v>
      </c>
      <c r="D118" s="154">
        <v>0</v>
      </c>
      <c r="E118" s="147">
        <v>5.6000000000000005</v>
      </c>
      <c r="F118" s="147">
        <v>0</v>
      </c>
      <c r="G118" s="147">
        <v>0</v>
      </c>
      <c r="H118" s="147">
        <v>9.4977101419878309</v>
      </c>
      <c r="I118" s="147">
        <v>9.0273792145635916</v>
      </c>
      <c r="J118" s="151" t="s">
        <v>564</v>
      </c>
      <c r="K118" s="147" t="s">
        <v>621</v>
      </c>
      <c r="L118" s="147" t="s">
        <v>557</v>
      </c>
      <c r="M118" s="147">
        <v>14.74433</v>
      </c>
      <c r="N118" s="148">
        <v>1696633.02</v>
      </c>
      <c r="O118" s="147">
        <v>0</v>
      </c>
      <c r="P118" s="147" t="s">
        <v>590</v>
      </c>
      <c r="Q118" s="147"/>
    </row>
    <row r="119" spans="1:17" x14ac:dyDescent="0.3">
      <c r="A119" s="147"/>
      <c r="B119" s="147" t="s">
        <v>413</v>
      </c>
      <c r="C119" s="147" t="s">
        <v>285</v>
      </c>
      <c r="D119" s="154">
        <v>0</v>
      </c>
      <c r="E119" s="147">
        <v>11.899999999999999</v>
      </c>
      <c r="F119" s="147">
        <v>0</v>
      </c>
      <c r="G119" s="147">
        <v>0</v>
      </c>
      <c r="H119" s="147">
        <v>10.309049703853956</v>
      </c>
      <c r="I119" s="147">
        <v>11.960122712219452</v>
      </c>
      <c r="J119" s="151" t="s">
        <v>545</v>
      </c>
      <c r="K119" s="147" t="s">
        <v>588</v>
      </c>
      <c r="L119" s="147" t="s">
        <v>557</v>
      </c>
      <c r="M119" s="147">
        <v>8.7235200000000006</v>
      </c>
      <c r="N119" s="148">
        <v>1208231.6399999999</v>
      </c>
      <c r="O119" s="147">
        <v>0</v>
      </c>
      <c r="P119" s="147" t="s">
        <v>590</v>
      </c>
      <c r="Q119" s="147"/>
    </row>
    <row r="120" spans="1:17" ht="28.8" x14ac:dyDescent="0.3">
      <c r="A120" s="147"/>
      <c r="B120" s="147" t="s">
        <v>413</v>
      </c>
      <c r="C120" s="147" t="s">
        <v>286</v>
      </c>
      <c r="D120" s="154">
        <v>0</v>
      </c>
      <c r="E120" s="147">
        <v>6.4</v>
      </c>
      <c r="F120" s="147">
        <v>0</v>
      </c>
      <c r="G120" s="147">
        <v>0</v>
      </c>
      <c r="H120" s="147">
        <v>10.301087221095337</v>
      </c>
      <c r="I120" s="147">
        <v>12.498474166433915</v>
      </c>
      <c r="J120" s="151" t="s">
        <v>629</v>
      </c>
      <c r="K120" s="147" t="s">
        <v>630</v>
      </c>
      <c r="L120" s="147" t="s">
        <v>501</v>
      </c>
      <c r="M120" s="147">
        <v>8.68</v>
      </c>
      <c r="N120" s="148">
        <v>706787.31</v>
      </c>
      <c r="O120" s="147">
        <v>0</v>
      </c>
      <c r="P120" s="147" t="s">
        <v>590</v>
      </c>
      <c r="Q120" s="147"/>
    </row>
    <row r="121" spans="1:17" ht="28.8" x14ac:dyDescent="0.3">
      <c r="A121" s="147"/>
      <c r="B121" s="147" t="s">
        <v>413</v>
      </c>
      <c r="C121" s="147" t="s">
        <v>287</v>
      </c>
      <c r="D121" s="154">
        <v>0</v>
      </c>
      <c r="E121" s="147">
        <v>6.4</v>
      </c>
      <c r="F121" s="147">
        <v>0</v>
      </c>
      <c r="G121" s="147">
        <v>0</v>
      </c>
      <c r="H121" s="147">
        <v>10.849971602434076</v>
      </c>
      <c r="I121" s="147">
        <v>12.736873409226932</v>
      </c>
      <c r="J121" s="151" t="s">
        <v>629</v>
      </c>
      <c r="K121" s="147" t="s">
        <v>546</v>
      </c>
      <c r="L121" s="147" t="s">
        <v>501</v>
      </c>
      <c r="M121" s="147">
        <v>11.68</v>
      </c>
      <c r="N121" s="148">
        <v>865949.19</v>
      </c>
      <c r="O121" s="147">
        <v>0</v>
      </c>
      <c r="P121" s="147" t="s">
        <v>590</v>
      </c>
      <c r="Q121" s="147"/>
    </row>
    <row r="122" spans="1:17" ht="28.8" x14ac:dyDescent="0.3">
      <c r="A122" s="147"/>
      <c r="B122" s="147" t="s">
        <v>413</v>
      </c>
      <c r="C122" s="147" t="s">
        <v>288</v>
      </c>
      <c r="D122" s="154">
        <v>0</v>
      </c>
      <c r="E122" s="147">
        <v>6.4</v>
      </c>
      <c r="F122" s="147">
        <v>0</v>
      </c>
      <c r="G122" s="147">
        <v>0</v>
      </c>
      <c r="H122" s="147">
        <v>6.6183853955375263</v>
      </c>
      <c r="I122" s="147">
        <v>9.4333373480299265</v>
      </c>
      <c r="J122" s="151" t="s">
        <v>629</v>
      </c>
      <c r="K122" s="147" t="s">
        <v>546</v>
      </c>
      <c r="L122" s="147" t="s">
        <v>501</v>
      </c>
      <c r="M122" s="147">
        <v>4.18</v>
      </c>
      <c r="N122" s="148">
        <v>442687.64</v>
      </c>
      <c r="O122" s="147">
        <v>0</v>
      </c>
      <c r="P122" s="147" t="s">
        <v>590</v>
      </c>
      <c r="Q122" s="147"/>
    </row>
    <row r="123" spans="1:17" x14ac:dyDescent="0.3">
      <c r="A123" s="147"/>
      <c r="B123" s="147" t="s">
        <v>413</v>
      </c>
      <c r="C123" s="147" t="s">
        <v>289</v>
      </c>
      <c r="D123" s="154">
        <v>0</v>
      </c>
      <c r="E123" s="147">
        <v>11.899999999999999</v>
      </c>
      <c r="F123" s="147">
        <v>0</v>
      </c>
      <c r="G123" s="147">
        <v>0</v>
      </c>
      <c r="H123" s="147">
        <v>10.469411764705882</v>
      </c>
      <c r="I123" s="147">
        <v>12.390893360847882</v>
      </c>
      <c r="J123" s="151" t="s">
        <v>545</v>
      </c>
      <c r="K123" s="147" t="s">
        <v>566</v>
      </c>
      <c r="L123" s="147" t="s">
        <v>499</v>
      </c>
      <c r="M123" s="147">
        <v>9.6</v>
      </c>
      <c r="N123" s="148">
        <v>1018408.53</v>
      </c>
      <c r="O123" s="147">
        <v>0</v>
      </c>
      <c r="P123" s="147" t="s">
        <v>576</v>
      </c>
      <c r="Q123" s="147"/>
    </row>
    <row r="124" spans="1:17" x14ac:dyDescent="0.3">
      <c r="A124" s="147"/>
      <c r="B124" s="147" t="s">
        <v>413</v>
      </c>
      <c r="C124" s="147" t="s">
        <v>290</v>
      </c>
      <c r="D124" s="154">
        <v>0</v>
      </c>
      <c r="E124" s="147">
        <v>11.899999999999999</v>
      </c>
      <c r="F124" s="147">
        <v>0</v>
      </c>
      <c r="G124" s="147">
        <v>0</v>
      </c>
      <c r="H124" s="147">
        <v>10.458735963488845</v>
      </c>
      <c r="I124" s="147">
        <v>5.4890711900249389</v>
      </c>
      <c r="J124" s="151" t="s">
        <v>545</v>
      </c>
      <c r="K124" s="147" t="s">
        <v>566</v>
      </c>
      <c r="L124" s="147" t="s">
        <v>499</v>
      </c>
      <c r="M124" s="147">
        <v>9.5416500000000006</v>
      </c>
      <c r="N124" s="148">
        <v>2260520.41</v>
      </c>
      <c r="O124" s="147">
        <v>0</v>
      </c>
      <c r="P124" s="147" t="s">
        <v>576</v>
      </c>
      <c r="Q124" s="147"/>
    </row>
    <row r="125" spans="1:17" x14ac:dyDescent="0.3">
      <c r="A125" s="147"/>
      <c r="B125" s="147" t="s">
        <v>413</v>
      </c>
      <c r="C125" s="147" t="s">
        <v>291</v>
      </c>
      <c r="D125" s="154">
        <v>0</v>
      </c>
      <c r="E125" s="147">
        <v>11.899999999999999</v>
      </c>
      <c r="F125" s="147">
        <v>0</v>
      </c>
      <c r="G125" s="147">
        <v>0</v>
      </c>
      <c r="H125" s="147">
        <v>5.1564787018255585</v>
      </c>
      <c r="I125" s="147">
        <v>10.991686886184539</v>
      </c>
      <c r="J125" s="151" t="s">
        <v>545</v>
      </c>
      <c r="K125" s="147" t="s">
        <v>566</v>
      </c>
      <c r="L125" s="147" t="s">
        <v>499</v>
      </c>
      <c r="M125" s="147">
        <v>2.7800000000000002</v>
      </c>
      <c r="N125" s="148">
        <v>576958.84</v>
      </c>
      <c r="O125" s="147">
        <v>0</v>
      </c>
      <c r="P125" s="147" t="s">
        <v>576</v>
      </c>
      <c r="Q125" s="147"/>
    </row>
    <row r="126" spans="1:17" ht="28.8" x14ac:dyDescent="0.3">
      <c r="A126" s="147"/>
      <c r="B126" s="147" t="s">
        <v>413</v>
      </c>
      <c r="C126" s="147" t="s">
        <v>292</v>
      </c>
      <c r="D126" s="154">
        <v>0</v>
      </c>
      <c r="E126" s="147">
        <v>6.4</v>
      </c>
      <c r="F126" s="147">
        <v>0</v>
      </c>
      <c r="G126" s="147">
        <v>0</v>
      </c>
      <c r="H126" s="147">
        <v>9.9210414604462471</v>
      </c>
      <c r="I126" s="147">
        <v>10.195668931321697</v>
      </c>
      <c r="J126" s="151" t="s">
        <v>629</v>
      </c>
      <c r="K126" s="147" t="s">
        <v>578</v>
      </c>
      <c r="L126" s="147" t="s">
        <v>501</v>
      </c>
      <c r="M126" s="147">
        <v>7.3427999999999995</v>
      </c>
      <c r="N126" s="148">
        <v>508371.99</v>
      </c>
      <c r="O126" s="147">
        <v>0</v>
      </c>
      <c r="P126" s="147" t="s">
        <v>590</v>
      </c>
      <c r="Q126" s="147"/>
    </row>
    <row r="127" spans="1:17" ht="28.8" x14ac:dyDescent="0.3">
      <c r="A127" s="147"/>
      <c r="B127" s="147" t="s">
        <v>413</v>
      </c>
      <c r="C127" s="147" t="s">
        <v>293</v>
      </c>
      <c r="D127" s="154">
        <v>0</v>
      </c>
      <c r="E127" s="147">
        <v>6.4</v>
      </c>
      <c r="F127" s="147">
        <v>0</v>
      </c>
      <c r="G127" s="147">
        <v>0</v>
      </c>
      <c r="H127" s="147">
        <v>9.768356997971603</v>
      </c>
      <c r="I127" s="147">
        <v>12.732165713715712</v>
      </c>
      <c r="J127" s="151" t="s">
        <v>629</v>
      </c>
      <c r="K127" s="147" t="s">
        <v>552</v>
      </c>
      <c r="L127" s="147" t="s">
        <v>499</v>
      </c>
      <c r="M127" s="147">
        <v>14.34</v>
      </c>
      <c r="N127" s="148">
        <v>868023.68</v>
      </c>
      <c r="O127" s="147">
        <v>0</v>
      </c>
      <c r="P127" s="147" t="s">
        <v>590</v>
      </c>
      <c r="Q127" s="147"/>
    </row>
    <row r="128" spans="1:17" ht="28.8" x14ac:dyDescent="0.3">
      <c r="A128" s="147"/>
      <c r="B128" s="147" t="s">
        <v>413</v>
      </c>
      <c r="C128" s="147" t="s">
        <v>294</v>
      </c>
      <c r="D128" s="154">
        <v>0</v>
      </c>
      <c r="E128" s="147">
        <v>8</v>
      </c>
      <c r="F128" s="147">
        <v>0</v>
      </c>
      <c r="G128" s="147">
        <v>0</v>
      </c>
      <c r="H128" s="147">
        <v>10.355975659229211</v>
      </c>
      <c r="I128" s="147">
        <v>11.773212099351621</v>
      </c>
      <c r="J128" s="151" t="s">
        <v>596</v>
      </c>
      <c r="K128" s="147" t="s">
        <v>578</v>
      </c>
      <c r="L128" s="147" t="s">
        <v>501</v>
      </c>
      <c r="M128" s="147">
        <v>8.98</v>
      </c>
      <c r="N128" s="148">
        <v>644296.95999999996</v>
      </c>
      <c r="O128" s="147">
        <v>0</v>
      </c>
      <c r="P128" s="147" t="s">
        <v>590</v>
      </c>
      <c r="Q128" s="147"/>
    </row>
    <row r="129" spans="1:17" ht="28.8" x14ac:dyDescent="0.3">
      <c r="A129" s="147"/>
      <c r="B129" s="147" t="s">
        <v>413</v>
      </c>
      <c r="C129" s="147" t="s">
        <v>295</v>
      </c>
      <c r="D129" s="154">
        <v>0</v>
      </c>
      <c r="E129" s="147">
        <v>8</v>
      </c>
      <c r="F129" s="147">
        <v>0</v>
      </c>
      <c r="G129" s="147">
        <v>0</v>
      </c>
      <c r="H129" s="147">
        <v>5.1888066531440176</v>
      </c>
      <c r="I129" s="147">
        <v>11.273975341446384</v>
      </c>
      <c r="J129" s="151" t="s">
        <v>596</v>
      </c>
      <c r="K129" s="147" t="s">
        <v>553</v>
      </c>
      <c r="L129" s="147" t="s">
        <v>499</v>
      </c>
      <c r="M129" s="147">
        <v>20.806799999999999</v>
      </c>
      <c r="N129" s="148">
        <v>1343067.46</v>
      </c>
      <c r="O129" s="147">
        <v>0</v>
      </c>
      <c r="P129" s="147" t="s">
        <v>590</v>
      </c>
      <c r="Q129" s="147"/>
    </row>
    <row r="130" spans="1:17" x14ac:dyDescent="0.3">
      <c r="A130" s="147"/>
      <c r="B130" s="147" t="s">
        <v>413</v>
      </c>
      <c r="C130" s="147" t="s">
        <v>466</v>
      </c>
      <c r="D130" s="154">
        <v>0</v>
      </c>
      <c r="E130" s="147">
        <v>11.899999999999999</v>
      </c>
      <c r="F130" s="147">
        <v>0</v>
      </c>
      <c r="G130" s="147">
        <v>0</v>
      </c>
      <c r="H130" s="147">
        <v>10.945111561866126</v>
      </c>
      <c r="I130" s="147">
        <v>12.839840191920199</v>
      </c>
      <c r="J130" s="151" t="s">
        <v>545</v>
      </c>
      <c r="K130" s="147" t="s">
        <v>631</v>
      </c>
      <c r="L130" s="147" t="s">
        <v>501</v>
      </c>
      <c r="M130" s="147">
        <v>12.2</v>
      </c>
      <c r="N130" s="148">
        <v>736200.24</v>
      </c>
      <c r="O130" s="147">
        <v>0</v>
      </c>
      <c r="P130" s="147" t="s">
        <v>590</v>
      </c>
      <c r="Q130" s="147"/>
    </row>
    <row r="131" spans="1:17" x14ac:dyDescent="0.3">
      <c r="A131" s="147"/>
      <c r="B131" s="147" t="s">
        <v>413</v>
      </c>
      <c r="C131" s="147" t="s">
        <v>296</v>
      </c>
      <c r="D131" s="154">
        <v>0</v>
      </c>
      <c r="E131" s="147">
        <v>11.899999999999999</v>
      </c>
      <c r="F131" s="147">
        <v>0</v>
      </c>
      <c r="G131" s="147">
        <v>0</v>
      </c>
      <c r="H131" s="147">
        <v>5.4906288032454365</v>
      </c>
      <c r="I131" s="147">
        <v>12.966306989027432</v>
      </c>
      <c r="J131" s="151" t="s">
        <v>545</v>
      </c>
      <c r="K131" s="147" t="s">
        <v>631</v>
      </c>
      <c r="L131" s="147" t="s">
        <v>501</v>
      </c>
      <c r="M131" s="147">
        <v>3.0999999999999996</v>
      </c>
      <c r="N131" s="148">
        <v>764847.14</v>
      </c>
      <c r="O131" s="147">
        <v>0</v>
      </c>
      <c r="P131" s="147" t="s">
        <v>590</v>
      </c>
      <c r="Q131" s="147"/>
    </row>
    <row r="132" spans="1:17" x14ac:dyDescent="0.3">
      <c r="A132" s="147"/>
      <c r="B132" s="147" t="s">
        <v>413</v>
      </c>
      <c r="C132" s="147" t="s">
        <v>297</v>
      </c>
      <c r="D132" s="154">
        <v>0</v>
      </c>
      <c r="E132" s="147">
        <v>5.6000000000000005</v>
      </c>
      <c r="F132" s="147">
        <v>19.725353544567543</v>
      </c>
      <c r="G132" s="147">
        <v>0</v>
      </c>
      <c r="H132" s="147">
        <v>3.0198458417849907</v>
      </c>
      <c r="I132" s="147">
        <v>1.5513003208977558</v>
      </c>
      <c r="J132" s="151" t="s">
        <v>564</v>
      </c>
      <c r="K132" s="147" t="s">
        <v>632</v>
      </c>
      <c r="L132" s="147" t="s">
        <v>499</v>
      </c>
      <c r="M132" s="147">
        <v>24.919999999999998</v>
      </c>
      <c r="N132" s="148">
        <v>4112441.13</v>
      </c>
      <c r="O132" s="147">
        <v>0</v>
      </c>
      <c r="P132" s="147" t="s">
        <v>590</v>
      </c>
      <c r="Q132" s="147"/>
    </row>
    <row r="133" spans="1:17" ht="28.8" x14ac:dyDescent="0.3">
      <c r="A133" s="147"/>
      <c r="B133" s="147" t="s">
        <v>413</v>
      </c>
      <c r="C133" s="147" t="s">
        <v>298</v>
      </c>
      <c r="D133" s="154">
        <v>0</v>
      </c>
      <c r="E133" s="147">
        <v>8</v>
      </c>
      <c r="F133" s="147">
        <v>4.3825292001081184</v>
      </c>
      <c r="G133" s="147">
        <v>0</v>
      </c>
      <c r="H133" s="147">
        <v>9.3710517241379296</v>
      </c>
      <c r="I133" s="147">
        <v>9.8417712922693266</v>
      </c>
      <c r="J133" s="151" t="s">
        <v>596</v>
      </c>
      <c r="K133" s="147" t="s">
        <v>633</v>
      </c>
      <c r="L133" s="147" t="s">
        <v>499</v>
      </c>
      <c r="M133" s="147">
        <v>14.93355</v>
      </c>
      <c r="N133" s="148">
        <v>1568465.35</v>
      </c>
      <c r="O133" s="147">
        <v>0</v>
      </c>
      <c r="P133" s="147" t="s">
        <v>590</v>
      </c>
      <c r="Q133" s="147"/>
    </row>
    <row r="134" spans="1:17" x14ac:dyDescent="0.3">
      <c r="A134" s="147"/>
      <c r="B134" s="147" t="s">
        <v>413</v>
      </c>
      <c r="C134" s="147" t="s">
        <v>299</v>
      </c>
      <c r="D134" s="154">
        <v>0</v>
      </c>
      <c r="E134" s="147">
        <v>30.999999999999996</v>
      </c>
      <c r="F134" s="147">
        <v>35.038655039409448</v>
      </c>
      <c r="G134" s="147">
        <v>0</v>
      </c>
      <c r="H134" s="147">
        <v>10.69682554158215</v>
      </c>
      <c r="I134" s="147">
        <v>11.960310748628428</v>
      </c>
      <c r="J134" s="151" t="s">
        <v>498</v>
      </c>
      <c r="K134" s="147" t="s">
        <v>559</v>
      </c>
      <c r="L134" s="147" t="s">
        <v>560</v>
      </c>
      <c r="M134" s="147">
        <v>10.84296</v>
      </c>
      <c r="N134" s="148">
        <v>1208148.78</v>
      </c>
      <c r="O134" s="147">
        <v>0</v>
      </c>
      <c r="P134" s="147" t="s">
        <v>590</v>
      </c>
      <c r="Q134" s="147"/>
    </row>
    <row r="135" spans="1:17" x14ac:dyDescent="0.3">
      <c r="A135" s="147"/>
      <c r="B135" s="147" t="s">
        <v>413</v>
      </c>
      <c r="C135" s="147" t="s">
        <v>300</v>
      </c>
      <c r="D135" s="154">
        <v>0</v>
      </c>
      <c r="E135" s="147">
        <v>5.6000000000000005</v>
      </c>
      <c r="F135" s="147">
        <v>0</v>
      </c>
      <c r="G135" s="147">
        <v>0</v>
      </c>
      <c r="H135" s="147">
        <v>9.5006085192697771</v>
      </c>
      <c r="I135" s="147">
        <v>10.622759534763093</v>
      </c>
      <c r="J135" s="151" t="s">
        <v>564</v>
      </c>
      <c r="K135" s="147" t="s">
        <v>623</v>
      </c>
      <c r="L135" s="147" t="s">
        <v>499</v>
      </c>
      <c r="M135" s="147">
        <v>14.74</v>
      </c>
      <c r="N135" s="148">
        <v>1445554.72</v>
      </c>
      <c r="O135" s="147">
        <v>0</v>
      </c>
      <c r="P135" s="147" t="s">
        <v>590</v>
      </c>
      <c r="Q135" s="147"/>
    </row>
    <row r="136" spans="1:17" ht="28.8" x14ac:dyDescent="0.3">
      <c r="A136" s="147"/>
      <c r="B136" s="147" t="s">
        <v>413</v>
      </c>
      <c r="C136" s="147" t="s">
        <v>301</v>
      </c>
      <c r="D136" s="154">
        <v>0</v>
      </c>
      <c r="E136" s="147">
        <v>8</v>
      </c>
      <c r="F136" s="147">
        <v>11.159458702071952</v>
      </c>
      <c r="G136" s="147">
        <v>0</v>
      </c>
      <c r="H136" s="147">
        <v>7.8868616632860036</v>
      </c>
      <c r="I136" s="147">
        <v>9.2113907548129674</v>
      </c>
      <c r="J136" s="151" t="s">
        <v>596</v>
      </c>
      <c r="K136" s="147" t="s">
        <v>592</v>
      </c>
      <c r="L136" s="147" t="s">
        <v>501</v>
      </c>
      <c r="M136" s="147">
        <v>17.150840000000002</v>
      </c>
      <c r="N136" s="148">
        <v>1667673.59</v>
      </c>
      <c r="O136" s="147">
        <v>0</v>
      </c>
      <c r="P136" s="147" t="s">
        <v>590</v>
      </c>
      <c r="Q136" s="147"/>
    </row>
    <row r="137" spans="1:17" ht="28.8" x14ac:dyDescent="0.3">
      <c r="A137" s="147"/>
      <c r="B137" s="147" t="s">
        <v>413</v>
      </c>
      <c r="C137" s="147" t="s">
        <v>302</v>
      </c>
      <c r="D137" s="154">
        <v>0</v>
      </c>
      <c r="E137" s="147">
        <v>8</v>
      </c>
      <c r="F137" s="147">
        <v>25.345313598999436</v>
      </c>
      <c r="G137" s="147">
        <v>0</v>
      </c>
      <c r="H137" s="147">
        <v>3.6495902636916844</v>
      </c>
      <c r="I137" s="147">
        <v>5.8848783782044904</v>
      </c>
      <c r="J137" s="151" t="s">
        <v>596</v>
      </c>
      <c r="K137" s="147" t="s">
        <v>634</v>
      </c>
      <c r="L137" s="147" t="s">
        <v>338</v>
      </c>
      <c r="M137" s="147">
        <v>23.24</v>
      </c>
      <c r="N137" s="148">
        <v>2195742.9700000002</v>
      </c>
      <c r="O137" s="147">
        <v>0</v>
      </c>
      <c r="P137" s="147" t="s">
        <v>590</v>
      </c>
      <c r="Q137" s="147"/>
    </row>
    <row r="138" spans="1:17" x14ac:dyDescent="0.3">
      <c r="A138" s="147"/>
      <c r="B138" s="147" t="s">
        <v>413</v>
      </c>
      <c r="C138" s="147" t="s">
        <v>467</v>
      </c>
      <c r="D138" s="154">
        <v>0</v>
      </c>
      <c r="E138" s="147">
        <v>14.3</v>
      </c>
      <c r="F138" s="147">
        <v>0</v>
      </c>
      <c r="G138" s="147">
        <v>0</v>
      </c>
      <c r="H138" s="147">
        <v>6.9077617038539563</v>
      </c>
      <c r="I138" s="147">
        <v>2.8604430348129677</v>
      </c>
      <c r="J138" s="151" t="s">
        <v>548</v>
      </c>
      <c r="K138" s="147" t="s">
        <v>621</v>
      </c>
      <c r="L138" s="147" t="s">
        <v>557</v>
      </c>
      <c r="M138" s="147">
        <v>18.5002</v>
      </c>
      <c r="N138" s="148">
        <v>2836447.94</v>
      </c>
      <c r="O138" s="147">
        <v>0</v>
      </c>
      <c r="P138" s="147" t="s">
        <v>576</v>
      </c>
      <c r="Q138" s="147"/>
    </row>
    <row r="139" spans="1:17" ht="28.8" x14ac:dyDescent="0.3">
      <c r="A139" s="147"/>
      <c r="B139" s="147" t="s">
        <v>413</v>
      </c>
      <c r="C139" s="147" t="s">
        <v>468</v>
      </c>
      <c r="D139" s="154">
        <v>0</v>
      </c>
      <c r="E139" s="147">
        <v>13.4</v>
      </c>
      <c r="F139" s="147">
        <v>0</v>
      </c>
      <c r="G139" s="147">
        <v>0</v>
      </c>
      <c r="H139" s="147">
        <v>10.621348450304261</v>
      </c>
      <c r="I139" s="147">
        <v>12.408496709476308</v>
      </c>
      <c r="J139" s="151" t="s">
        <v>609</v>
      </c>
      <c r="K139" s="147" t="s">
        <v>635</v>
      </c>
      <c r="L139" s="147" t="s">
        <v>499</v>
      </c>
      <c r="M139" s="147">
        <v>10.430429999999999</v>
      </c>
      <c r="N139" s="148">
        <v>1010651.45</v>
      </c>
      <c r="O139" s="147">
        <v>0</v>
      </c>
      <c r="P139" s="147" t="s">
        <v>576</v>
      </c>
      <c r="Q139" s="147"/>
    </row>
    <row r="140" spans="1:17" x14ac:dyDescent="0.3">
      <c r="A140" s="147"/>
      <c r="B140" s="147" t="s">
        <v>413</v>
      </c>
      <c r="C140" s="147" t="s">
        <v>303</v>
      </c>
      <c r="D140" s="154">
        <v>0</v>
      </c>
      <c r="E140" s="147">
        <v>14.3</v>
      </c>
      <c r="F140" s="147">
        <v>0</v>
      </c>
      <c r="G140" s="147">
        <v>0</v>
      </c>
      <c r="H140" s="147">
        <v>10.228473476673429</v>
      </c>
      <c r="I140" s="147">
        <v>12.296772355860348</v>
      </c>
      <c r="J140" s="151" t="s">
        <v>548</v>
      </c>
      <c r="K140" s="147" t="s">
        <v>636</v>
      </c>
      <c r="L140" s="147" t="s">
        <v>499</v>
      </c>
      <c r="M140" s="147">
        <v>8.2831200000000003</v>
      </c>
      <c r="N140" s="148">
        <v>1059883.83</v>
      </c>
      <c r="O140" s="147">
        <v>0</v>
      </c>
      <c r="P140" s="147" t="s">
        <v>576</v>
      </c>
      <c r="Q140" s="147"/>
    </row>
    <row r="141" spans="1:17" x14ac:dyDescent="0.3">
      <c r="A141" s="147"/>
      <c r="B141" s="147" t="s">
        <v>413</v>
      </c>
      <c r="C141" s="147" t="s">
        <v>304</v>
      </c>
      <c r="D141" s="154">
        <v>0</v>
      </c>
      <c r="E141" s="147">
        <v>11</v>
      </c>
      <c r="F141" s="147">
        <v>0</v>
      </c>
      <c r="G141" s="147">
        <v>0</v>
      </c>
      <c r="H141" s="147">
        <v>10.498685598377284</v>
      </c>
      <c r="I141" s="147">
        <v>12.318561000997507</v>
      </c>
      <c r="J141" s="151" t="s">
        <v>594</v>
      </c>
      <c r="K141" s="147" t="s">
        <v>611</v>
      </c>
      <c r="L141" s="147" t="s">
        <v>338</v>
      </c>
      <c r="M141" s="147">
        <v>9.76</v>
      </c>
      <c r="N141" s="148">
        <v>1050282.46</v>
      </c>
      <c r="O141" s="147">
        <v>0</v>
      </c>
      <c r="P141" s="147" t="s">
        <v>576</v>
      </c>
      <c r="Q141" s="147"/>
    </row>
    <row r="142" spans="1:17" x14ac:dyDescent="0.3">
      <c r="A142" s="147"/>
      <c r="B142" s="147" t="s">
        <v>413</v>
      </c>
      <c r="C142" s="147" t="s">
        <v>469</v>
      </c>
      <c r="D142" s="154">
        <v>0</v>
      </c>
      <c r="E142" s="147">
        <v>11.899999999999999</v>
      </c>
      <c r="F142" s="147">
        <v>0</v>
      </c>
      <c r="G142" s="147">
        <v>0</v>
      </c>
      <c r="H142" s="147">
        <v>10.832535375253549</v>
      </c>
      <c r="I142" s="147">
        <v>11.929114655112219</v>
      </c>
      <c r="J142" s="151" t="s">
        <v>545</v>
      </c>
      <c r="K142" s="147" t="s">
        <v>600</v>
      </c>
      <c r="L142" s="147" t="s">
        <v>501</v>
      </c>
      <c r="M142" s="147">
        <v>11.5847</v>
      </c>
      <c r="N142" s="148">
        <v>1221895.6299999999</v>
      </c>
      <c r="O142" s="147">
        <v>0</v>
      </c>
      <c r="P142" s="147" t="s">
        <v>576</v>
      </c>
      <c r="Q142" s="147"/>
    </row>
    <row r="143" spans="1:17" ht="28.8" x14ac:dyDescent="0.3">
      <c r="A143" s="147"/>
      <c r="B143" s="147" t="s">
        <v>413</v>
      </c>
      <c r="C143" s="147" t="s">
        <v>470</v>
      </c>
      <c r="D143" s="154">
        <v>0</v>
      </c>
      <c r="E143" s="147">
        <v>8</v>
      </c>
      <c r="F143" s="147">
        <v>0</v>
      </c>
      <c r="G143" s="147">
        <v>0</v>
      </c>
      <c r="H143" s="147">
        <v>8.8321298174442209</v>
      </c>
      <c r="I143" s="147">
        <v>12.965828138403991</v>
      </c>
      <c r="J143" s="151" t="s">
        <v>596</v>
      </c>
      <c r="K143" s="147" t="s">
        <v>637</v>
      </c>
      <c r="L143" s="147" t="s">
        <v>557</v>
      </c>
      <c r="M143" s="147">
        <v>6.3</v>
      </c>
      <c r="N143" s="148">
        <v>765058.15</v>
      </c>
      <c r="O143" s="147">
        <v>0</v>
      </c>
      <c r="P143" s="147" t="s">
        <v>576</v>
      </c>
      <c r="Q143" s="147"/>
    </row>
    <row r="144" spans="1:17" ht="28.8" x14ac:dyDescent="0.3">
      <c r="A144" s="147"/>
      <c r="B144" s="147" t="s">
        <v>413</v>
      </c>
      <c r="C144" s="147" t="s">
        <v>471</v>
      </c>
      <c r="D144" s="154">
        <v>0</v>
      </c>
      <c r="E144" s="147">
        <v>8</v>
      </c>
      <c r="F144" s="147">
        <v>25.345313598999436</v>
      </c>
      <c r="G144" s="147">
        <v>0</v>
      </c>
      <c r="H144" s="147">
        <v>8.9903707748478698</v>
      </c>
      <c r="I144" s="147">
        <v>12.956776452369077</v>
      </c>
      <c r="J144" s="151" t="s">
        <v>596</v>
      </c>
      <c r="K144" s="147" t="s">
        <v>634</v>
      </c>
      <c r="L144" s="147" t="s">
        <v>338</v>
      </c>
      <c r="M144" s="147">
        <v>6.4515399999999996</v>
      </c>
      <c r="N144" s="148">
        <v>769046.86</v>
      </c>
      <c r="O144" s="147">
        <v>0</v>
      </c>
      <c r="P144" s="147" t="s">
        <v>576</v>
      </c>
      <c r="Q144" s="147"/>
    </row>
    <row r="145" spans="1:17" ht="28.8" x14ac:dyDescent="0.3">
      <c r="A145" s="147"/>
      <c r="B145" s="147" t="s">
        <v>413</v>
      </c>
      <c r="C145" s="147" t="s">
        <v>472</v>
      </c>
      <c r="D145" s="154">
        <v>0</v>
      </c>
      <c r="E145" s="147">
        <v>8</v>
      </c>
      <c r="F145" s="147">
        <v>25.345313598999436</v>
      </c>
      <c r="G145" s="147">
        <v>0</v>
      </c>
      <c r="H145" s="147">
        <v>7.3696423772819468</v>
      </c>
      <c r="I145" s="147">
        <v>7.8451267774563602</v>
      </c>
      <c r="J145" s="151" t="s">
        <v>596</v>
      </c>
      <c r="K145" s="147" t="s">
        <v>634</v>
      </c>
      <c r="L145" s="147" t="s">
        <v>338</v>
      </c>
      <c r="M145" s="147">
        <v>17.880420000000001</v>
      </c>
      <c r="N145" s="148">
        <v>1884061.92</v>
      </c>
      <c r="O145" s="147">
        <v>0</v>
      </c>
      <c r="P145" s="147" t="s">
        <v>576</v>
      </c>
      <c r="Q145" s="147"/>
    </row>
    <row r="146" spans="1:17" ht="28.8" x14ac:dyDescent="0.3">
      <c r="A146" s="147"/>
      <c r="B146" s="147" t="s">
        <v>413</v>
      </c>
      <c r="C146" s="147" t="s">
        <v>473</v>
      </c>
      <c r="D146" s="154">
        <v>0</v>
      </c>
      <c r="E146" s="147">
        <v>8</v>
      </c>
      <c r="F146" s="147">
        <v>23.355912243908801</v>
      </c>
      <c r="G146" s="147">
        <v>0</v>
      </c>
      <c r="H146" s="147">
        <v>10.707261663286005</v>
      </c>
      <c r="I146" s="147">
        <v>12.722549146882793</v>
      </c>
      <c r="J146" s="151" t="s">
        <v>596</v>
      </c>
      <c r="K146" s="147" t="s">
        <v>595</v>
      </c>
      <c r="L146" s="147" t="s">
        <v>499</v>
      </c>
      <c r="M146" s="147">
        <v>10.9</v>
      </c>
      <c r="N146" s="148">
        <v>872261.31</v>
      </c>
      <c r="O146" s="147">
        <v>0</v>
      </c>
      <c r="P146" s="147" t="s">
        <v>576</v>
      </c>
      <c r="Q146" s="147"/>
    </row>
    <row r="147" spans="1:17" ht="28.8" x14ac:dyDescent="0.3">
      <c r="A147" s="147"/>
      <c r="B147" s="147" t="s">
        <v>413</v>
      </c>
      <c r="C147" s="147" t="s">
        <v>474</v>
      </c>
      <c r="D147" s="154">
        <v>0</v>
      </c>
      <c r="E147" s="147">
        <v>8</v>
      </c>
      <c r="F147" s="147">
        <v>23.355912243908801</v>
      </c>
      <c r="G147" s="147">
        <v>0</v>
      </c>
      <c r="H147" s="147">
        <v>6.6183853955375263</v>
      </c>
      <c r="I147" s="147">
        <v>10.19153116553616</v>
      </c>
      <c r="J147" s="151" t="s">
        <v>596</v>
      </c>
      <c r="K147" s="147" t="s">
        <v>595</v>
      </c>
      <c r="L147" s="147" t="s">
        <v>499</v>
      </c>
      <c r="M147" s="147">
        <v>4.18</v>
      </c>
      <c r="N147" s="148">
        <v>508015.47</v>
      </c>
      <c r="O147" s="147">
        <v>0</v>
      </c>
      <c r="P147" s="147" t="s">
        <v>576</v>
      </c>
      <c r="Q147" s="147"/>
    </row>
    <row r="148" spans="1:17" x14ac:dyDescent="0.3">
      <c r="A148" s="147"/>
      <c r="B148" s="147" t="s">
        <v>413</v>
      </c>
      <c r="C148" s="147" t="s">
        <v>475</v>
      </c>
      <c r="D148" s="154">
        <v>0</v>
      </c>
      <c r="E148" s="147">
        <v>11.899999999999999</v>
      </c>
      <c r="F148" s="147">
        <v>0</v>
      </c>
      <c r="G148" s="147">
        <v>0</v>
      </c>
      <c r="H148" s="147">
        <v>6.4777024908722129</v>
      </c>
      <c r="I148" s="147">
        <v>3.856587080299251</v>
      </c>
      <c r="J148" s="151" t="s">
        <v>545</v>
      </c>
      <c r="K148" s="147" t="s">
        <v>604</v>
      </c>
      <c r="L148" s="147" t="s">
        <v>338</v>
      </c>
      <c r="M148" s="147">
        <v>19.077279999999998</v>
      </c>
      <c r="N148" s="148">
        <v>2575244.5099999998</v>
      </c>
      <c r="O148" s="147">
        <v>0</v>
      </c>
      <c r="P148" s="147" t="s">
        <v>576</v>
      </c>
      <c r="Q148" s="147"/>
    </row>
    <row r="149" spans="1:17" ht="28.8" x14ac:dyDescent="0.3">
      <c r="A149" s="147"/>
      <c r="B149" s="147" t="s">
        <v>413</v>
      </c>
      <c r="C149" s="147" t="s">
        <v>476</v>
      </c>
      <c r="D149" s="154">
        <v>0</v>
      </c>
      <c r="E149" s="147">
        <v>22</v>
      </c>
      <c r="F149" s="147">
        <v>0</v>
      </c>
      <c r="G149" s="147">
        <v>0</v>
      </c>
      <c r="H149" s="147">
        <v>10.524300202839758</v>
      </c>
      <c r="I149" s="147">
        <v>8.1278793923690777</v>
      </c>
      <c r="J149" s="151" t="s">
        <v>554</v>
      </c>
      <c r="K149" s="147" t="s">
        <v>604</v>
      </c>
      <c r="L149" s="147" t="s">
        <v>338</v>
      </c>
      <c r="M149" s="147">
        <v>9.9</v>
      </c>
      <c r="N149" s="148">
        <v>1839104.03</v>
      </c>
      <c r="O149" s="147">
        <v>0</v>
      </c>
      <c r="P149" s="147" t="s">
        <v>576</v>
      </c>
      <c r="Q149" s="147"/>
    </row>
    <row r="150" spans="1:17" x14ac:dyDescent="0.3">
      <c r="A150" s="147"/>
      <c r="B150" s="147" t="s">
        <v>413</v>
      </c>
      <c r="C150" s="147" t="s">
        <v>305</v>
      </c>
      <c r="D150" s="154">
        <v>0</v>
      </c>
      <c r="E150" s="147">
        <v>11.899999999999999</v>
      </c>
      <c r="F150" s="147">
        <v>0</v>
      </c>
      <c r="G150" s="147">
        <v>0</v>
      </c>
      <c r="H150" s="147">
        <v>10.374271805273835</v>
      </c>
      <c r="I150" s="147">
        <v>6.1471546172568594</v>
      </c>
      <c r="J150" s="151" t="s">
        <v>545</v>
      </c>
      <c r="K150" s="147" t="s">
        <v>567</v>
      </c>
      <c r="L150" s="147" t="s">
        <v>568</v>
      </c>
      <c r="M150" s="147">
        <v>9.08</v>
      </c>
      <c r="N150" s="148">
        <v>2154040.84</v>
      </c>
      <c r="O150" s="147">
        <v>0</v>
      </c>
      <c r="P150" s="147" t="s">
        <v>576</v>
      </c>
      <c r="Q150" s="147"/>
    </row>
    <row r="151" spans="1:17" x14ac:dyDescent="0.3">
      <c r="A151" s="147"/>
      <c r="B151" s="147" t="s">
        <v>413</v>
      </c>
      <c r="C151" s="147" t="s">
        <v>306</v>
      </c>
      <c r="D151" s="154">
        <v>0</v>
      </c>
      <c r="E151" s="147">
        <v>11.899999999999999</v>
      </c>
      <c r="F151" s="147">
        <v>0</v>
      </c>
      <c r="G151" s="147">
        <v>0</v>
      </c>
      <c r="H151" s="147">
        <v>2.1705590198782967</v>
      </c>
      <c r="I151" s="147">
        <v>2.6554128183541148</v>
      </c>
      <c r="J151" s="151" t="s">
        <v>545</v>
      </c>
      <c r="K151" s="147" t="s">
        <v>614</v>
      </c>
      <c r="L151" s="147" t="s">
        <v>499</v>
      </c>
      <c r="M151" s="147">
        <v>27.185683999999998</v>
      </c>
      <c r="N151" s="148">
        <v>3034085.24</v>
      </c>
      <c r="O151" s="147">
        <v>0</v>
      </c>
      <c r="P151" s="147" t="s">
        <v>576</v>
      </c>
      <c r="Q151" s="147"/>
    </row>
    <row r="152" spans="1:17" x14ac:dyDescent="0.3">
      <c r="A152" s="147"/>
      <c r="B152" s="147" t="s">
        <v>413</v>
      </c>
      <c r="C152" s="147" t="s">
        <v>307</v>
      </c>
      <c r="D152" s="154">
        <v>0</v>
      </c>
      <c r="E152" s="147">
        <v>11.899999999999999</v>
      </c>
      <c r="F152" s="147">
        <v>0</v>
      </c>
      <c r="G152" s="147">
        <v>0</v>
      </c>
      <c r="H152" s="147">
        <v>10.465752535496957</v>
      </c>
      <c r="I152" s="147">
        <v>11.968264239401496</v>
      </c>
      <c r="J152" s="151" t="s">
        <v>545</v>
      </c>
      <c r="K152" s="147" t="s">
        <v>566</v>
      </c>
      <c r="L152" s="147" t="s">
        <v>499</v>
      </c>
      <c r="M152" s="147">
        <v>9.58</v>
      </c>
      <c r="N152" s="148">
        <v>1204644</v>
      </c>
      <c r="O152" s="147">
        <v>0</v>
      </c>
      <c r="P152" s="147" t="s">
        <v>576</v>
      </c>
      <c r="Q152" s="147"/>
    </row>
    <row r="153" spans="1:17" x14ac:dyDescent="0.3">
      <c r="A153" s="147"/>
      <c r="B153" s="147" t="s">
        <v>413</v>
      </c>
      <c r="C153" s="147" t="s">
        <v>308</v>
      </c>
      <c r="D153" s="154">
        <v>0</v>
      </c>
      <c r="E153" s="147">
        <v>11.899999999999999</v>
      </c>
      <c r="F153" s="147">
        <v>0</v>
      </c>
      <c r="G153" s="147">
        <v>0</v>
      </c>
      <c r="H153" s="147">
        <v>4.7748668356997976</v>
      </c>
      <c r="I153" s="147">
        <v>1.8954614391022442</v>
      </c>
      <c r="J153" s="151" t="s">
        <v>545</v>
      </c>
      <c r="K153" s="147" t="s">
        <v>623</v>
      </c>
      <c r="L153" s="147" t="s">
        <v>499</v>
      </c>
      <c r="M153" s="147">
        <v>21.36225</v>
      </c>
      <c r="N153" s="148">
        <v>3736244.26</v>
      </c>
      <c r="O153" s="147">
        <v>0</v>
      </c>
      <c r="P153" s="147" t="s">
        <v>576</v>
      </c>
      <c r="Q153" s="147"/>
    </row>
    <row r="154" spans="1:17" ht="28.8" x14ac:dyDescent="0.3">
      <c r="A154" s="147"/>
      <c r="B154" s="147" t="s">
        <v>413</v>
      </c>
      <c r="C154" s="147" t="s">
        <v>309</v>
      </c>
      <c r="D154" s="154">
        <v>0</v>
      </c>
      <c r="E154" s="147">
        <v>22</v>
      </c>
      <c r="F154" s="147">
        <v>0</v>
      </c>
      <c r="G154" s="147">
        <v>0</v>
      </c>
      <c r="H154" s="147">
        <v>10.513322515212984</v>
      </c>
      <c r="I154" s="147">
        <v>11.837630113017457</v>
      </c>
      <c r="J154" s="151" t="s">
        <v>554</v>
      </c>
      <c r="K154" s="147" t="s">
        <v>638</v>
      </c>
      <c r="L154" s="147" t="s">
        <v>338</v>
      </c>
      <c r="M154" s="147">
        <v>9.84</v>
      </c>
      <c r="N154" s="148">
        <v>1254360.4099999999</v>
      </c>
      <c r="O154" s="147">
        <v>0</v>
      </c>
      <c r="P154" s="147" t="s">
        <v>576</v>
      </c>
      <c r="Q154" s="147"/>
    </row>
    <row r="155" spans="1:17" x14ac:dyDescent="0.3">
      <c r="A155" s="147"/>
      <c r="B155" s="147" t="s">
        <v>413</v>
      </c>
      <c r="C155" s="147" t="s">
        <v>477</v>
      </c>
      <c r="D155" s="154">
        <v>0</v>
      </c>
      <c r="E155" s="147">
        <v>11.899999999999999</v>
      </c>
      <c r="F155" s="147">
        <v>35.149847633383388</v>
      </c>
      <c r="G155" s="147">
        <v>0</v>
      </c>
      <c r="H155" s="147">
        <v>10.941452332657201</v>
      </c>
      <c r="I155" s="147">
        <v>7.8316164674812967</v>
      </c>
      <c r="J155" s="151" t="s">
        <v>545</v>
      </c>
      <c r="K155" s="147" t="s">
        <v>639</v>
      </c>
      <c r="L155" s="147" t="s">
        <v>499</v>
      </c>
      <c r="M155" s="147">
        <v>12.18</v>
      </c>
      <c r="N155" s="148">
        <v>1886210.07</v>
      </c>
      <c r="O155" s="147">
        <v>0</v>
      </c>
      <c r="P155" s="147" t="s">
        <v>576</v>
      </c>
      <c r="Q155" s="147"/>
    </row>
    <row r="156" spans="1:17" x14ac:dyDescent="0.3">
      <c r="A156" s="147"/>
      <c r="B156" s="147" t="s">
        <v>413</v>
      </c>
      <c r="C156" s="147" t="s">
        <v>310</v>
      </c>
      <c r="D156" s="154">
        <v>0</v>
      </c>
      <c r="E156" s="147">
        <v>11.899999999999999</v>
      </c>
      <c r="F156" s="147">
        <v>0</v>
      </c>
      <c r="G156" s="147">
        <v>0</v>
      </c>
      <c r="H156" s="147">
        <v>3.2680350030478724</v>
      </c>
      <c r="I156" s="147">
        <v>12.099993570074814</v>
      </c>
      <c r="J156" s="151" t="s">
        <v>545</v>
      </c>
      <c r="K156" s="147" t="s">
        <v>622</v>
      </c>
      <c r="L156" s="147" t="s">
        <v>338</v>
      </c>
      <c r="M156" s="147">
        <v>1.68</v>
      </c>
      <c r="N156" s="148">
        <v>1146596.24</v>
      </c>
      <c r="O156" s="147">
        <v>0</v>
      </c>
      <c r="P156" s="147" t="s">
        <v>640</v>
      </c>
      <c r="Q156" s="147"/>
    </row>
    <row r="157" spans="1:17" x14ac:dyDescent="0.3">
      <c r="A157" s="147"/>
      <c r="B157" s="147" t="s">
        <v>413</v>
      </c>
      <c r="C157" s="147" t="s">
        <v>311</v>
      </c>
      <c r="D157" s="154">
        <v>0</v>
      </c>
      <c r="E157" s="147">
        <v>23.5</v>
      </c>
      <c r="F157" s="147">
        <v>0</v>
      </c>
      <c r="G157" s="147">
        <v>0</v>
      </c>
      <c r="H157" s="147">
        <v>0.24525760649087233</v>
      </c>
      <c r="I157" s="147">
        <v>0</v>
      </c>
      <c r="J157" s="151" t="s">
        <v>641</v>
      </c>
      <c r="K157" s="147" t="s">
        <v>611</v>
      </c>
      <c r="L157" s="147" t="s">
        <v>338</v>
      </c>
      <c r="M157" s="147">
        <v>45.839999999999996</v>
      </c>
      <c r="N157" s="148">
        <v>8660137.1400000006</v>
      </c>
      <c r="O157" s="147">
        <v>0</v>
      </c>
      <c r="P157" s="147" t="s">
        <v>642</v>
      </c>
      <c r="Q157" s="147"/>
    </row>
    <row r="158" spans="1:17" x14ac:dyDescent="0.3">
      <c r="A158" s="147"/>
      <c r="B158" s="147" t="s">
        <v>413</v>
      </c>
      <c r="C158" s="147" t="s">
        <v>312</v>
      </c>
      <c r="D158" s="154">
        <v>0</v>
      </c>
      <c r="E158" s="147">
        <v>14.3</v>
      </c>
      <c r="F158" s="147">
        <v>0</v>
      </c>
      <c r="G158" s="147">
        <v>0</v>
      </c>
      <c r="H158" s="147">
        <v>7.2040252170385397</v>
      </c>
      <c r="I158" s="147">
        <v>12.41571525286783</v>
      </c>
      <c r="J158" s="151" t="s">
        <v>548</v>
      </c>
      <c r="K158" s="147" t="s">
        <v>586</v>
      </c>
      <c r="L158" s="147" t="s">
        <v>501</v>
      </c>
      <c r="M158" s="147">
        <v>4.7408399999999995</v>
      </c>
      <c r="N158" s="148">
        <v>699656.6</v>
      </c>
      <c r="O158" s="147">
        <v>0</v>
      </c>
      <c r="P158" s="147" t="s">
        <v>643</v>
      </c>
      <c r="Q158" s="147"/>
    </row>
    <row r="159" spans="1:17" x14ac:dyDescent="0.3">
      <c r="A159" s="147"/>
      <c r="B159" s="147" t="s">
        <v>413</v>
      </c>
      <c r="C159" s="147" t="s">
        <v>313</v>
      </c>
      <c r="D159" s="154">
        <v>0</v>
      </c>
      <c r="E159" s="147">
        <v>14.3</v>
      </c>
      <c r="F159" s="147">
        <v>0</v>
      </c>
      <c r="G159" s="147">
        <v>0</v>
      </c>
      <c r="H159" s="147">
        <v>8.6974255578093302</v>
      </c>
      <c r="I159" s="147">
        <v>12.564519522693267</v>
      </c>
      <c r="J159" s="151" t="s">
        <v>548</v>
      </c>
      <c r="K159" s="147" t="s">
        <v>586</v>
      </c>
      <c r="L159" s="147" t="s">
        <v>501</v>
      </c>
      <c r="M159" s="147">
        <v>6.1709999999999994</v>
      </c>
      <c r="N159" s="148">
        <v>941898.54</v>
      </c>
      <c r="O159" s="147">
        <v>0</v>
      </c>
      <c r="P159" s="147" t="s">
        <v>643</v>
      </c>
      <c r="Q159" s="147"/>
    </row>
    <row r="160" spans="1:17" x14ac:dyDescent="0.3">
      <c r="A160" s="147"/>
      <c r="B160" s="147" t="s">
        <v>413</v>
      </c>
      <c r="C160" s="147" t="s">
        <v>314</v>
      </c>
      <c r="D160" s="154">
        <v>0</v>
      </c>
      <c r="E160" s="147">
        <v>9.5</v>
      </c>
      <c r="F160" s="147">
        <v>0</v>
      </c>
      <c r="G160" s="147">
        <v>0</v>
      </c>
      <c r="H160" s="147">
        <v>2.7199675456389456</v>
      </c>
      <c r="I160" s="147">
        <v>0</v>
      </c>
      <c r="J160" s="151" t="s">
        <v>644</v>
      </c>
      <c r="K160" s="147" t="s">
        <v>626</v>
      </c>
      <c r="L160" s="147" t="s">
        <v>499</v>
      </c>
      <c r="M160" s="147">
        <v>25.72</v>
      </c>
      <c r="N160" s="148">
        <v>10046600.619999999</v>
      </c>
      <c r="O160" s="147">
        <v>0</v>
      </c>
      <c r="P160" s="147" t="s">
        <v>643</v>
      </c>
      <c r="Q160" s="147"/>
    </row>
    <row r="161" spans="1:17" x14ac:dyDescent="0.3">
      <c r="A161" s="147"/>
      <c r="B161" s="147" t="s">
        <v>413</v>
      </c>
      <c r="C161" s="147" t="s">
        <v>315</v>
      </c>
      <c r="D161" s="154">
        <v>0</v>
      </c>
      <c r="E161" s="147">
        <v>11.899999999999999</v>
      </c>
      <c r="F161" s="147">
        <v>0</v>
      </c>
      <c r="G161" s="147">
        <v>0</v>
      </c>
      <c r="H161" s="147">
        <v>3.3347180527383373</v>
      </c>
      <c r="I161" s="147">
        <v>0</v>
      </c>
      <c r="J161" s="151" t="s">
        <v>545</v>
      </c>
      <c r="K161" s="147" t="s">
        <v>585</v>
      </c>
      <c r="L161" s="147" t="s">
        <v>557</v>
      </c>
      <c r="M161" s="147">
        <v>24.08</v>
      </c>
      <c r="N161" s="148">
        <v>7188361.9400000004</v>
      </c>
      <c r="O161" s="147">
        <v>0</v>
      </c>
      <c r="P161" s="147" t="s">
        <v>643</v>
      </c>
      <c r="Q161" s="147"/>
    </row>
    <row r="162" spans="1:17" x14ac:dyDescent="0.3">
      <c r="A162" s="147"/>
      <c r="B162" s="147" t="s">
        <v>413</v>
      </c>
      <c r="C162" s="147" t="s">
        <v>478</v>
      </c>
      <c r="D162" s="154">
        <v>0</v>
      </c>
      <c r="E162" s="147">
        <v>23.5</v>
      </c>
      <c r="F162" s="147">
        <v>0</v>
      </c>
      <c r="G162" s="147">
        <v>0</v>
      </c>
      <c r="H162" s="147">
        <v>10.337679513184586</v>
      </c>
      <c r="I162" s="147">
        <v>5.5098944279301758</v>
      </c>
      <c r="J162" s="151" t="s">
        <v>641</v>
      </c>
      <c r="K162" s="147" t="s">
        <v>574</v>
      </c>
      <c r="L162" s="147" t="s">
        <v>557</v>
      </c>
      <c r="M162" s="147">
        <v>8.8800000000000008</v>
      </c>
      <c r="N162" s="148">
        <v>2256505.9300000002</v>
      </c>
      <c r="O162" s="147">
        <v>0</v>
      </c>
      <c r="P162" s="147" t="s">
        <v>643</v>
      </c>
      <c r="Q162" s="147"/>
    </row>
    <row r="163" spans="1:17" x14ac:dyDescent="0.3">
      <c r="A163" s="147"/>
      <c r="B163" s="147" t="s">
        <v>413</v>
      </c>
      <c r="C163" s="147" t="s">
        <v>479</v>
      </c>
      <c r="D163" s="154">
        <v>0</v>
      </c>
      <c r="E163" s="147">
        <v>23.5</v>
      </c>
      <c r="F163" s="147">
        <v>0</v>
      </c>
      <c r="G163" s="147">
        <v>0</v>
      </c>
      <c r="H163" s="147">
        <v>1.5202508722109536</v>
      </c>
      <c r="I163" s="147">
        <v>0</v>
      </c>
      <c r="J163" s="151" t="s">
        <v>641</v>
      </c>
      <c r="K163" s="147" t="s">
        <v>574</v>
      </c>
      <c r="L163" s="147" t="s">
        <v>557</v>
      </c>
      <c r="M163" s="147">
        <v>30.483139999999999</v>
      </c>
      <c r="N163" s="148">
        <v>6254322.7599999998</v>
      </c>
      <c r="O163" s="147">
        <v>0</v>
      </c>
      <c r="P163" s="147" t="s">
        <v>643</v>
      </c>
      <c r="Q163" s="147"/>
    </row>
    <row r="164" spans="1:17" x14ac:dyDescent="0.3">
      <c r="A164" s="147"/>
      <c r="B164" s="147" t="s">
        <v>413</v>
      </c>
      <c r="C164" s="147" t="s">
        <v>316</v>
      </c>
      <c r="D164" s="154">
        <v>0</v>
      </c>
      <c r="E164" s="147">
        <v>23.5</v>
      </c>
      <c r="F164" s="147">
        <v>0</v>
      </c>
      <c r="G164" s="147">
        <v>0</v>
      </c>
      <c r="H164" s="147">
        <v>0</v>
      </c>
      <c r="I164" s="147">
        <v>0</v>
      </c>
      <c r="J164" s="151" t="s">
        <v>641</v>
      </c>
      <c r="K164" s="147" t="s">
        <v>593</v>
      </c>
      <c r="L164" s="147" t="s">
        <v>501</v>
      </c>
      <c r="M164" s="147">
        <v>56.481749999999998</v>
      </c>
      <c r="N164" s="148">
        <v>15429983.51</v>
      </c>
      <c r="O164" s="147">
        <v>0</v>
      </c>
      <c r="P164" s="147" t="s">
        <v>643</v>
      </c>
      <c r="Q164" s="147"/>
    </row>
    <row r="165" spans="1:17" ht="28.8" x14ac:dyDescent="0.3">
      <c r="A165" s="147"/>
      <c r="B165" s="147" t="s">
        <v>413</v>
      </c>
      <c r="C165" s="147" t="s">
        <v>317</v>
      </c>
      <c r="D165" s="154">
        <v>0</v>
      </c>
      <c r="E165" s="147">
        <v>13.4</v>
      </c>
      <c r="F165" s="147">
        <v>0</v>
      </c>
      <c r="G165" s="147">
        <v>0</v>
      </c>
      <c r="H165" s="147">
        <v>7.0690838393509132</v>
      </c>
      <c r="I165" s="147">
        <v>8.4465438407481308</v>
      </c>
      <c r="J165" s="151" t="s">
        <v>609</v>
      </c>
      <c r="K165" s="147" t="s">
        <v>613</v>
      </c>
      <c r="L165" s="147" t="s">
        <v>501</v>
      </c>
      <c r="M165" s="147">
        <v>18.283728</v>
      </c>
      <c r="N165" s="148">
        <v>1788436.13</v>
      </c>
      <c r="O165" s="147">
        <v>0</v>
      </c>
      <c r="P165" s="147" t="s">
        <v>643</v>
      </c>
      <c r="Q165" s="147"/>
    </row>
    <row r="166" spans="1:17" x14ac:dyDescent="0.3">
      <c r="A166" s="147"/>
      <c r="B166" s="147" t="s">
        <v>413</v>
      </c>
      <c r="C166" s="147" t="s">
        <v>480</v>
      </c>
      <c r="D166" s="154">
        <v>0</v>
      </c>
      <c r="E166" s="147">
        <v>23.5</v>
      </c>
      <c r="F166" s="147">
        <v>0</v>
      </c>
      <c r="G166" s="147">
        <v>0</v>
      </c>
      <c r="H166" s="147">
        <v>0.32986612576064911</v>
      </c>
      <c r="I166" s="147">
        <v>0</v>
      </c>
      <c r="J166" s="151" t="s">
        <v>641</v>
      </c>
      <c r="K166" s="147" t="s">
        <v>575</v>
      </c>
      <c r="L166" s="147" t="s">
        <v>338</v>
      </c>
      <c r="M166" s="147">
        <v>42.68</v>
      </c>
      <c r="N166" s="148">
        <v>8276865.8399999999</v>
      </c>
      <c r="O166" s="147">
        <v>0</v>
      </c>
      <c r="P166" s="147" t="s">
        <v>643</v>
      </c>
      <c r="Q166" s="147"/>
    </row>
    <row r="167" spans="1:17" x14ac:dyDescent="0.3">
      <c r="A167" s="147"/>
      <c r="B167" s="147" t="s">
        <v>413</v>
      </c>
      <c r="C167" s="147" t="s">
        <v>481</v>
      </c>
      <c r="D167" s="154">
        <v>0</v>
      </c>
      <c r="E167" s="147">
        <v>9.5</v>
      </c>
      <c r="F167" s="147">
        <v>0</v>
      </c>
      <c r="G167" s="147">
        <v>0</v>
      </c>
      <c r="H167" s="147">
        <v>1.170953346855983</v>
      </c>
      <c r="I167" s="147">
        <v>0</v>
      </c>
      <c r="J167" s="151" t="s">
        <v>645</v>
      </c>
      <c r="K167" s="147" t="s">
        <v>646</v>
      </c>
      <c r="L167" s="147" t="s">
        <v>338</v>
      </c>
      <c r="M167" s="147">
        <v>32.440000000000005</v>
      </c>
      <c r="N167" s="148">
        <v>10911604.33</v>
      </c>
      <c r="O167" s="147">
        <v>0</v>
      </c>
      <c r="P167" s="147" t="s">
        <v>643</v>
      </c>
      <c r="Q167" s="147"/>
    </row>
    <row r="168" spans="1:17" x14ac:dyDescent="0.3">
      <c r="A168" s="147"/>
      <c r="B168" s="147" t="s">
        <v>413</v>
      </c>
      <c r="C168" s="147" t="s">
        <v>482</v>
      </c>
      <c r="D168" s="154">
        <v>0</v>
      </c>
      <c r="E168" s="147">
        <v>11.899999999999999</v>
      </c>
      <c r="F168" s="147">
        <v>0</v>
      </c>
      <c r="G168" s="147">
        <v>0</v>
      </c>
      <c r="H168" s="147">
        <v>0.8098724787018261</v>
      </c>
      <c r="I168" s="147">
        <v>0</v>
      </c>
      <c r="J168" s="151" t="s">
        <v>545</v>
      </c>
      <c r="K168" s="147" t="s">
        <v>567</v>
      </c>
      <c r="L168" s="147" t="s">
        <v>568</v>
      </c>
      <c r="M168" s="147">
        <v>35.032739999999997</v>
      </c>
      <c r="N168" s="148">
        <v>8825842.6099999994</v>
      </c>
      <c r="O168" s="147">
        <v>0</v>
      </c>
      <c r="P168" s="147" t="s">
        <v>643</v>
      </c>
      <c r="Q168" s="147"/>
    </row>
    <row r="169" spans="1:17" x14ac:dyDescent="0.3">
      <c r="A169" s="147"/>
      <c r="B169" s="147" t="s">
        <v>413</v>
      </c>
      <c r="C169" s="147" t="s">
        <v>318</v>
      </c>
      <c r="D169" s="154">
        <v>0</v>
      </c>
      <c r="E169" s="147">
        <v>11.899999999999999</v>
      </c>
      <c r="F169" s="147">
        <v>25.345313598999436</v>
      </c>
      <c r="G169" s="147">
        <v>0</v>
      </c>
      <c r="H169" s="147">
        <v>1.278052738336714</v>
      </c>
      <c r="I169" s="147">
        <v>0</v>
      </c>
      <c r="J169" s="151" t="s">
        <v>545</v>
      </c>
      <c r="K169" s="147" t="s">
        <v>634</v>
      </c>
      <c r="L169" s="147" t="s">
        <v>338</v>
      </c>
      <c r="M169" s="147">
        <v>31.84</v>
      </c>
      <c r="N169" s="148">
        <v>7016408.3200000003</v>
      </c>
      <c r="O169" s="147">
        <v>0</v>
      </c>
      <c r="P169" s="147" t="s">
        <v>643</v>
      </c>
      <c r="Q169" s="147"/>
    </row>
    <row r="170" spans="1:17" x14ac:dyDescent="0.3">
      <c r="A170" s="147"/>
      <c r="B170" s="147" t="s">
        <v>413</v>
      </c>
      <c r="C170" s="147" t="s">
        <v>483</v>
      </c>
      <c r="D170" s="154">
        <v>0</v>
      </c>
      <c r="E170" s="147">
        <v>11.899999999999999</v>
      </c>
      <c r="F170" s="147">
        <v>45</v>
      </c>
      <c r="G170" s="147">
        <v>0</v>
      </c>
      <c r="H170" s="147">
        <v>10.484048681541582</v>
      </c>
      <c r="I170" s="147">
        <v>0</v>
      </c>
      <c r="J170" s="151" t="s">
        <v>545</v>
      </c>
      <c r="K170" s="147" t="s">
        <v>647</v>
      </c>
      <c r="L170" s="147" t="s">
        <v>338</v>
      </c>
      <c r="M170" s="147">
        <v>9.68</v>
      </c>
      <c r="N170" s="148">
        <v>6987312.5499999998</v>
      </c>
      <c r="O170" s="147">
        <v>0</v>
      </c>
      <c r="P170" s="147" t="s">
        <v>642</v>
      </c>
      <c r="Q170" s="147"/>
    </row>
    <row r="171" spans="1:17" x14ac:dyDescent="0.3">
      <c r="A171" s="147"/>
      <c r="B171" s="147" t="s">
        <v>413</v>
      </c>
      <c r="C171" s="147" t="s">
        <v>484</v>
      </c>
      <c r="D171" s="154">
        <v>0</v>
      </c>
      <c r="E171" s="147">
        <v>11.899999999999999</v>
      </c>
      <c r="F171" s="147">
        <v>35.038655039409448</v>
      </c>
      <c r="G171" s="147">
        <v>0</v>
      </c>
      <c r="H171" s="147">
        <v>7.760243407707911</v>
      </c>
      <c r="I171" s="147">
        <v>3.7209333705735665</v>
      </c>
      <c r="J171" s="151" t="s">
        <v>545</v>
      </c>
      <c r="K171" s="147" t="s">
        <v>559</v>
      </c>
      <c r="L171" s="147" t="s">
        <v>560</v>
      </c>
      <c r="M171" s="147">
        <v>17.34</v>
      </c>
      <c r="N171" s="148">
        <v>2601396.98</v>
      </c>
      <c r="O171" s="147">
        <v>0</v>
      </c>
      <c r="P171" s="147" t="s">
        <v>643</v>
      </c>
      <c r="Q171" s="147"/>
    </row>
    <row r="172" spans="1:17" x14ac:dyDescent="0.3">
      <c r="A172" s="147"/>
      <c r="B172" s="147" t="s">
        <v>413</v>
      </c>
      <c r="C172" s="147" t="s">
        <v>485</v>
      </c>
      <c r="D172" s="154">
        <v>0</v>
      </c>
      <c r="E172" s="147">
        <v>11.899999999999999</v>
      </c>
      <c r="F172" s="147">
        <v>35.038655039409448</v>
      </c>
      <c r="G172" s="147">
        <v>0</v>
      </c>
      <c r="H172" s="147">
        <v>3.6345963488843811</v>
      </c>
      <c r="I172" s="147">
        <v>0</v>
      </c>
      <c r="J172" s="151" t="s">
        <v>545</v>
      </c>
      <c r="K172" s="147" t="s">
        <v>559</v>
      </c>
      <c r="L172" s="147" t="s">
        <v>560</v>
      </c>
      <c r="M172" s="147">
        <v>23.28</v>
      </c>
      <c r="N172" s="148">
        <v>6964746.2199999997</v>
      </c>
      <c r="O172" s="147">
        <v>0</v>
      </c>
      <c r="P172" s="147" t="s">
        <v>642</v>
      </c>
      <c r="Q172" s="147"/>
    </row>
    <row r="173" spans="1:17" x14ac:dyDescent="0.3">
      <c r="A173" s="147"/>
      <c r="B173" s="147" t="s">
        <v>413</v>
      </c>
      <c r="C173" s="147" t="s">
        <v>486</v>
      </c>
      <c r="D173" s="154">
        <v>0</v>
      </c>
      <c r="E173" s="147">
        <v>11.899999999999999</v>
      </c>
      <c r="F173" s="147">
        <v>35.038655039409448</v>
      </c>
      <c r="G173" s="147">
        <v>0</v>
      </c>
      <c r="H173" s="147">
        <v>9.385851521298175</v>
      </c>
      <c r="I173" s="147">
        <v>2.2270352564089775</v>
      </c>
      <c r="J173" s="151" t="s">
        <v>545</v>
      </c>
      <c r="K173" s="147" t="s">
        <v>559</v>
      </c>
      <c r="L173" s="147" t="s">
        <v>560</v>
      </c>
      <c r="M173" s="147">
        <v>14.911439999999999</v>
      </c>
      <c r="N173" s="148">
        <v>3435427.29</v>
      </c>
      <c r="O173" s="147">
        <v>0</v>
      </c>
      <c r="P173" s="147" t="s">
        <v>642</v>
      </c>
      <c r="Q173" s="147"/>
    </row>
    <row r="174" spans="1:17" x14ac:dyDescent="0.3">
      <c r="A174" s="147"/>
      <c r="B174" s="147" t="s">
        <v>413</v>
      </c>
      <c r="C174" s="147" t="s">
        <v>487</v>
      </c>
      <c r="D174" s="154">
        <v>0</v>
      </c>
      <c r="E174" s="147">
        <v>9.5</v>
      </c>
      <c r="F174" s="147">
        <v>0</v>
      </c>
      <c r="G174" s="147">
        <v>0</v>
      </c>
      <c r="H174" s="147">
        <v>9.3542393509127795</v>
      </c>
      <c r="I174" s="147">
        <v>8.8124073139152124</v>
      </c>
      <c r="J174" s="151" t="s">
        <v>645</v>
      </c>
      <c r="K174" s="147" t="s">
        <v>607</v>
      </c>
      <c r="L174" s="147" t="s">
        <v>525</v>
      </c>
      <c r="M174" s="147">
        <v>6.8</v>
      </c>
      <c r="N174" s="148">
        <v>1730464.94</v>
      </c>
      <c r="O174" s="147">
        <v>0</v>
      </c>
      <c r="P174" s="147" t="s">
        <v>547</v>
      </c>
      <c r="Q174" s="147"/>
    </row>
    <row r="175" spans="1:17" x14ac:dyDescent="0.3">
      <c r="A175" s="147"/>
      <c r="B175" s="147" t="s">
        <v>413</v>
      </c>
      <c r="C175" s="147" t="s">
        <v>319</v>
      </c>
      <c r="D175" s="154">
        <v>0</v>
      </c>
      <c r="E175" s="147">
        <v>11.899999999999999</v>
      </c>
      <c r="F175" s="147">
        <v>0</v>
      </c>
      <c r="G175" s="147">
        <v>0</v>
      </c>
      <c r="H175" s="147">
        <v>9.4068965517241399</v>
      </c>
      <c r="I175" s="147">
        <v>3.8455847102244385</v>
      </c>
      <c r="J175" s="151" t="s">
        <v>545</v>
      </c>
      <c r="K175" s="147" t="s">
        <v>648</v>
      </c>
      <c r="L175" s="147" t="s">
        <v>499</v>
      </c>
      <c r="M175" s="147">
        <v>14.879999999999999</v>
      </c>
      <c r="N175" s="148">
        <v>2577365.64</v>
      </c>
      <c r="O175" s="147">
        <v>0</v>
      </c>
      <c r="P175" s="147" t="s">
        <v>547</v>
      </c>
      <c r="Q175" s="147"/>
    </row>
    <row r="176" spans="1:17" x14ac:dyDescent="0.3">
      <c r="A176" s="147"/>
      <c r="B176" s="147" t="s">
        <v>413</v>
      </c>
      <c r="C176" s="147" t="s">
        <v>491</v>
      </c>
      <c r="D176" s="154">
        <v>0</v>
      </c>
      <c r="E176" s="147">
        <v>5.6000000000000005</v>
      </c>
      <c r="F176" s="147">
        <v>0</v>
      </c>
      <c r="G176" s="147">
        <v>0</v>
      </c>
      <c r="H176" s="147">
        <v>9.7415486815415839</v>
      </c>
      <c r="I176" s="147">
        <v>7.1965708926683289</v>
      </c>
      <c r="J176" s="151" t="s">
        <v>564</v>
      </c>
      <c r="K176" s="147" t="s">
        <v>607</v>
      </c>
      <c r="L176" s="147" t="s">
        <v>525</v>
      </c>
      <c r="M176" s="147">
        <v>14.380049999999999</v>
      </c>
      <c r="N176" s="148">
        <v>1987182.82</v>
      </c>
      <c r="O176" s="147">
        <v>0</v>
      </c>
      <c r="P176" s="147" t="s">
        <v>590</v>
      </c>
      <c r="Q176" s="147"/>
    </row>
    <row r="177" spans="1:17" ht="28.8" x14ac:dyDescent="0.3">
      <c r="A177" s="147"/>
      <c r="B177" s="147" t="s">
        <v>413</v>
      </c>
      <c r="C177" s="147" t="s">
        <v>492</v>
      </c>
      <c r="D177" s="154">
        <v>0</v>
      </c>
      <c r="E177" s="147">
        <v>6.4</v>
      </c>
      <c r="F177" s="147">
        <v>39.895276807667905</v>
      </c>
      <c r="G177" s="147">
        <v>0</v>
      </c>
      <c r="H177" s="147">
        <v>8.0413793103448263</v>
      </c>
      <c r="I177" s="147">
        <v>11.982967887780548</v>
      </c>
      <c r="J177" s="151" t="s">
        <v>629</v>
      </c>
      <c r="K177" s="147" t="s">
        <v>500</v>
      </c>
      <c r="L177" s="147" t="s">
        <v>499</v>
      </c>
      <c r="M177" s="147">
        <v>16.920000000000002</v>
      </c>
      <c r="N177" s="148">
        <v>1198164.7</v>
      </c>
      <c r="O177" s="147">
        <v>0</v>
      </c>
      <c r="P177" s="147" t="s">
        <v>576</v>
      </c>
      <c r="Q177" s="147"/>
    </row>
    <row r="178" spans="1:17" ht="28.8" x14ac:dyDescent="0.3">
      <c r="A178" s="147"/>
      <c r="B178" s="147" t="s">
        <v>413</v>
      </c>
      <c r="C178" s="147" t="s">
        <v>493</v>
      </c>
      <c r="D178" s="154">
        <v>0</v>
      </c>
      <c r="E178" s="147">
        <v>6.4</v>
      </c>
      <c r="F178" s="147">
        <v>4.4485013610441637</v>
      </c>
      <c r="G178" s="147">
        <v>0</v>
      </c>
      <c r="H178" s="147">
        <v>10.205947261663287</v>
      </c>
      <c r="I178" s="147">
        <v>12.840924148129675</v>
      </c>
      <c r="J178" s="151" t="s">
        <v>629</v>
      </c>
      <c r="K178" s="147" t="s">
        <v>651</v>
      </c>
      <c r="L178" s="147" t="s">
        <v>499</v>
      </c>
      <c r="M178" s="147">
        <v>8.16</v>
      </c>
      <c r="N178" s="148">
        <v>820098.26</v>
      </c>
      <c r="O178" s="147">
        <v>0</v>
      </c>
      <c r="P178" s="147" t="s">
        <v>576</v>
      </c>
      <c r="Q178" s="147"/>
    </row>
    <row r="179" spans="1:17" ht="28.8" x14ac:dyDescent="0.3">
      <c r="A179" s="147"/>
      <c r="B179" s="147" t="s">
        <v>413</v>
      </c>
      <c r="C179" s="147" t="s">
        <v>494</v>
      </c>
      <c r="D179" s="154">
        <v>0</v>
      </c>
      <c r="E179" s="147">
        <v>8</v>
      </c>
      <c r="F179" s="147">
        <v>12.349493818163328</v>
      </c>
      <c r="G179" s="147">
        <v>0</v>
      </c>
      <c r="H179" s="147">
        <v>10.683320486815417</v>
      </c>
      <c r="I179" s="147">
        <v>9.6312360251371576</v>
      </c>
      <c r="J179" s="151" t="s">
        <v>596</v>
      </c>
      <c r="K179" s="147" t="s">
        <v>652</v>
      </c>
      <c r="L179" s="147" t="s">
        <v>338</v>
      </c>
      <c r="M179" s="147">
        <v>12.973100000000001</v>
      </c>
      <c r="N179" s="148">
        <v>1601599.04</v>
      </c>
      <c r="O179" s="147">
        <v>0</v>
      </c>
      <c r="P179" s="147" t="s">
        <v>640</v>
      </c>
      <c r="Q179" s="147"/>
    </row>
    <row r="180" spans="1:17" x14ac:dyDescent="0.3">
      <c r="A180" s="147"/>
      <c r="B180" s="147" t="s">
        <v>413</v>
      </c>
      <c r="C180" s="147" t="s">
        <v>495</v>
      </c>
      <c r="D180" s="154">
        <v>0</v>
      </c>
      <c r="E180" s="147">
        <v>11.899999999999999</v>
      </c>
      <c r="F180" s="147">
        <v>4.3825292001081184</v>
      </c>
      <c r="G180" s="147">
        <v>0</v>
      </c>
      <c r="H180" s="147">
        <v>10.515660762677484</v>
      </c>
      <c r="I180" s="147">
        <v>7.6600185183042395</v>
      </c>
      <c r="J180" s="151" t="s">
        <v>545</v>
      </c>
      <c r="K180" s="147" t="s">
        <v>633</v>
      </c>
      <c r="L180" s="147" t="s">
        <v>499</v>
      </c>
      <c r="M180" s="147">
        <v>9.8527799999999992</v>
      </c>
      <c r="N180" s="148">
        <v>1913494.28</v>
      </c>
      <c r="O180" s="147">
        <v>0</v>
      </c>
      <c r="P180" s="147" t="s">
        <v>640</v>
      </c>
      <c r="Q180" s="147"/>
    </row>
    <row r="181" spans="1:17" x14ac:dyDescent="0.3">
      <c r="A181" s="147"/>
      <c r="B181" s="147" t="s">
        <v>413</v>
      </c>
      <c r="C181" s="147" t="s">
        <v>496</v>
      </c>
      <c r="D181" s="154">
        <v>0</v>
      </c>
      <c r="E181" s="147">
        <v>11.899999999999999</v>
      </c>
      <c r="F181" s="147">
        <v>27.641392019828395</v>
      </c>
      <c r="G181" s="147">
        <v>0</v>
      </c>
      <c r="H181" s="147">
        <v>9.540770791075051</v>
      </c>
      <c r="I181" s="147">
        <v>0</v>
      </c>
      <c r="J181" s="151" t="s">
        <v>545</v>
      </c>
      <c r="K181" s="147" t="s">
        <v>562</v>
      </c>
      <c r="L181" s="147" t="s">
        <v>338</v>
      </c>
      <c r="M181" s="147">
        <v>14.68</v>
      </c>
      <c r="N181" s="148">
        <v>7567905.1600000001</v>
      </c>
      <c r="O181" s="147">
        <v>0</v>
      </c>
      <c r="P181" s="147" t="s">
        <v>642</v>
      </c>
      <c r="Q181" s="147"/>
    </row>
    <row r="182" spans="1:17" x14ac:dyDescent="0.3">
      <c r="A182" s="147"/>
      <c r="B182" s="147" t="s">
        <v>413</v>
      </c>
      <c r="C182" s="147" t="s">
        <v>497</v>
      </c>
      <c r="D182" s="154">
        <v>0</v>
      </c>
      <c r="E182" s="147">
        <v>11.899999999999999</v>
      </c>
      <c r="F182" s="147">
        <v>27.641392019828395</v>
      </c>
      <c r="G182" s="147">
        <v>0</v>
      </c>
      <c r="H182" s="147">
        <v>1.8064097363083167</v>
      </c>
      <c r="I182" s="147">
        <v>0</v>
      </c>
      <c r="J182" s="151" t="s">
        <v>545</v>
      </c>
      <c r="K182" s="147" t="s">
        <v>562</v>
      </c>
      <c r="L182" s="147" t="s">
        <v>338</v>
      </c>
      <c r="M182" s="147">
        <v>28.88</v>
      </c>
      <c r="N182" s="148">
        <v>7884336.0899999999</v>
      </c>
      <c r="O182" s="147">
        <v>0</v>
      </c>
      <c r="P182" s="147" t="s">
        <v>642</v>
      </c>
      <c r="Q182" s="147"/>
    </row>
    <row r="183" spans="1:17" x14ac:dyDescent="0.3">
      <c r="A183" s="147"/>
      <c r="B183" s="147"/>
      <c r="C183" s="147"/>
      <c r="D183" s="147"/>
      <c r="E183" s="147"/>
      <c r="F183" s="147"/>
      <c r="G183" s="147"/>
      <c r="H183" s="147"/>
      <c r="I183" s="147"/>
      <c r="K183" s="147"/>
      <c r="L183" s="147"/>
      <c r="M183" s="147"/>
      <c r="N183" s="148"/>
      <c r="O183" s="147"/>
      <c r="P183" s="147"/>
      <c r="Q183" s="147"/>
    </row>
    <row r="184" spans="1:17" x14ac:dyDescent="0.3">
      <c r="A184" s="147"/>
      <c r="B184" s="147"/>
      <c r="C184" s="147"/>
      <c r="D184" s="147"/>
      <c r="E184" s="147"/>
      <c r="F184" s="147"/>
      <c r="G184" s="147"/>
      <c r="H184" s="147"/>
      <c r="I184" s="147"/>
      <c r="K184" s="147"/>
      <c r="L184" s="147"/>
      <c r="M184" s="147"/>
      <c r="N184" s="148"/>
      <c r="O184" s="147"/>
      <c r="P184" s="147"/>
      <c r="Q184" s="147"/>
    </row>
    <row r="185" spans="1:17" x14ac:dyDescent="0.3">
      <c r="A185" s="147"/>
      <c r="B185" s="147"/>
      <c r="C185" s="147"/>
      <c r="D185" s="147"/>
      <c r="E185" s="147"/>
      <c r="F185" s="147"/>
      <c r="G185" s="147"/>
      <c r="H185" s="147"/>
      <c r="I185" s="147"/>
      <c r="K185" s="147"/>
      <c r="L185" s="147"/>
      <c r="M185" s="147"/>
      <c r="N185" s="148"/>
      <c r="O185" s="147"/>
      <c r="P185" s="147"/>
      <c r="Q185" s="147"/>
    </row>
    <row r="186" spans="1:17" x14ac:dyDescent="0.3">
      <c r="A186" s="147"/>
      <c r="B186" s="147"/>
      <c r="C186" s="147"/>
      <c r="D186" s="147"/>
      <c r="E186" s="147"/>
      <c r="F186" s="147"/>
      <c r="G186" s="147"/>
      <c r="H186" s="147"/>
      <c r="I186" s="147"/>
      <c r="K186" s="147"/>
      <c r="L186" s="147"/>
      <c r="M186" s="147"/>
      <c r="N186" s="148"/>
      <c r="O186" s="147"/>
      <c r="P186" s="147"/>
      <c r="Q186" s="147"/>
    </row>
    <row r="187" spans="1:17" x14ac:dyDescent="0.3">
      <c r="A187" s="147"/>
      <c r="B187" s="147"/>
      <c r="C187" s="147"/>
      <c r="D187" s="147"/>
      <c r="E187" s="147"/>
      <c r="F187" s="147"/>
      <c r="G187" s="147"/>
      <c r="H187" s="147"/>
      <c r="I187" s="147"/>
      <c r="K187" s="147"/>
      <c r="L187" s="147"/>
      <c r="M187" s="147"/>
      <c r="N187" s="148"/>
      <c r="O187" s="147"/>
      <c r="P187" s="147"/>
      <c r="Q187" s="147"/>
    </row>
    <row r="188" spans="1:17" x14ac:dyDescent="0.3">
      <c r="A188" s="147"/>
      <c r="B188" s="147"/>
      <c r="C188" s="147"/>
      <c r="D188" s="147"/>
      <c r="E188" s="147"/>
      <c r="F188" s="147"/>
      <c r="G188" s="147"/>
      <c r="H188" s="147"/>
      <c r="I188" s="147"/>
      <c r="K188" s="147"/>
      <c r="L188" s="147"/>
      <c r="M188" s="147"/>
      <c r="N188" s="148"/>
      <c r="O188" s="147"/>
      <c r="P188" s="147"/>
      <c r="Q188" s="147"/>
    </row>
    <row r="189" spans="1:17" x14ac:dyDescent="0.3">
      <c r="A189" s="147"/>
      <c r="B189" s="147"/>
      <c r="C189" s="147"/>
      <c r="D189" s="147"/>
      <c r="E189" s="147"/>
      <c r="F189" s="147"/>
      <c r="G189" s="147"/>
      <c r="H189" s="147"/>
      <c r="I189" s="147"/>
      <c r="K189" s="147"/>
      <c r="L189" s="147"/>
      <c r="M189" s="147"/>
      <c r="N189" s="148"/>
      <c r="O189" s="147"/>
      <c r="P189" s="147"/>
      <c r="Q189" s="147"/>
    </row>
    <row r="190" spans="1:17" x14ac:dyDescent="0.3">
      <c r="A190" s="147"/>
      <c r="B190" s="147"/>
      <c r="C190" s="147"/>
      <c r="D190" s="147"/>
      <c r="E190" s="147"/>
      <c r="F190" s="147"/>
      <c r="G190" s="147"/>
      <c r="H190" s="147"/>
      <c r="I190" s="147"/>
      <c r="K190" s="147"/>
      <c r="L190" s="147"/>
      <c r="M190" s="147"/>
      <c r="N190" s="148"/>
      <c r="O190" s="147"/>
      <c r="P190" s="147"/>
      <c r="Q190" s="147"/>
    </row>
    <row r="191" spans="1:17" x14ac:dyDescent="0.3">
      <c r="A191" s="147"/>
      <c r="B191" s="147"/>
      <c r="C191" s="147"/>
      <c r="D191" s="147"/>
      <c r="E191" s="147"/>
      <c r="F191" s="147"/>
      <c r="G191" s="147"/>
      <c r="H191" s="147"/>
      <c r="I191" s="147"/>
      <c r="K191" s="147"/>
      <c r="L191" s="147"/>
      <c r="M191" s="147"/>
      <c r="N191" s="148"/>
      <c r="O191" s="147"/>
      <c r="P191" s="147"/>
      <c r="Q191" s="147"/>
    </row>
    <row r="192" spans="1:17" x14ac:dyDescent="0.3">
      <c r="A192" s="147"/>
      <c r="B192" s="147"/>
      <c r="C192" s="147"/>
      <c r="D192" s="147"/>
      <c r="E192" s="147"/>
      <c r="F192" s="147"/>
      <c r="G192" s="147"/>
      <c r="H192" s="147"/>
      <c r="I192" s="147"/>
      <c r="K192" s="147"/>
      <c r="L192" s="147"/>
      <c r="M192" s="147"/>
      <c r="N192" s="148"/>
      <c r="O192" s="147"/>
      <c r="P192" s="147"/>
      <c r="Q192" s="147"/>
    </row>
    <row r="193" spans="1:17" x14ac:dyDescent="0.3">
      <c r="A193" s="147"/>
      <c r="B193" s="147"/>
      <c r="C193" s="147"/>
      <c r="D193" s="147"/>
      <c r="E193" s="147"/>
      <c r="F193" s="147"/>
      <c r="G193" s="147"/>
      <c r="H193" s="147"/>
      <c r="I193" s="147"/>
      <c r="K193" s="147"/>
      <c r="L193" s="147"/>
      <c r="M193" s="147"/>
      <c r="N193" s="148"/>
      <c r="O193" s="147"/>
      <c r="P193" s="147"/>
      <c r="Q193" s="147"/>
    </row>
    <row r="194" spans="1:17" x14ac:dyDescent="0.3">
      <c r="A194" s="147"/>
      <c r="B194" s="147"/>
      <c r="C194" s="147"/>
      <c r="D194" s="147"/>
      <c r="E194" s="147"/>
      <c r="F194" s="147"/>
      <c r="G194" s="147"/>
      <c r="H194" s="147"/>
      <c r="I194" s="147"/>
      <c r="K194" s="147"/>
      <c r="L194" s="147"/>
      <c r="M194" s="147"/>
      <c r="N194" s="148"/>
      <c r="O194" s="147"/>
      <c r="P194" s="147"/>
      <c r="Q194" s="147"/>
    </row>
    <row r="195" spans="1:17" x14ac:dyDescent="0.3">
      <c r="A195" s="147"/>
      <c r="B195" s="147"/>
      <c r="C195" s="147"/>
      <c r="D195" s="147"/>
      <c r="E195" s="147"/>
      <c r="F195" s="147"/>
      <c r="G195" s="147"/>
      <c r="H195" s="147"/>
      <c r="I195" s="147"/>
      <c r="K195" s="147"/>
      <c r="L195" s="147"/>
      <c r="M195" s="147"/>
      <c r="N195" s="148"/>
      <c r="O195" s="147"/>
      <c r="P195" s="147"/>
      <c r="Q195" s="147"/>
    </row>
    <row r="196" spans="1:17" x14ac:dyDescent="0.3">
      <c r="A196" s="147"/>
      <c r="B196" s="147"/>
      <c r="C196" s="147"/>
      <c r="D196" s="147"/>
      <c r="E196" s="147"/>
      <c r="F196" s="147"/>
      <c r="G196" s="147"/>
      <c r="H196" s="147"/>
      <c r="I196" s="147"/>
      <c r="K196" s="147"/>
      <c r="L196" s="147"/>
      <c r="M196" s="147"/>
      <c r="N196" s="148"/>
      <c r="O196" s="147"/>
      <c r="P196" s="147"/>
      <c r="Q196" s="147"/>
    </row>
    <row r="197" spans="1:17" x14ac:dyDescent="0.3">
      <c r="A197" s="147"/>
      <c r="B197" s="147"/>
      <c r="C197" s="147"/>
      <c r="D197" s="147"/>
      <c r="E197" s="147"/>
      <c r="F197" s="147"/>
      <c r="G197" s="147"/>
      <c r="H197" s="147"/>
      <c r="I197" s="147"/>
      <c r="K197" s="147"/>
      <c r="L197" s="147"/>
      <c r="M197" s="147"/>
      <c r="N197" s="148"/>
      <c r="O197" s="147"/>
      <c r="P197" s="147"/>
      <c r="Q197" s="147"/>
    </row>
    <row r="198" spans="1:17" x14ac:dyDescent="0.3">
      <c r="A198" s="147"/>
      <c r="B198" s="147"/>
      <c r="C198" s="147"/>
      <c r="D198" s="147"/>
      <c r="E198" s="147"/>
      <c r="F198" s="147"/>
      <c r="G198" s="147"/>
      <c r="H198" s="147"/>
      <c r="I198" s="147"/>
      <c r="K198" s="147"/>
      <c r="L198" s="147"/>
      <c r="M198" s="147"/>
      <c r="N198" s="148"/>
      <c r="O198" s="147"/>
      <c r="P198" s="147"/>
      <c r="Q198" s="147"/>
    </row>
    <row r="199" spans="1:17" x14ac:dyDescent="0.3">
      <c r="A199" s="147"/>
      <c r="B199" s="147"/>
      <c r="C199" s="147"/>
      <c r="D199" s="147"/>
      <c r="E199" s="147"/>
      <c r="F199" s="147"/>
      <c r="G199" s="147"/>
      <c r="H199" s="147"/>
      <c r="I199" s="147"/>
      <c r="K199" s="147"/>
      <c r="L199" s="147"/>
      <c r="M199" s="147"/>
      <c r="N199" s="148"/>
      <c r="O199" s="147"/>
      <c r="P199" s="147"/>
      <c r="Q199" s="147"/>
    </row>
    <row r="200" spans="1:17" x14ac:dyDescent="0.3">
      <c r="A200" s="147"/>
      <c r="B200" s="147"/>
      <c r="C200" s="147"/>
      <c r="D200" s="147"/>
      <c r="E200" s="147"/>
      <c r="F200" s="147"/>
      <c r="G200" s="147"/>
      <c r="H200" s="147"/>
      <c r="I200" s="147"/>
      <c r="K200" s="147"/>
      <c r="L200" s="147"/>
      <c r="M200" s="147"/>
      <c r="N200" s="148"/>
      <c r="O200" s="147"/>
      <c r="P200" s="147"/>
      <c r="Q200" s="147"/>
    </row>
    <row r="201" spans="1:17" x14ac:dyDescent="0.3">
      <c r="A201" s="147"/>
      <c r="B201" s="147"/>
      <c r="C201" s="147"/>
      <c r="D201" s="147"/>
      <c r="E201" s="147"/>
      <c r="F201" s="147"/>
      <c r="G201" s="147"/>
      <c r="H201" s="147"/>
      <c r="I201" s="147"/>
      <c r="K201" s="147"/>
      <c r="L201" s="147"/>
      <c r="M201" s="147"/>
      <c r="N201" s="148"/>
      <c r="O201" s="147"/>
      <c r="P201" s="147"/>
      <c r="Q201" s="147"/>
    </row>
    <row r="202" spans="1:17" x14ac:dyDescent="0.3">
      <c r="A202" s="147"/>
      <c r="B202" s="147"/>
      <c r="C202" s="147"/>
      <c r="D202" s="147"/>
      <c r="E202" s="147"/>
      <c r="F202" s="147"/>
      <c r="G202" s="147"/>
      <c r="H202" s="147"/>
      <c r="I202" s="147"/>
      <c r="K202" s="147"/>
      <c r="L202" s="147"/>
      <c r="M202" s="147"/>
      <c r="N202" s="148"/>
      <c r="O202" s="147"/>
      <c r="P202" s="147"/>
      <c r="Q202" s="147"/>
    </row>
    <row r="203" spans="1:17" x14ac:dyDescent="0.3">
      <c r="A203" s="147"/>
      <c r="B203" s="147"/>
      <c r="C203" s="147"/>
      <c r="D203" s="147"/>
      <c r="E203" s="147"/>
      <c r="F203" s="147"/>
      <c r="G203" s="147"/>
      <c r="H203" s="147"/>
      <c r="I203" s="147"/>
      <c r="K203" s="147"/>
      <c r="L203" s="147"/>
      <c r="M203" s="147"/>
      <c r="N203" s="148"/>
      <c r="O203" s="147"/>
      <c r="P203" s="147"/>
      <c r="Q203" s="147"/>
    </row>
    <row r="204" spans="1:17" x14ac:dyDescent="0.3">
      <c r="A204" s="147"/>
      <c r="B204" s="147"/>
      <c r="C204" s="147"/>
      <c r="D204" s="147"/>
      <c r="E204" s="147"/>
      <c r="F204" s="147"/>
      <c r="G204" s="147"/>
      <c r="H204" s="147"/>
      <c r="I204" s="147"/>
      <c r="K204" s="147"/>
      <c r="L204" s="147"/>
      <c r="M204" s="147"/>
      <c r="N204" s="148"/>
      <c r="O204" s="147"/>
      <c r="P204" s="147"/>
      <c r="Q204" s="147"/>
    </row>
    <row r="205" spans="1:17" x14ac:dyDescent="0.3">
      <c r="A205" s="147"/>
      <c r="B205" s="147"/>
      <c r="C205" s="147"/>
      <c r="D205" s="147"/>
      <c r="E205" s="147"/>
      <c r="F205" s="147"/>
      <c r="G205" s="147"/>
      <c r="H205" s="147"/>
      <c r="I205" s="147"/>
      <c r="K205" s="147"/>
      <c r="L205" s="147"/>
      <c r="M205" s="147"/>
      <c r="N205" s="148"/>
      <c r="O205" s="147"/>
      <c r="P205" s="147"/>
      <c r="Q205" s="147"/>
    </row>
    <row r="206" spans="1:17" x14ac:dyDescent="0.3">
      <c r="A206" s="147"/>
      <c r="B206" s="147"/>
      <c r="C206" s="147"/>
      <c r="D206" s="147"/>
      <c r="E206" s="147"/>
      <c r="F206" s="147"/>
      <c r="G206" s="147"/>
      <c r="H206" s="147"/>
      <c r="I206" s="147"/>
      <c r="K206" s="147"/>
      <c r="L206" s="147"/>
      <c r="M206" s="147"/>
      <c r="N206" s="148"/>
      <c r="O206" s="147"/>
      <c r="P206" s="147"/>
      <c r="Q206" s="147"/>
    </row>
    <row r="207" spans="1:17" x14ac:dyDescent="0.3">
      <c r="A207" s="147"/>
      <c r="B207" s="147"/>
      <c r="C207" s="147"/>
      <c r="D207" s="147"/>
      <c r="E207" s="147"/>
      <c r="F207" s="147"/>
      <c r="G207" s="147"/>
      <c r="H207" s="147"/>
      <c r="I207" s="147"/>
      <c r="K207" s="147"/>
      <c r="L207" s="147"/>
      <c r="M207" s="147"/>
      <c r="N207" s="148"/>
      <c r="O207" s="147"/>
      <c r="P207" s="147"/>
      <c r="Q207" s="147"/>
    </row>
    <row r="208" spans="1:17" x14ac:dyDescent="0.3">
      <c r="A208" s="147"/>
      <c r="B208" s="147"/>
      <c r="C208" s="147"/>
      <c r="D208" s="147"/>
      <c r="E208" s="147"/>
      <c r="F208" s="147"/>
      <c r="G208" s="147"/>
      <c r="H208" s="147"/>
      <c r="I208" s="147"/>
      <c r="K208" s="147"/>
      <c r="L208" s="147"/>
      <c r="M208" s="147"/>
      <c r="N208" s="148"/>
      <c r="O208" s="147"/>
      <c r="P208" s="147"/>
      <c r="Q208" s="147"/>
    </row>
    <row r="209" spans="1:17" x14ac:dyDescent="0.3">
      <c r="A209" s="147"/>
      <c r="B209" s="147"/>
      <c r="C209" s="147"/>
      <c r="D209" s="147"/>
      <c r="E209" s="147"/>
      <c r="F209" s="147"/>
      <c r="G209" s="147"/>
      <c r="H209" s="147"/>
      <c r="I209" s="147"/>
      <c r="K209" s="147"/>
      <c r="L209" s="147"/>
      <c r="M209" s="147"/>
      <c r="N209" s="148"/>
      <c r="O209" s="147"/>
      <c r="P209" s="147"/>
      <c r="Q209" s="147"/>
    </row>
    <row r="210" spans="1:17" x14ac:dyDescent="0.3">
      <c r="A210" s="147"/>
      <c r="B210" s="147"/>
      <c r="C210" s="147"/>
      <c r="D210" s="147"/>
      <c r="E210" s="147"/>
      <c r="F210" s="147"/>
      <c r="G210" s="147"/>
      <c r="H210" s="147"/>
      <c r="I210" s="147"/>
      <c r="K210" s="147"/>
      <c r="L210" s="147"/>
      <c r="M210" s="147"/>
      <c r="N210" s="148"/>
      <c r="O210" s="147"/>
      <c r="P210" s="147"/>
      <c r="Q210" s="147"/>
    </row>
    <row r="211" spans="1:17" x14ac:dyDescent="0.3">
      <c r="A211" s="147"/>
      <c r="B211" s="147"/>
      <c r="C211" s="147"/>
      <c r="D211" s="147"/>
      <c r="E211" s="147"/>
      <c r="F211" s="147"/>
      <c r="G211" s="147"/>
      <c r="H211" s="147"/>
      <c r="I211" s="147"/>
      <c r="K211" s="147"/>
      <c r="L211" s="147"/>
      <c r="M211" s="147"/>
      <c r="N211" s="148"/>
      <c r="O211" s="147"/>
      <c r="P211" s="147"/>
      <c r="Q211" s="147"/>
    </row>
    <row r="212" spans="1:17" x14ac:dyDescent="0.3">
      <c r="A212" s="147"/>
      <c r="B212" s="147"/>
      <c r="C212" s="147"/>
      <c r="D212" s="147"/>
      <c r="E212" s="147"/>
      <c r="F212" s="147"/>
      <c r="G212" s="147"/>
      <c r="H212" s="147"/>
      <c r="I212" s="147"/>
      <c r="K212" s="147"/>
      <c r="L212" s="147"/>
      <c r="M212" s="147"/>
      <c r="N212" s="148"/>
      <c r="O212" s="147"/>
      <c r="P212" s="147"/>
      <c r="Q212" s="147"/>
    </row>
    <row r="213" spans="1:17" x14ac:dyDescent="0.3">
      <c r="A213" s="147"/>
      <c r="B213" s="147"/>
      <c r="C213" s="147"/>
      <c r="D213" s="147"/>
      <c r="E213" s="147"/>
      <c r="F213" s="147"/>
      <c r="G213" s="147"/>
      <c r="H213" s="147"/>
      <c r="I213" s="147"/>
      <c r="K213" s="147"/>
      <c r="L213" s="147"/>
      <c r="M213" s="147"/>
      <c r="N213" s="148"/>
      <c r="O213" s="147"/>
      <c r="P213" s="147"/>
      <c r="Q213" s="147"/>
    </row>
    <row r="214" spans="1:17" x14ac:dyDescent="0.3">
      <c r="A214" s="147"/>
      <c r="B214" s="147"/>
      <c r="C214" s="147"/>
      <c r="D214" s="147"/>
      <c r="E214" s="147"/>
      <c r="F214" s="147"/>
      <c r="G214" s="147"/>
      <c r="H214" s="147"/>
      <c r="I214" s="147"/>
      <c r="K214" s="147"/>
      <c r="L214" s="147"/>
      <c r="M214" s="147"/>
      <c r="N214" s="148"/>
      <c r="O214" s="147"/>
      <c r="P214" s="147"/>
      <c r="Q214" s="147"/>
    </row>
    <row r="215" spans="1:17" x14ac:dyDescent="0.3">
      <c r="A215" s="147"/>
      <c r="B215" s="147"/>
      <c r="C215" s="147"/>
      <c r="D215" s="147"/>
      <c r="E215" s="147"/>
      <c r="F215" s="147"/>
      <c r="G215" s="147"/>
      <c r="H215" s="147"/>
      <c r="I215" s="147"/>
      <c r="K215" s="147"/>
      <c r="L215" s="147"/>
      <c r="M215" s="147"/>
      <c r="N215" s="148"/>
      <c r="O215" s="147"/>
      <c r="P215" s="147"/>
      <c r="Q215" s="147"/>
    </row>
    <row r="216" spans="1:17" x14ac:dyDescent="0.3">
      <c r="A216" s="147"/>
      <c r="B216" s="147"/>
      <c r="C216" s="147"/>
      <c r="D216" s="147"/>
      <c r="E216" s="147"/>
      <c r="F216" s="147"/>
      <c r="G216" s="147"/>
      <c r="H216" s="147"/>
      <c r="I216" s="147"/>
      <c r="K216" s="147"/>
      <c r="L216" s="147"/>
      <c r="M216" s="147"/>
      <c r="N216" s="148"/>
      <c r="O216" s="147"/>
      <c r="P216" s="147"/>
      <c r="Q216" s="147"/>
    </row>
    <row r="217" spans="1:17" x14ac:dyDescent="0.3">
      <c r="A217" s="147"/>
      <c r="B217" s="147"/>
      <c r="C217" s="147"/>
      <c r="D217" s="147"/>
      <c r="E217" s="147"/>
      <c r="F217" s="147"/>
      <c r="G217" s="147"/>
      <c r="H217" s="147"/>
      <c r="I217" s="147"/>
      <c r="K217" s="147"/>
      <c r="L217" s="147"/>
      <c r="M217" s="147"/>
      <c r="N217" s="148"/>
      <c r="O217" s="147"/>
      <c r="P217" s="147"/>
      <c r="Q217" s="147"/>
    </row>
    <row r="218" spans="1:17" x14ac:dyDescent="0.3">
      <c r="A218" s="147"/>
      <c r="B218" s="147"/>
      <c r="C218" s="147"/>
      <c r="D218" s="147"/>
      <c r="E218" s="147"/>
      <c r="F218" s="147"/>
      <c r="G218" s="147"/>
      <c r="H218" s="147"/>
      <c r="I218" s="147"/>
      <c r="K218" s="147"/>
      <c r="L218" s="147"/>
      <c r="M218" s="147"/>
      <c r="N218" s="148"/>
      <c r="O218" s="147"/>
      <c r="P218" s="147"/>
      <c r="Q218" s="147"/>
    </row>
    <row r="219" spans="1:17" x14ac:dyDescent="0.3">
      <c r="A219" s="147"/>
      <c r="B219" s="147"/>
      <c r="C219" s="147"/>
      <c r="D219" s="147"/>
      <c r="E219" s="147"/>
      <c r="F219" s="147"/>
      <c r="G219" s="147"/>
      <c r="H219" s="147"/>
      <c r="I219" s="147"/>
      <c r="K219" s="147"/>
      <c r="L219" s="147"/>
      <c r="M219" s="147"/>
      <c r="N219" s="148"/>
      <c r="O219" s="147"/>
      <c r="P219" s="147"/>
      <c r="Q219" s="147"/>
    </row>
    <row r="220" spans="1:17" x14ac:dyDescent="0.3">
      <c r="A220" s="147"/>
      <c r="B220" s="147"/>
      <c r="C220" s="147"/>
      <c r="D220" s="147"/>
      <c r="E220" s="147"/>
      <c r="F220" s="147"/>
      <c r="G220" s="147"/>
      <c r="H220" s="147"/>
      <c r="I220" s="147"/>
      <c r="K220" s="147"/>
      <c r="L220" s="147"/>
      <c r="M220" s="147"/>
      <c r="N220" s="148"/>
      <c r="O220" s="147"/>
      <c r="P220" s="147"/>
      <c r="Q220" s="147"/>
    </row>
    <row r="221" spans="1:17" x14ac:dyDescent="0.3">
      <c r="A221" s="147"/>
      <c r="B221" s="147"/>
      <c r="C221" s="147"/>
      <c r="D221" s="147"/>
      <c r="E221" s="147"/>
      <c r="F221" s="147"/>
      <c r="G221" s="147"/>
      <c r="H221" s="147"/>
      <c r="I221" s="147"/>
      <c r="K221" s="147"/>
      <c r="L221" s="147"/>
      <c r="M221" s="147"/>
      <c r="N221" s="148"/>
      <c r="O221" s="147"/>
      <c r="P221" s="147"/>
      <c r="Q221" s="147"/>
    </row>
    <row r="222" spans="1:17" x14ac:dyDescent="0.3">
      <c r="A222" s="147"/>
      <c r="B222" s="147"/>
      <c r="C222" s="147"/>
      <c r="D222" s="147"/>
      <c r="E222" s="147"/>
      <c r="F222" s="147"/>
      <c r="G222" s="147"/>
      <c r="H222" s="147"/>
      <c r="I222" s="147"/>
      <c r="K222" s="147"/>
      <c r="L222" s="147"/>
      <c r="M222" s="147"/>
      <c r="N222" s="148"/>
      <c r="O222" s="147"/>
      <c r="P222" s="147"/>
      <c r="Q222" s="147"/>
    </row>
    <row r="223" spans="1:17" x14ac:dyDescent="0.3">
      <c r="A223" s="147"/>
      <c r="B223" s="147"/>
      <c r="C223" s="147"/>
      <c r="D223" s="147"/>
      <c r="E223" s="147"/>
      <c r="F223" s="147"/>
      <c r="G223" s="147"/>
      <c r="H223" s="147"/>
      <c r="I223" s="147"/>
      <c r="K223" s="147"/>
      <c r="L223" s="147"/>
      <c r="M223" s="147"/>
      <c r="N223" s="148"/>
      <c r="O223" s="147"/>
      <c r="P223" s="147"/>
      <c r="Q223" s="147"/>
    </row>
    <row r="224" spans="1:17" x14ac:dyDescent="0.3">
      <c r="A224" s="147"/>
      <c r="B224" s="147"/>
      <c r="C224" s="147"/>
      <c r="D224" s="147"/>
      <c r="E224" s="147"/>
      <c r="F224" s="147"/>
      <c r="G224" s="147"/>
      <c r="H224" s="147"/>
      <c r="I224" s="147"/>
      <c r="K224" s="147"/>
      <c r="L224" s="147"/>
      <c r="M224" s="147"/>
      <c r="N224" s="148"/>
      <c r="O224" s="147"/>
      <c r="P224" s="147"/>
      <c r="Q224" s="147"/>
    </row>
    <row r="225" spans="1:17" x14ac:dyDescent="0.3">
      <c r="A225" s="147"/>
      <c r="B225" s="147"/>
      <c r="C225" s="147"/>
      <c r="D225" s="147"/>
      <c r="E225" s="147"/>
      <c r="F225" s="147"/>
      <c r="G225" s="147"/>
      <c r="H225" s="147"/>
      <c r="I225" s="147"/>
      <c r="K225" s="147"/>
      <c r="L225" s="147"/>
      <c r="M225" s="147"/>
      <c r="N225" s="148"/>
      <c r="O225" s="147"/>
      <c r="P225" s="147"/>
      <c r="Q225" s="147"/>
    </row>
    <row r="226" spans="1:17" x14ac:dyDescent="0.3">
      <c r="A226" s="147"/>
      <c r="B226" s="147"/>
      <c r="C226" s="147"/>
      <c r="D226" s="147"/>
      <c r="E226" s="147"/>
      <c r="F226" s="147"/>
      <c r="G226" s="147"/>
      <c r="H226" s="147"/>
      <c r="I226" s="147"/>
      <c r="K226" s="147"/>
      <c r="L226" s="147"/>
      <c r="M226" s="147"/>
      <c r="N226" s="148"/>
      <c r="O226" s="147"/>
      <c r="P226" s="147"/>
      <c r="Q226" s="147"/>
    </row>
    <row r="227" spans="1:17" x14ac:dyDescent="0.3">
      <c r="A227" s="147"/>
      <c r="B227" s="147"/>
      <c r="C227" s="147"/>
      <c r="D227" s="147"/>
      <c r="E227" s="147"/>
      <c r="F227" s="147"/>
      <c r="G227" s="147"/>
      <c r="H227" s="147"/>
      <c r="I227" s="147"/>
      <c r="K227" s="147"/>
      <c r="L227" s="147"/>
      <c r="M227" s="147"/>
      <c r="N227" s="148"/>
      <c r="O227" s="147"/>
      <c r="P227" s="147"/>
      <c r="Q227" s="147"/>
    </row>
    <row r="228" spans="1:17" x14ac:dyDescent="0.3">
      <c r="A228" s="147"/>
      <c r="B228" s="147"/>
      <c r="C228" s="147"/>
      <c r="D228" s="147"/>
      <c r="E228" s="147"/>
      <c r="F228" s="147"/>
      <c r="G228" s="147"/>
      <c r="H228" s="147"/>
      <c r="I228" s="147"/>
      <c r="K228" s="147"/>
      <c r="L228" s="147"/>
      <c r="M228" s="147"/>
      <c r="N228" s="148"/>
      <c r="O228" s="147"/>
      <c r="P228" s="147"/>
      <c r="Q228" s="147"/>
    </row>
    <row r="229" spans="1:17" x14ac:dyDescent="0.3">
      <c r="A229" s="147"/>
      <c r="B229" s="147"/>
      <c r="C229" s="147"/>
      <c r="D229" s="147"/>
      <c r="E229" s="147"/>
      <c r="F229" s="147"/>
      <c r="G229" s="147"/>
      <c r="H229" s="147"/>
      <c r="I229" s="147"/>
      <c r="K229" s="147"/>
      <c r="L229" s="147"/>
      <c r="M229" s="147"/>
      <c r="N229" s="148"/>
      <c r="O229" s="147"/>
      <c r="P229" s="147"/>
      <c r="Q229" s="147"/>
    </row>
    <row r="230" spans="1:17" x14ac:dyDescent="0.3">
      <c r="A230" s="147"/>
      <c r="B230" s="147"/>
      <c r="C230" s="147"/>
      <c r="D230" s="147"/>
      <c r="E230" s="147"/>
      <c r="F230" s="147"/>
      <c r="G230" s="147"/>
      <c r="H230" s="147"/>
      <c r="I230" s="147"/>
      <c r="K230" s="147"/>
      <c r="L230" s="147"/>
      <c r="M230" s="147"/>
      <c r="N230" s="148"/>
      <c r="O230" s="147"/>
      <c r="P230" s="147"/>
      <c r="Q230" s="147"/>
    </row>
    <row r="231" spans="1:17" x14ac:dyDescent="0.3">
      <c r="A231" s="147"/>
      <c r="B231" s="147"/>
      <c r="C231" s="147"/>
      <c r="D231" s="147"/>
      <c r="E231" s="147"/>
      <c r="F231" s="147"/>
      <c r="G231" s="147"/>
      <c r="H231" s="147"/>
      <c r="I231" s="147"/>
      <c r="K231" s="147"/>
      <c r="L231" s="147"/>
      <c r="M231" s="147"/>
      <c r="N231" s="148"/>
      <c r="O231" s="147"/>
      <c r="P231" s="147"/>
      <c r="Q231" s="147"/>
    </row>
    <row r="232" spans="1:17" x14ac:dyDescent="0.3">
      <c r="A232" s="147"/>
      <c r="B232" s="147"/>
      <c r="C232" s="147"/>
      <c r="D232" s="147"/>
      <c r="E232" s="147"/>
      <c r="F232" s="147"/>
      <c r="G232" s="147"/>
      <c r="H232" s="147"/>
      <c r="I232" s="147"/>
      <c r="K232" s="147"/>
      <c r="L232" s="147"/>
      <c r="M232" s="147"/>
      <c r="N232" s="148"/>
      <c r="O232" s="147"/>
      <c r="P232" s="147"/>
      <c r="Q232" s="147"/>
    </row>
    <row r="233" spans="1:17" x14ac:dyDescent="0.3">
      <c r="A233" s="147"/>
      <c r="B233" s="147"/>
      <c r="C233" s="147"/>
      <c r="D233" s="147"/>
      <c r="E233" s="147"/>
      <c r="F233" s="147"/>
      <c r="G233" s="147"/>
      <c r="H233" s="147"/>
      <c r="I233" s="147"/>
      <c r="K233" s="147"/>
      <c r="L233" s="147"/>
      <c r="M233" s="147"/>
      <c r="N233" s="148"/>
      <c r="O233" s="147"/>
      <c r="P233" s="147"/>
      <c r="Q233" s="147"/>
    </row>
    <row r="234" spans="1:17" x14ac:dyDescent="0.3">
      <c r="A234" s="147"/>
      <c r="B234" s="147"/>
      <c r="C234" s="147"/>
      <c r="D234" s="147"/>
      <c r="E234" s="147"/>
      <c r="F234" s="147"/>
      <c r="G234" s="147"/>
      <c r="H234" s="147"/>
      <c r="I234" s="147"/>
      <c r="K234" s="147"/>
      <c r="L234" s="147"/>
      <c r="M234" s="147"/>
      <c r="N234" s="148"/>
      <c r="O234" s="147"/>
      <c r="P234" s="147"/>
      <c r="Q234" s="147"/>
    </row>
    <row r="235" spans="1:17" x14ac:dyDescent="0.3">
      <c r="A235" s="147"/>
      <c r="B235" s="147"/>
      <c r="C235" s="147"/>
      <c r="D235" s="147"/>
      <c r="E235" s="147"/>
      <c r="F235" s="147"/>
      <c r="G235" s="147"/>
      <c r="H235" s="147"/>
      <c r="I235" s="147"/>
      <c r="K235" s="147"/>
      <c r="L235" s="147"/>
      <c r="M235" s="147"/>
      <c r="N235" s="148"/>
      <c r="O235" s="147"/>
      <c r="P235" s="147"/>
      <c r="Q235" s="147"/>
    </row>
    <row r="236" spans="1:17" x14ac:dyDescent="0.3">
      <c r="A236" s="147"/>
      <c r="B236" s="147"/>
      <c r="C236" s="147"/>
      <c r="D236" s="147"/>
      <c r="E236" s="147"/>
      <c r="F236" s="147"/>
      <c r="G236" s="147"/>
      <c r="H236" s="147"/>
      <c r="I236" s="147"/>
      <c r="K236" s="147"/>
      <c r="L236" s="147"/>
      <c r="M236" s="147"/>
      <c r="N236" s="148"/>
      <c r="O236" s="147"/>
      <c r="P236" s="147"/>
      <c r="Q236" s="147"/>
    </row>
    <row r="237" spans="1:17" x14ac:dyDescent="0.3">
      <c r="A237" s="147"/>
      <c r="B237" s="147"/>
      <c r="C237" s="147"/>
      <c r="D237" s="147"/>
      <c r="E237" s="147"/>
      <c r="F237" s="147"/>
      <c r="G237" s="147"/>
      <c r="H237" s="147"/>
      <c r="I237" s="147"/>
      <c r="K237" s="147"/>
      <c r="L237" s="147"/>
      <c r="M237" s="147"/>
      <c r="N237" s="148"/>
      <c r="O237" s="147"/>
      <c r="P237" s="147"/>
      <c r="Q237" s="147"/>
    </row>
    <row r="238" spans="1:17" x14ac:dyDescent="0.3">
      <c r="A238" s="147"/>
      <c r="B238" s="147"/>
      <c r="C238" s="147"/>
      <c r="D238" s="147"/>
      <c r="E238" s="147"/>
      <c r="F238" s="147"/>
      <c r="G238" s="147"/>
      <c r="H238" s="147"/>
      <c r="I238" s="147"/>
      <c r="K238" s="147"/>
      <c r="L238" s="147"/>
      <c r="M238" s="147"/>
      <c r="N238" s="148"/>
      <c r="O238" s="147"/>
      <c r="P238" s="147"/>
      <c r="Q238" s="147"/>
    </row>
    <row r="239" spans="1:17" x14ac:dyDescent="0.3">
      <c r="A239" s="147"/>
      <c r="B239" s="147"/>
      <c r="C239" s="147"/>
      <c r="D239" s="147"/>
      <c r="E239" s="147"/>
      <c r="F239" s="147"/>
      <c r="G239" s="147"/>
      <c r="H239" s="147"/>
      <c r="I239" s="147"/>
      <c r="K239" s="147"/>
      <c r="L239" s="147"/>
      <c r="M239" s="147"/>
      <c r="N239" s="148"/>
      <c r="O239" s="147"/>
      <c r="P239" s="147"/>
      <c r="Q239" s="147"/>
    </row>
    <row r="240" spans="1:17" x14ac:dyDescent="0.3">
      <c r="A240" s="147"/>
      <c r="B240" s="147"/>
      <c r="C240" s="147"/>
      <c r="D240" s="147"/>
      <c r="E240" s="147"/>
      <c r="F240" s="147"/>
      <c r="G240" s="147"/>
      <c r="H240" s="147"/>
      <c r="I240" s="147"/>
      <c r="K240" s="147"/>
      <c r="L240" s="147"/>
      <c r="M240" s="147"/>
      <c r="N240" s="148"/>
      <c r="O240" s="147"/>
      <c r="P240" s="147"/>
      <c r="Q240" s="147"/>
    </row>
    <row r="241" spans="1:17" x14ac:dyDescent="0.3">
      <c r="A241" s="147"/>
      <c r="B241" s="147"/>
      <c r="C241" s="147"/>
      <c r="D241" s="147"/>
      <c r="E241" s="147"/>
      <c r="F241" s="147"/>
      <c r="G241" s="147"/>
      <c r="H241" s="147"/>
      <c r="I241" s="147"/>
      <c r="K241" s="147"/>
      <c r="L241" s="147"/>
      <c r="M241" s="147"/>
      <c r="N241" s="148"/>
      <c r="O241" s="147"/>
      <c r="P241" s="147"/>
      <c r="Q241" s="147"/>
    </row>
    <row r="242" spans="1:17" x14ac:dyDescent="0.3">
      <c r="A242" s="147"/>
      <c r="B242" s="147"/>
      <c r="C242" s="147"/>
      <c r="D242" s="147"/>
      <c r="E242" s="147"/>
      <c r="F242" s="147"/>
      <c r="G242" s="147"/>
      <c r="H242" s="147"/>
      <c r="I242" s="147"/>
      <c r="K242" s="147"/>
      <c r="L242" s="147"/>
      <c r="M242" s="147"/>
      <c r="N242" s="148"/>
      <c r="O242" s="147"/>
      <c r="P242" s="147"/>
      <c r="Q242" s="147"/>
    </row>
    <row r="243" spans="1:17" x14ac:dyDescent="0.3">
      <c r="A243" s="147"/>
      <c r="B243" s="147"/>
      <c r="C243" s="147"/>
      <c r="D243" s="147"/>
      <c r="E243" s="147"/>
      <c r="F243" s="147"/>
      <c r="G243" s="147"/>
      <c r="H243" s="147"/>
      <c r="I243" s="147"/>
      <c r="K243" s="147"/>
      <c r="L243" s="147"/>
      <c r="M243" s="147"/>
      <c r="N243" s="148"/>
      <c r="O243" s="147"/>
      <c r="P243" s="147"/>
      <c r="Q243" s="147"/>
    </row>
    <row r="244" spans="1:17" x14ac:dyDescent="0.3">
      <c r="A244" s="147"/>
      <c r="B244" s="147"/>
      <c r="C244" s="147"/>
      <c r="D244" s="147"/>
      <c r="E244" s="147"/>
      <c r="F244" s="147"/>
      <c r="G244" s="147"/>
      <c r="H244" s="147"/>
      <c r="I244" s="147"/>
      <c r="K244" s="147"/>
      <c r="L244" s="147"/>
      <c r="M244" s="147"/>
      <c r="N244" s="148"/>
      <c r="O244" s="147"/>
      <c r="P244" s="147"/>
      <c r="Q244" s="147"/>
    </row>
    <row r="245" spans="1:17" x14ac:dyDescent="0.3">
      <c r="A245" s="147"/>
      <c r="B245" s="147"/>
      <c r="C245" s="147"/>
      <c r="D245" s="147"/>
      <c r="E245" s="147"/>
      <c r="F245" s="147"/>
      <c r="G245" s="147"/>
      <c r="H245" s="147"/>
      <c r="I245" s="147"/>
      <c r="K245" s="147"/>
      <c r="L245" s="147"/>
      <c r="M245" s="147"/>
      <c r="N245" s="148"/>
      <c r="O245" s="147"/>
      <c r="P245" s="147"/>
      <c r="Q245" s="147"/>
    </row>
    <row r="246" spans="1:17" x14ac:dyDescent="0.3">
      <c r="A246" s="147"/>
      <c r="B246" s="147"/>
      <c r="C246" s="147"/>
      <c r="D246" s="147"/>
      <c r="E246" s="147"/>
      <c r="F246" s="147"/>
      <c r="G246" s="147"/>
      <c r="H246" s="147"/>
      <c r="I246" s="147"/>
      <c r="K246" s="147"/>
      <c r="L246" s="147"/>
      <c r="M246" s="147"/>
      <c r="N246" s="148"/>
      <c r="O246" s="147"/>
      <c r="P246" s="147"/>
      <c r="Q246" s="147"/>
    </row>
    <row r="247" spans="1:17" x14ac:dyDescent="0.3">
      <c r="A247" s="147"/>
      <c r="B247" s="147"/>
      <c r="C247" s="147"/>
      <c r="D247" s="147"/>
      <c r="E247" s="147"/>
      <c r="F247" s="147"/>
      <c r="G247" s="147"/>
      <c r="H247" s="147"/>
      <c r="I247" s="147"/>
      <c r="K247" s="147"/>
      <c r="L247" s="147"/>
      <c r="M247" s="147"/>
      <c r="N247" s="148"/>
      <c r="O247" s="147"/>
      <c r="P247" s="147"/>
      <c r="Q247" s="147"/>
    </row>
    <row r="248" spans="1:17" x14ac:dyDescent="0.3">
      <c r="A248" s="147"/>
      <c r="B248" s="147"/>
      <c r="C248" s="147"/>
      <c r="D248" s="147"/>
      <c r="E248" s="147"/>
      <c r="F248" s="147"/>
      <c r="G248" s="147"/>
      <c r="H248" s="147"/>
      <c r="I248" s="147"/>
      <c r="K248" s="147"/>
      <c r="L248" s="147"/>
      <c r="M248" s="147"/>
      <c r="N248" s="148"/>
      <c r="O248" s="147"/>
      <c r="P248" s="147"/>
      <c r="Q248" s="147"/>
    </row>
    <row r="249" spans="1:17" x14ac:dyDescent="0.3">
      <c r="A249" s="147"/>
      <c r="B249" s="147"/>
      <c r="C249" s="147"/>
      <c r="D249" s="147"/>
      <c r="E249" s="147"/>
      <c r="F249" s="147"/>
      <c r="G249" s="147"/>
      <c r="H249" s="147"/>
      <c r="I249" s="147"/>
      <c r="K249" s="147"/>
      <c r="L249" s="147"/>
      <c r="M249" s="147"/>
      <c r="N249" s="148"/>
      <c r="O249" s="147"/>
      <c r="P249" s="147"/>
      <c r="Q249" s="147"/>
    </row>
    <row r="250" spans="1:17" x14ac:dyDescent="0.3">
      <c r="A250" s="147"/>
      <c r="B250" s="147"/>
      <c r="C250" s="147"/>
      <c r="D250" s="147"/>
      <c r="E250" s="147"/>
      <c r="F250" s="147"/>
      <c r="G250" s="147"/>
      <c r="H250" s="147"/>
      <c r="I250" s="147"/>
      <c r="K250" s="147"/>
      <c r="L250" s="147"/>
      <c r="M250" s="147"/>
      <c r="N250" s="148"/>
      <c r="O250" s="147"/>
      <c r="P250" s="147"/>
      <c r="Q250" s="147"/>
    </row>
    <row r="251" spans="1:17" x14ac:dyDescent="0.3">
      <c r="A251" s="147"/>
      <c r="B251" s="147"/>
      <c r="C251" s="147"/>
      <c r="D251" s="147"/>
      <c r="E251" s="147"/>
      <c r="F251" s="147"/>
      <c r="G251" s="147"/>
      <c r="H251" s="147"/>
      <c r="I251" s="147"/>
      <c r="K251" s="147"/>
      <c r="L251" s="147"/>
      <c r="M251" s="147"/>
      <c r="N251" s="148"/>
      <c r="O251" s="147"/>
      <c r="P251" s="147"/>
      <c r="Q251" s="147"/>
    </row>
    <row r="252" spans="1:17" x14ac:dyDescent="0.3">
      <c r="A252" s="147"/>
      <c r="B252" s="147"/>
      <c r="C252" s="147"/>
      <c r="D252" s="147"/>
      <c r="E252" s="147"/>
      <c r="F252" s="147"/>
      <c r="G252" s="147"/>
      <c r="H252" s="147"/>
      <c r="I252" s="147"/>
      <c r="K252" s="147"/>
      <c r="L252" s="147"/>
      <c r="M252" s="147"/>
      <c r="N252" s="148"/>
      <c r="O252" s="147"/>
      <c r="P252" s="147"/>
      <c r="Q252" s="147"/>
    </row>
    <row r="253" spans="1:17" x14ac:dyDescent="0.3">
      <c r="A253" s="147"/>
      <c r="B253" s="147"/>
      <c r="C253" s="147"/>
      <c r="D253" s="147"/>
      <c r="E253" s="147"/>
      <c r="F253" s="147"/>
      <c r="G253" s="147"/>
      <c r="H253" s="147"/>
      <c r="I253" s="147"/>
      <c r="K253" s="147"/>
      <c r="L253" s="147"/>
      <c r="M253" s="147"/>
      <c r="N253" s="148"/>
      <c r="O253" s="147"/>
      <c r="P253" s="147"/>
      <c r="Q253" s="147"/>
    </row>
    <row r="254" spans="1:17" x14ac:dyDescent="0.3">
      <c r="A254" s="147"/>
      <c r="B254" s="147"/>
      <c r="C254" s="147"/>
      <c r="D254" s="147"/>
      <c r="E254" s="147"/>
      <c r="F254" s="147"/>
      <c r="G254" s="147"/>
      <c r="H254" s="147"/>
      <c r="I254" s="147"/>
      <c r="K254" s="147"/>
      <c r="L254" s="147"/>
      <c r="M254" s="147"/>
      <c r="N254" s="148"/>
      <c r="O254" s="147"/>
      <c r="P254" s="147"/>
      <c r="Q254" s="147"/>
    </row>
    <row r="255" spans="1:17" x14ac:dyDescent="0.3">
      <c r="A255" s="147"/>
      <c r="B255" s="147"/>
      <c r="C255" s="147"/>
      <c r="D255" s="147"/>
      <c r="E255" s="147"/>
      <c r="F255" s="147"/>
      <c r="G255" s="147"/>
      <c r="H255" s="147"/>
      <c r="I255" s="147"/>
      <c r="K255" s="147"/>
      <c r="L255" s="147"/>
      <c r="M255" s="147"/>
      <c r="N255" s="148"/>
      <c r="O255" s="147"/>
      <c r="P255" s="147"/>
      <c r="Q255" s="147"/>
    </row>
    <row r="256" spans="1:17" x14ac:dyDescent="0.3">
      <c r="A256" s="147"/>
      <c r="B256" s="147"/>
      <c r="C256" s="147"/>
      <c r="D256" s="147"/>
      <c r="E256" s="147"/>
      <c r="F256" s="147"/>
      <c r="G256" s="147"/>
      <c r="H256" s="147"/>
      <c r="I256" s="147"/>
      <c r="K256" s="147"/>
      <c r="L256" s="147"/>
      <c r="M256" s="147"/>
      <c r="N256" s="148"/>
      <c r="O256" s="147"/>
      <c r="P256" s="147"/>
      <c r="Q256" s="147"/>
    </row>
    <row r="257" spans="1:17" x14ac:dyDescent="0.3">
      <c r="A257" s="147"/>
      <c r="B257" s="147"/>
      <c r="C257" s="147"/>
      <c r="D257" s="147"/>
      <c r="E257" s="147"/>
      <c r="F257" s="147"/>
      <c r="G257" s="147"/>
      <c r="H257" s="147"/>
      <c r="I257" s="147"/>
      <c r="K257" s="147"/>
      <c r="L257" s="147"/>
      <c r="M257" s="147"/>
      <c r="N257" s="148"/>
      <c r="O257" s="147"/>
      <c r="P257" s="147"/>
      <c r="Q257" s="147"/>
    </row>
    <row r="258" spans="1:17" x14ac:dyDescent="0.3">
      <c r="A258" s="147"/>
      <c r="B258" s="147"/>
      <c r="C258" s="147"/>
      <c r="D258" s="147"/>
      <c r="E258" s="147"/>
      <c r="F258" s="147"/>
      <c r="G258" s="147"/>
      <c r="H258" s="147"/>
      <c r="I258" s="147"/>
      <c r="K258" s="147"/>
      <c r="L258" s="147"/>
      <c r="M258" s="147"/>
      <c r="N258" s="148"/>
      <c r="O258" s="147"/>
      <c r="P258" s="147"/>
      <c r="Q258" s="147"/>
    </row>
    <row r="259" spans="1:17" x14ac:dyDescent="0.3">
      <c r="A259" s="147"/>
      <c r="B259" s="147"/>
      <c r="C259" s="147"/>
      <c r="D259" s="147"/>
      <c r="E259" s="147"/>
      <c r="F259" s="147"/>
      <c r="G259" s="147"/>
      <c r="H259" s="147"/>
      <c r="I259" s="147"/>
      <c r="K259" s="147"/>
      <c r="L259" s="147"/>
      <c r="M259" s="147"/>
      <c r="N259" s="148"/>
      <c r="O259" s="147"/>
      <c r="P259" s="147"/>
      <c r="Q259" s="147"/>
    </row>
    <row r="260" spans="1:17" x14ac:dyDescent="0.3">
      <c r="A260" s="147"/>
      <c r="B260" s="147"/>
      <c r="C260" s="147"/>
      <c r="D260" s="147"/>
      <c r="E260" s="147"/>
      <c r="F260" s="147"/>
      <c r="G260" s="147"/>
      <c r="H260" s="147"/>
      <c r="I260" s="147"/>
      <c r="K260" s="147"/>
      <c r="L260" s="147"/>
      <c r="M260" s="147"/>
      <c r="N260" s="148"/>
      <c r="O260" s="147"/>
      <c r="P260" s="147"/>
      <c r="Q260" s="147"/>
    </row>
    <row r="261" spans="1:17" x14ac:dyDescent="0.3">
      <c r="A261" s="147"/>
      <c r="B261" s="147"/>
      <c r="C261" s="147"/>
      <c r="D261" s="147"/>
      <c r="E261" s="147"/>
      <c r="F261" s="147"/>
      <c r="G261" s="147"/>
      <c r="H261" s="147"/>
      <c r="I261" s="147"/>
      <c r="K261" s="147"/>
      <c r="L261" s="147"/>
      <c r="M261" s="147"/>
      <c r="N261" s="148"/>
      <c r="O261" s="147"/>
      <c r="P261" s="147"/>
      <c r="Q261" s="147"/>
    </row>
    <row r="262" spans="1:17" x14ac:dyDescent="0.3">
      <c r="A262" s="147"/>
      <c r="B262" s="147"/>
      <c r="C262" s="147"/>
      <c r="D262" s="147"/>
      <c r="E262" s="147"/>
      <c r="F262" s="147"/>
      <c r="G262" s="147"/>
      <c r="H262" s="147"/>
      <c r="I262" s="147"/>
      <c r="K262" s="147"/>
      <c r="L262" s="147"/>
      <c r="M262" s="147"/>
      <c r="N262" s="148"/>
      <c r="O262" s="147"/>
      <c r="P262" s="147"/>
      <c r="Q262" s="147"/>
    </row>
    <row r="263" spans="1:17" x14ac:dyDescent="0.3">
      <c r="A263" s="147"/>
      <c r="B263" s="147"/>
      <c r="C263" s="147"/>
      <c r="D263" s="147"/>
      <c r="E263" s="147"/>
      <c r="F263" s="147"/>
      <c r="G263" s="147"/>
      <c r="H263" s="147"/>
      <c r="I263" s="147"/>
      <c r="K263" s="147"/>
      <c r="L263" s="147"/>
      <c r="M263" s="147"/>
      <c r="N263" s="148"/>
      <c r="O263" s="147"/>
      <c r="P263" s="147"/>
      <c r="Q263" s="147"/>
    </row>
    <row r="264" spans="1:17" x14ac:dyDescent="0.3">
      <c r="A264" s="147"/>
      <c r="B264" s="147"/>
      <c r="C264" s="147"/>
      <c r="D264" s="147"/>
      <c r="E264" s="147"/>
      <c r="F264" s="147"/>
      <c r="G264" s="147"/>
      <c r="H264" s="147"/>
      <c r="I264" s="147"/>
      <c r="K264" s="147"/>
      <c r="L264" s="147"/>
      <c r="M264" s="147"/>
      <c r="N264" s="148"/>
      <c r="O264" s="147"/>
      <c r="P264" s="147"/>
      <c r="Q264" s="147"/>
    </row>
    <row r="265" spans="1:17" x14ac:dyDescent="0.3">
      <c r="A265" s="147"/>
      <c r="B265" s="147"/>
      <c r="C265" s="147"/>
      <c r="D265" s="147"/>
      <c r="E265" s="147"/>
      <c r="F265" s="147"/>
      <c r="G265" s="147"/>
      <c r="H265" s="147"/>
      <c r="I265" s="147"/>
      <c r="K265" s="147"/>
      <c r="L265" s="147"/>
      <c r="M265" s="147"/>
      <c r="N265" s="148"/>
      <c r="O265" s="147"/>
      <c r="P265" s="147"/>
      <c r="Q265" s="147"/>
    </row>
    <row r="266" spans="1:17" x14ac:dyDescent="0.3">
      <c r="A266" s="147"/>
      <c r="B266" s="147"/>
      <c r="C266" s="147"/>
      <c r="D266" s="147"/>
      <c r="E266" s="147"/>
      <c r="F266" s="147"/>
      <c r="G266" s="147"/>
      <c r="H266" s="147"/>
      <c r="I266" s="147"/>
      <c r="K266" s="147"/>
      <c r="L266" s="147"/>
      <c r="M266" s="147"/>
      <c r="N266" s="148"/>
      <c r="O266" s="147"/>
      <c r="P266" s="147"/>
      <c r="Q266" s="147"/>
    </row>
    <row r="267" spans="1:17" x14ac:dyDescent="0.3">
      <c r="A267" s="147"/>
      <c r="B267" s="147"/>
      <c r="C267" s="147"/>
      <c r="D267" s="147"/>
      <c r="E267" s="147"/>
      <c r="F267" s="147"/>
      <c r="G267" s="147"/>
      <c r="H267" s="147"/>
      <c r="I267" s="147"/>
      <c r="K267" s="147"/>
      <c r="L267" s="147"/>
      <c r="M267" s="147"/>
      <c r="N267" s="148"/>
      <c r="O267" s="147"/>
      <c r="P267" s="147"/>
      <c r="Q267" s="147"/>
    </row>
    <row r="268" spans="1:17" x14ac:dyDescent="0.3">
      <c r="A268" s="147"/>
      <c r="B268" s="147"/>
      <c r="C268" s="147"/>
      <c r="D268" s="147"/>
      <c r="E268" s="147"/>
      <c r="F268" s="147"/>
      <c r="G268" s="147"/>
      <c r="H268" s="147"/>
      <c r="I268" s="147"/>
      <c r="K268" s="147"/>
      <c r="L268" s="147"/>
      <c r="M268" s="147"/>
      <c r="N268" s="148"/>
      <c r="O268" s="147"/>
      <c r="P268" s="147"/>
      <c r="Q268" s="147"/>
    </row>
    <row r="269" spans="1:17" x14ac:dyDescent="0.3">
      <c r="A269" s="147"/>
      <c r="B269" s="147"/>
      <c r="C269" s="147"/>
      <c r="D269" s="147"/>
      <c r="E269" s="147"/>
      <c r="F269" s="147"/>
      <c r="G269" s="147"/>
      <c r="H269" s="147"/>
      <c r="I269" s="147"/>
      <c r="K269" s="147"/>
      <c r="L269" s="147"/>
      <c r="M269" s="147"/>
      <c r="N269" s="148"/>
      <c r="O269" s="147"/>
      <c r="P269" s="147"/>
      <c r="Q269" s="147"/>
    </row>
    <row r="270" spans="1:17" x14ac:dyDescent="0.3">
      <c r="A270" s="147"/>
      <c r="B270" s="147"/>
      <c r="C270" s="147"/>
      <c r="D270" s="147"/>
      <c r="E270" s="147"/>
      <c r="F270" s="147"/>
      <c r="G270" s="147"/>
      <c r="H270" s="147"/>
      <c r="I270" s="147"/>
      <c r="K270" s="147"/>
      <c r="L270" s="147"/>
      <c r="M270" s="147"/>
      <c r="N270" s="148"/>
      <c r="O270" s="147"/>
      <c r="P270" s="147"/>
      <c r="Q270" s="147"/>
    </row>
    <row r="271" spans="1:17" x14ac:dyDescent="0.3">
      <c r="A271" s="147"/>
      <c r="B271" s="147"/>
      <c r="C271" s="147"/>
      <c r="D271" s="147"/>
      <c r="E271" s="147"/>
      <c r="F271" s="147"/>
      <c r="G271" s="147"/>
      <c r="H271" s="147"/>
      <c r="I271" s="147"/>
      <c r="K271" s="147"/>
      <c r="L271" s="147"/>
      <c r="M271" s="147"/>
      <c r="N271" s="148"/>
      <c r="O271" s="147"/>
      <c r="P271" s="147"/>
      <c r="Q271" s="147"/>
    </row>
    <row r="272" spans="1:17" x14ac:dyDescent="0.3">
      <c r="A272" s="147"/>
      <c r="B272" s="147"/>
      <c r="C272" s="147"/>
      <c r="D272" s="147"/>
      <c r="E272" s="147"/>
      <c r="F272" s="147"/>
      <c r="G272" s="147"/>
      <c r="H272" s="147"/>
      <c r="I272" s="147"/>
      <c r="K272" s="147"/>
      <c r="L272" s="147"/>
      <c r="M272" s="147"/>
      <c r="N272" s="148"/>
      <c r="O272" s="147"/>
      <c r="P272" s="147"/>
      <c r="Q272" s="147"/>
    </row>
    <row r="273" spans="1:17" x14ac:dyDescent="0.3">
      <c r="A273" s="147"/>
      <c r="B273" s="147"/>
      <c r="C273" s="147"/>
      <c r="D273" s="147"/>
      <c r="E273" s="147"/>
      <c r="F273" s="147"/>
      <c r="G273" s="147"/>
      <c r="H273" s="147"/>
      <c r="I273" s="147"/>
      <c r="K273" s="147"/>
      <c r="L273" s="147"/>
      <c r="M273" s="147"/>
      <c r="N273" s="148"/>
      <c r="O273" s="147"/>
      <c r="P273" s="147"/>
      <c r="Q273" s="147"/>
    </row>
    <row r="274" spans="1:17" x14ac:dyDescent="0.3">
      <c r="A274" s="147"/>
      <c r="B274" s="147"/>
      <c r="C274" s="147"/>
      <c r="D274" s="147"/>
      <c r="E274" s="147"/>
      <c r="F274" s="147"/>
      <c r="G274" s="147"/>
      <c r="H274" s="147"/>
      <c r="I274" s="147"/>
      <c r="K274" s="147"/>
      <c r="L274" s="147"/>
      <c r="M274" s="147"/>
      <c r="N274" s="148"/>
      <c r="O274" s="147"/>
      <c r="P274" s="147"/>
      <c r="Q274" s="147"/>
    </row>
    <row r="275" spans="1:17" x14ac:dyDescent="0.3">
      <c r="A275" s="147"/>
      <c r="B275" s="147"/>
      <c r="C275" s="147"/>
      <c r="D275" s="147"/>
      <c r="E275" s="147"/>
      <c r="F275" s="147"/>
      <c r="G275" s="147"/>
      <c r="H275" s="147"/>
      <c r="I275" s="147"/>
      <c r="K275" s="147"/>
      <c r="L275" s="147"/>
      <c r="M275" s="147"/>
      <c r="N275" s="148"/>
      <c r="O275" s="147"/>
      <c r="P275" s="147"/>
      <c r="Q275" s="147"/>
    </row>
    <row r="276" spans="1:17" x14ac:dyDescent="0.3">
      <c r="A276" s="147"/>
      <c r="B276" s="147"/>
      <c r="C276" s="147"/>
      <c r="D276" s="147"/>
      <c r="E276" s="147"/>
      <c r="F276" s="147"/>
      <c r="G276" s="147"/>
      <c r="H276" s="147"/>
      <c r="I276" s="147"/>
      <c r="K276" s="147"/>
      <c r="L276" s="147"/>
      <c r="M276" s="147"/>
      <c r="N276" s="148"/>
      <c r="O276" s="147"/>
      <c r="P276" s="147"/>
      <c r="Q276" s="147"/>
    </row>
    <row r="277" spans="1:17" x14ac:dyDescent="0.3">
      <c r="A277" s="147"/>
      <c r="B277" s="147"/>
      <c r="C277" s="147"/>
      <c r="D277" s="147"/>
      <c r="E277" s="147"/>
      <c r="F277" s="147"/>
      <c r="G277" s="147"/>
      <c r="H277" s="147"/>
      <c r="I277" s="147"/>
      <c r="K277" s="147"/>
      <c r="L277" s="147"/>
      <c r="M277" s="147"/>
      <c r="N277" s="148"/>
      <c r="O277" s="147"/>
      <c r="P277" s="147"/>
      <c r="Q277" s="147"/>
    </row>
    <row r="278" spans="1:17" x14ac:dyDescent="0.3">
      <c r="A278" s="147"/>
      <c r="B278" s="147"/>
      <c r="C278" s="147"/>
      <c r="D278" s="147"/>
      <c r="E278" s="147"/>
      <c r="F278" s="147"/>
      <c r="G278" s="147"/>
      <c r="H278" s="147"/>
      <c r="I278" s="147"/>
      <c r="K278" s="147"/>
      <c r="L278" s="147"/>
      <c r="M278" s="147"/>
      <c r="N278" s="148"/>
      <c r="O278" s="147"/>
      <c r="P278" s="147"/>
      <c r="Q278" s="147"/>
    </row>
    <row r="279" spans="1:17" x14ac:dyDescent="0.3">
      <c r="A279" s="147"/>
      <c r="B279" s="147"/>
      <c r="C279" s="147"/>
      <c r="D279" s="147"/>
      <c r="E279" s="147"/>
      <c r="F279" s="147"/>
      <c r="G279" s="147"/>
      <c r="H279" s="147"/>
      <c r="I279" s="147"/>
      <c r="K279" s="147"/>
      <c r="L279" s="147"/>
      <c r="M279" s="147"/>
      <c r="N279" s="148"/>
      <c r="O279" s="147"/>
      <c r="P279" s="147"/>
      <c r="Q279" s="147"/>
    </row>
    <row r="280" spans="1:17" x14ac:dyDescent="0.3">
      <c r="A280" s="147"/>
      <c r="B280" s="147"/>
      <c r="C280" s="147"/>
      <c r="D280" s="147"/>
      <c r="E280" s="147"/>
      <c r="F280" s="147"/>
      <c r="G280" s="147"/>
      <c r="H280" s="147"/>
      <c r="I280" s="147"/>
      <c r="K280" s="147"/>
      <c r="L280" s="147"/>
      <c r="M280" s="147"/>
      <c r="N280" s="148"/>
      <c r="O280" s="147"/>
      <c r="P280" s="147"/>
      <c r="Q280" s="147"/>
    </row>
    <row r="281" spans="1:17" x14ac:dyDescent="0.3">
      <c r="A281" s="147"/>
      <c r="B281" s="147"/>
      <c r="C281" s="147"/>
      <c r="D281" s="147"/>
      <c r="E281" s="147"/>
      <c r="F281" s="147"/>
      <c r="G281" s="147"/>
      <c r="H281" s="147"/>
      <c r="I281" s="147"/>
      <c r="K281" s="147"/>
      <c r="L281" s="147"/>
      <c r="M281" s="147"/>
      <c r="N281" s="148"/>
      <c r="O281" s="147"/>
      <c r="P281" s="147"/>
      <c r="Q281" s="147"/>
    </row>
    <row r="282" spans="1:17" x14ac:dyDescent="0.3">
      <c r="A282" s="147"/>
      <c r="B282" s="147"/>
      <c r="C282" s="147"/>
      <c r="D282" s="147"/>
      <c r="E282" s="147"/>
      <c r="F282" s="147"/>
      <c r="G282" s="147"/>
      <c r="H282" s="147"/>
      <c r="I282" s="147"/>
      <c r="K282" s="147"/>
      <c r="L282" s="147"/>
      <c r="M282" s="147"/>
      <c r="N282" s="148"/>
      <c r="O282" s="147"/>
      <c r="P282" s="147"/>
      <c r="Q282" s="147"/>
    </row>
    <row r="283" spans="1:17" x14ac:dyDescent="0.3">
      <c r="A283" s="147"/>
      <c r="B283" s="147"/>
      <c r="C283" s="147"/>
      <c r="D283" s="147"/>
      <c r="E283" s="147"/>
      <c r="F283" s="147"/>
      <c r="G283" s="147"/>
      <c r="H283" s="147"/>
      <c r="I283" s="147"/>
      <c r="K283" s="147"/>
      <c r="L283" s="147"/>
      <c r="M283" s="147"/>
      <c r="N283" s="148"/>
      <c r="O283" s="147"/>
      <c r="P283" s="147"/>
      <c r="Q283" s="147"/>
    </row>
    <row r="284" spans="1:17" x14ac:dyDescent="0.3">
      <c r="A284" s="147"/>
      <c r="B284" s="147"/>
      <c r="C284" s="147"/>
      <c r="D284" s="147"/>
      <c r="E284" s="147"/>
      <c r="F284" s="147"/>
      <c r="G284" s="147"/>
      <c r="H284" s="147"/>
      <c r="I284" s="147"/>
      <c r="K284" s="147"/>
      <c r="L284" s="147"/>
      <c r="M284" s="147"/>
      <c r="N284" s="148"/>
      <c r="O284" s="147"/>
      <c r="P284" s="147"/>
      <c r="Q284" s="147"/>
    </row>
    <row r="285" spans="1:17" x14ac:dyDescent="0.3">
      <c r="A285" s="147"/>
      <c r="B285" s="147"/>
      <c r="C285" s="147"/>
      <c r="D285" s="147"/>
      <c r="E285" s="147"/>
      <c r="F285" s="147"/>
      <c r="G285" s="147"/>
      <c r="H285" s="147"/>
      <c r="I285" s="147"/>
      <c r="K285" s="147"/>
      <c r="L285" s="147"/>
      <c r="M285" s="147"/>
      <c r="N285" s="148"/>
      <c r="O285" s="147"/>
      <c r="P285" s="147"/>
      <c r="Q285" s="147"/>
    </row>
    <row r="286" spans="1:17" x14ac:dyDescent="0.3">
      <c r="A286" s="147"/>
      <c r="B286" s="147"/>
      <c r="C286" s="147"/>
      <c r="D286" s="147"/>
      <c r="E286" s="147"/>
      <c r="F286" s="147"/>
      <c r="G286" s="147"/>
      <c r="H286" s="147"/>
      <c r="I286" s="147"/>
      <c r="K286" s="147"/>
      <c r="L286" s="147"/>
      <c r="M286" s="147"/>
      <c r="N286" s="148"/>
      <c r="O286" s="147"/>
      <c r="P286" s="147"/>
      <c r="Q286" s="147"/>
    </row>
    <row r="287" spans="1:17" x14ac:dyDescent="0.3">
      <c r="A287" s="147"/>
      <c r="B287" s="147"/>
      <c r="C287" s="147"/>
      <c r="D287" s="147"/>
      <c r="E287" s="147"/>
      <c r="F287" s="147"/>
      <c r="G287" s="147"/>
      <c r="H287" s="147"/>
      <c r="I287" s="147"/>
      <c r="K287" s="147"/>
      <c r="L287" s="147"/>
      <c r="M287" s="147"/>
      <c r="N287" s="148"/>
      <c r="O287" s="147"/>
      <c r="P287" s="147"/>
      <c r="Q287" s="147"/>
    </row>
    <row r="288" spans="1:17" x14ac:dyDescent="0.3">
      <c r="A288" s="147"/>
      <c r="B288" s="147"/>
      <c r="C288" s="147"/>
      <c r="D288" s="147"/>
      <c r="E288" s="147"/>
      <c r="F288" s="147"/>
      <c r="G288" s="147"/>
      <c r="H288" s="147"/>
      <c r="I288" s="147"/>
      <c r="K288" s="147"/>
      <c r="L288" s="147"/>
      <c r="M288" s="147"/>
      <c r="N288" s="148"/>
      <c r="O288" s="147"/>
      <c r="P288" s="147"/>
      <c r="Q288" s="147"/>
    </row>
    <row r="289" spans="1:17" x14ac:dyDescent="0.3">
      <c r="A289" s="147"/>
      <c r="B289" s="147"/>
      <c r="C289" s="147"/>
      <c r="D289" s="147"/>
      <c r="E289" s="147"/>
      <c r="F289" s="147"/>
      <c r="G289" s="147"/>
      <c r="H289" s="147"/>
      <c r="I289" s="147"/>
      <c r="K289" s="147"/>
      <c r="L289" s="147"/>
      <c r="M289" s="147"/>
      <c r="N289" s="148"/>
      <c r="O289" s="147"/>
      <c r="P289" s="147"/>
      <c r="Q289" s="147"/>
    </row>
    <row r="290" spans="1:17" x14ac:dyDescent="0.3">
      <c r="A290" s="147"/>
      <c r="B290" s="147"/>
      <c r="C290" s="147"/>
      <c r="D290" s="147"/>
      <c r="E290" s="147"/>
      <c r="F290" s="147"/>
      <c r="G290" s="147"/>
      <c r="H290" s="147"/>
      <c r="I290" s="147"/>
      <c r="K290" s="147"/>
      <c r="L290" s="147"/>
      <c r="M290" s="147"/>
      <c r="N290" s="148"/>
      <c r="O290" s="147"/>
      <c r="P290" s="147"/>
      <c r="Q290" s="147"/>
    </row>
    <row r="291" spans="1:17" x14ac:dyDescent="0.3">
      <c r="A291" s="147"/>
      <c r="B291" s="147"/>
      <c r="C291" s="147"/>
      <c r="D291" s="147"/>
      <c r="E291" s="147"/>
      <c r="F291" s="147"/>
      <c r="G291" s="147"/>
      <c r="H291" s="147"/>
      <c r="I291" s="147"/>
      <c r="K291" s="147"/>
      <c r="L291" s="147"/>
      <c r="M291" s="147"/>
      <c r="N291" s="148"/>
      <c r="O291" s="147"/>
      <c r="P291" s="147"/>
      <c r="Q291" s="147"/>
    </row>
    <row r="292" spans="1:17" x14ac:dyDescent="0.3">
      <c r="A292" s="147"/>
      <c r="B292" s="147"/>
      <c r="C292" s="147"/>
      <c r="D292" s="147"/>
      <c r="E292" s="147"/>
      <c r="F292" s="147"/>
      <c r="G292" s="147"/>
      <c r="H292" s="147"/>
      <c r="I292" s="147"/>
      <c r="K292" s="147"/>
      <c r="L292" s="147"/>
      <c r="M292" s="147"/>
      <c r="N292" s="148"/>
      <c r="O292" s="147"/>
      <c r="P292" s="147"/>
      <c r="Q292" s="147"/>
    </row>
    <row r="293" spans="1:17" x14ac:dyDescent="0.3">
      <c r="A293" s="147"/>
      <c r="B293" s="147"/>
      <c r="C293" s="147"/>
      <c r="D293" s="147"/>
      <c r="E293" s="147"/>
      <c r="F293" s="147"/>
      <c r="G293" s="147"/>
      <c r="H293" s="147"/>
      <c r="I293" s="147"/>
      <c r="K293" s="147"/>
      <c r="L293" s="147"/>
      <c r="M293" s="147"/>
      <c r="N293" s="148"/>
      <c r="O293" s="147"/>
      <c r="P293" s="147"/>
      <c r="Q293" s="147"/>
    </row>
    <row r="294" spans="1:17" x14ac:dyDescent="0.3">
      <c r="A294" s="147"/>
      <c r="B294" s="147"/>
      <c r="C294" s="147"/>
      <c r="D294" s="147"/>
      <c r="E294" s="147"/>
      <c r="F294" s="147"/>
      <c r="G294" s="147"/>
      <c r="H294" s="147"/>
      <c r="I294" s="147"/>
      <c r="K294" s="147"/>
      <c r="L294" s="147"/>
      <c r="M294" s="147"/>
      <c r="N294" s="148"/>
      <c r="O294" s="147"/>
      <c r="P294" s="147"/>
      <c r="Q294" s="147"/>
    </row>
    <row r="295" spans="1:17" x14ac:dyDescent="0.3">
      <c r="A295" s="147"/>
      <c r="B295" s="147"/>
      <c r="C295" s="147"/>
      <c r="D295" s="147"/>
      <c r="E295" s="147"/>
      <c r="F295" s="147"/>
      <c r="G295" s="147"/>
      <c r="H295" s="147"/>
      <c r="I295" s="147"/>
      <c r="K295" s="147"/>
      <c r="L295" s="147"/>
      <c r="M295" s="147"/>
      <c r="N295" s="148"/>
      <c r="O295" s="147"/>
      <c r="P295" s="147"/>
      <c r="Q295" s="147"/>
    </row>
    <row r="296" spans="1:17" x14ac:dyDescent="0.3">
      <c r="A296" s="147"/>
      <c r="B296" s="147"/>
      <c r="C296" s="147"/>
      <c r="D296" s="147"/>
      <c r="E296" s="147"/>
      <c r="F296" s="147"/>
      <c r="G296" s="147"/>
      <c r="H296" s="147"/>
      <c r="I296" s="147"/>
      <c r="K296" s="147"/>
      <c r="L296" s="147"/>
      <c r="M296" s="147"/>
      <c r="N296" s="148"/>
      <c r="O296" s="147"/>
      <c r="P296" s="147"/>
      <c r="Q296" s="147"/>
    </row>
    <row r="297" spans="1:17" x14ac:dyDescent="0.3">
      <c r="A297" s="147"/>
      <c r="B297" s="147"/>
      <c r="C297" s="147"/>
      <c r="D297" s="147"/>
      <c r="E297" s="147"/>
      <c r="F297" s="147"/>
      <c r="G297" s="147"/>
      <c r="H297" s="147"/>
      <c r="I297" s="147"/>
      <c r="K297" s="147"/>
      <c r="L297" s="147"/>
      <c r="M297" s="147"/>
      <c r="N297" s="148"/>
      <c r="O297" s="147"/>
      <c r="P297" s="147"/>
      <c r="Q297" s="147"/>
    </row>
    <row r="298" spans="1:17" x14ac:dyDescent="0.3">
      <c r="A298" s="147"/>
      <c r="B298" s="147"/>
      <c r="C298" s="147"/>
      <c r="D298" s="147"/>
      <c r="E298" s="147"/>
      <c r="F298" s="147"/>
      <c r="G298" s="147"/>
      <c r="H298" s="147"/>
      <c r="I298" s="147"/>
      <c r="K298" s="147"/>
      <c r="L298" s="147"/>
      <c r="M298" s="147"/>
      <c r="N298" s="148"/>
      <c r="O298" s="147"/>
      <c r="P298" s="147"/>
      <c r="Q298" s="147"/>
    </row>
    <row r="299" spans="1:17" x14ac:dyDescent="0.3">
      <c r="A299" s="147"/>
      <c r="B299" s="147"/>
      <c r="C299" s="147"/>
      <c r="D299" s="147"/>
      <c r="E299" s="147"/>
      <c r="F299" s="147"/>
      <c r="G299" s="147"/>
      <c r="H299" s="147"/>
      <c r="I299" s="147"/>
      <c r="K299" s="147"/>
      <c r="L299" s="147"/>
      <c r="M299" s="147"/>
      <c r="N299" s="148"/>
      <c r="O299" s="147"/>
      <c r="P299" s="147"/>
      <c r="Q299" s="147"/>
    </row>
    <row r="300" spans="1:17" x14ac:dyDescent="0.3">
      <c r="A300" s="147"/>
      <c r="B300" s="147"/>
      <c r="C300" s="147"/>
      <c r="D300" s="147"/>
      <c r="E300" s="147"/>
      <c r="F300" s="147"/>
      <c r="G300" s="147"/>
      <c r="H300" s="147"/>
      <c r="I300" s="147"/>
      <c r="K300" s="147"/>
      <c r="L300" s="147"/>
      <c r="M300" s="147"/>
      <c r="N300" s="148"/>
      <c r="O300" s="147"/>
      <c r="P300" s="147"/>
      <c r="Q300" s="147"/>
    </row>
  </sheetData>
  <autoFilter ref="A1:P1" xr:uid="{E33159D3-60CD-4070-8D3E-4ECEDA327516}"/>
  <sortState xmlns:xlrd2="http://schemas.microsoft.com/office/spreadsheetml/2017/richdata2" ref="A2:P182">
    <sortCondition descending="1" ref="D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3EBAC-68F1-4526-8317-2181AC7DE227}">
  <sheetPr codeName="Sheet8"/>
  <dimension ref="J1:N12"/>
  <sheetViews>
    <sheetView workbookViewId="0">
      <selection activeCell="L36" sqref="L36"/>
    </sheetView>
  </sheetViews>
  <sheetFormatPr defaultRowHeight="14.4" x14ac:dyDescent="0.3"/>
  <cols>
    <col min="10" max="10" width="31.77734375" bestFit="1" customWidth="1"/>
    <col min="11" max="11" width="7.109375" bestFit="1" customWidth="1"/>
    <col min="13" max="13" width="31.77734375" bestFit="1" customWidth="1"/>
    <col min="14" max="14" width="7.109375" bestFit="1" customWidth="1"/>
  </cols>
  <sheetData>
    <row r="1" spans="10:14" x14ac:dyDescent="0.3">
      <c r="J1" t="s">
        <v>674</v>
      </c>
      <c r="M1" t="s">
        <v>675</v>
      </c>
    </row>
    <row r="2" spans="10:14" x14ac:dyDescent="0.3">
      <c r="J2" t="s">
        <v>668</v>
      </c>
      <c r="K2">
        <v>46</v>
      </c>
      <c r="M2" t="s">
        <v>668</v>
      </c>
      <c r="N2">
        <v>46</v>
      </c>
    </row>
    <row r="3" spans="10:14" x14ac:dyDescent="0.3">
      <c r="J3" t="s">
        <v>669</v>
      </c>
      <c r="K3">
        <v>73</v>
      </c>
      <c r="M3" t="s">
        <v>669</v>
      </c>
      <c r="N3">
        <v>73</v>
      </c>
    </row>
    <row r="4" spans="10:14" x14ac:dyDescent="0.3">
      <c r="J4" t="s">
        <v>676</v>
      </c>
      <c r="K4">
        <v>6</v>
      </c>
      <c r="M4" t="s">
        <v>676</v>
      </c>
      <c r="N4">
        <v>14</v>
      </c>
    </row>
    <row r="5" spans="10:14" x14ac:dyDescent="0.3">
      <c r="J5" t="s">
        <v>534</v>
      </c>
      <c r="K5">
        <v>187</v>
      </c>
      <c r="M5" t="s">
        <v>534</v>
      </c>
      <c r="N5">
        <v>187</v>
      </c>
    </row>
    <row r="6" spans="10:14" x14ac:dyDescent="0.3">
      <c r="J6" t="s">
        <v>677</v>
      </c>
      <c r="K6">
        <v>66</v>
      </c>
      <c r="M6" t="s">
        <v>677</v>
      </c>
      <c r="N6">
        <v>66</v>
      </c>
    </row>
    <row r="7" spans="10:14" x14ac:dyDescent="0.3">
      <c r="J7" t="s">
        <v>678</v>
      </c>
      <c r="K7">
        <v>121</v>
      </c>
      <c r="M7" t="s">
        <v>678</v>
      </c>
      <c r="N7">
        <v>121</v>
      </c>
    </row>
    <row r="9" spans="10:14" x14ac:dyDescent="0.3">
      <c r="J9" t="s">
        <v>670</v>
      </c>
      <c r="K9" s="155">
        <v>0.63636363636363635</v>
      </c>
      <c r="M9" t="s">
        <v>670</v>
      </c>
      <c r="N9" s="155">
        <v>0.63636363636363635</v>
      </c>
    </row>
    <row r="10" spans="10:14" x14ac:dyDescent="0.3">
      <c r="J10" t="s">
        <v>671</v>
      </c>
      <c r="K10" s="155">
        <v>0.66844919786096257</v>
      </c>
      <c r="M10" t="s">
        <v>671</v>
      </c>
      <c r="N10" s="155">
        <v>0.71122994652406413</v>
      </c>
    </row>
    <row r="11" spans="10:14" x14ac:dyDescent="0.3">
      <c r="J11" t="s">
        <v>672</v>
      </c>
      <c r="K11" s="155">
        <v>0.78787878787878785</v>
      </c>
      <c r="M11" t="s">
        <v>672</v>
      </c>
      <c r="N11" s="155">
        <v>0.90909090909090906</v>
      </c>
    </row>
    <row r="12" spans="10:14" x14ac:dyDescent="0.3">
      <c r="J12" t="s">
        <v>673</v>
      </c>
      <c r="K12" s="155">
        <v>0.60330578512396693</v>
      </c>
      <c r="M12" t="s">
        <v>673</v>
      </c>
      <c r="N12" s="155">
        <v>0.60330578512396693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77364-3E8C-43B5-9DDA-DE1E1FFEB5A9}">
  <sheetPr codeName="Sheet46"/>
  <dimension ref="A1:J300"/>
  <sheetViews>
    <sheetView workbookViewId="0"/>
  </sheetViews>
  <sheetFormatPr defaultRowHeight="14.4" x14ac:dyDescent="0.3"/>
  <cols>
    <col min="1" max="4" width="24.77734375" customWidth="1"/>
    <col min="5" max="5" width="30.77734375" style="151" customWidth="1"/>
    <col min="6" max="7" width="24.77734375" customWidth="1"/>
    <col min="8" max="8" width="24.77734375" style="142" customWidth="1"/>
    <col min="9" max="9" width="24.77734375" style="143" customWidth="1"/>
    <col min="10" max="11" width="24.77734375" customWidth="1"/>
  </cols>
  <sheetData>
    <row r="1" spans="1:10" s="141" customFormat="1" x14ac:dyDescent="0.3">
      <c r="A1" s="144" t="s">
        <v>322</v>
      </c>
      <c r="B1" s="144" t="s">
        <v>323</v>
      </c>
      <c r="C1" s="144" t="s">
        <v>324</v>
      </c>
      <c r="D1" s="144" t="s">
        <v>325</v>
      </c>
      <c r="E1" s="150" t="s">
        <v>326</v>
      </c>
      <c r="F1" s="144" t="s">
        <v>328</v>
      </c>
      <c r="G1" s="144" t="s">
        <v>327</v>
      </c>
      <c r="H1" s="145" t="s">
        <v>329</v>
      </c>
      <c r="I1" s="146" t="s">
        <v>330</v>
      </c>
      <c r="J1" s="144" t="s">
        <v>331</v>
      </c>
    </row>
    <row r="2" spans="1:10" x14ac:dyDescent="0.3">
      <c r="A2" s="147" t="s">
        <v>332</v>
      </c>
      <c r="B2" s="147" t="s">
        <v>359</v>
      </c>
      <c r="C2" s="147" t="s">
        <v>360</v>
      </c>
      <c r="D2" s="152">
        <v>0.82828372033030995</v>
      </c>
      <c r="E2" s="151" t="s">
        <v>335</v>
      </c>
      <c r="F2" s="147" t="s">
        <v>666</v>
      </c>
      <c r="G2" s="147" t="s">
        <v>336</v>
      </c>
      <c r="H2" s="148">
        <v>10.780999999999999</v>
      </c>
      <c r="I2" s="149">
        <v>1445524.7</v>
      </c>
      <c r="J2" s="147" t="s">
        <v>333</v>
      </c>
    </row>
    <row r="3" spans="1:10" x14ac:dyDescent="0.3">
      <c r="A3" s="147" t="s">
        <v>334</v>
      </c>
      <c r="B3" s="147" t="s">
        <v>367</v>
      </c>
      <c r="C3" s="147" t="s">
        <v>368</v>
      </c>
      <c r="D3" s="152">
        <v>0.72477925874426996</v>
      </c>
      <c r="E3" s="151" t="s">
        <v>679</v>
      </c>
      <c r="F3" s="147" t="s">
        <v>680</v>
      </c>
      <c r="G3" s="147" t="s">
        <v>336</v>
      </c>
      <c r="H3" s="148">
        <v>15.033100000000001</v>
      </c>
      <c r="I3" s="149">
        <v>2464788.81</v>
      </c>
      <c r="J3" s="147" t="s">
        <v>333</v>
      </c>
    </row>
    <row r="4" spans="1:10" ht="28.8" x14ac:dyDescent="0.3">
      <c r="A4" s="147" t="s">
        <v>337</v>
      </c>
      <c r="B4" s="147" t="s">
        <v>363</v>
      </c>
      <c r="C4" s="147" t="s">
        <v>364</v>
      </c>
      <c r="D4" s="160">
        <v>0.64662086787320205</v>
      </c>
      <c r="E4" s="151" t="s">
        <v>665</v>
      </c>
      <c r="F4" s="147" t="s">
        <v>667</v>
      </c>
      <c r="G4" s="147" t="s">
        <v>336</v>
      </c>
      <c r="H4" s="148">
        <v>26.477399999999999</v>
      </c>
      <c r="I4" s="149">
        <v>2208876.14</v>
      </c>
      <c r="J4" s="147" t="s">
        <v>333</v>
      </c>
    </row>
    <row r="5" spans="1:10" x14ac:dyDescent="0.3">
      <c r="A5" s="147"/>
      <c r="B5" s="147" t="s">
        <v>361</v>
      </c>
      <c r="C5" s="147" t="s">
        <v>358</v>
      </c>
      <c r="D5" s="147"/>
      <c r="E5" s="151" t="s">
        <v>654</v>
      </c>
      <c r="F5" s="147" t="s">
        <v>159</v>
      </c>
      <c r="G5" s="147"/>
      <c r="H5" s="148">
        <v>8.7602499999999992</v>
      </c>
      <c r="I5" s="149">
        <v>1121990.25</v>
      </c>
      <c r="J5" s="147"/>
    </row>
    <row r="6" spans="1:10" x14ac:dyDescent="0.3">
      <c r="A6" s="147"/>
      <c r="B6" s="147" t="s">
        <v>362</v>
      </c>
      <c r="C6" s="147" t="s">
        <v>358</v>
      </c>
      <c r="D6" s="147"/>
      <c r="E6" s="151" t="s">
        <v>655</v>
      </c>
      <c r="F6" s="147" t="s">
        <v>84</v>
      </c>
      <c r="G6" s="147"/>
      <c r="H6" s="148">
        <v>12.28</v>
      </c>
      <c r="I6" s="149">
        <v>1690789.27</v>
      </c>
      <c r="J6" s="147"/>
    </row>
    <row r="7" spans="1:10" x14ac:dyDescent="0.3">
      <c r="A7" s="147"/>
      <c r="B7" s="147" t="s">
        <v>365</v>
      </c>
      <c r="C7" s="147" t="s">
        <v>358</v>
      </c>
      <c r="D7" s="147"/>
      <c r="E7" s="151" t="s">
        <v>656</v>
      </c>
      <c r="F7" s="147" t="s">
        <v>151</v>
      </c>
      <c r="G7" s="147"/>
      <c r="H7" s="148">
        <v>18.96</v>
      </c>
      <c r="I7" s="149">
        <v>3541703.49</v>
      </c>
      <c r="J7" s="147"/>
    </row>
    <row r="8" spans="1:10" x14ac:dyDescent="0.3">
      <c r="A8" s="147"/>
      <c r="B8" s="147" t="s">
        <v>366</v>
      </c>
      <c r="C8" s="147" t="s">
        <v>358</v>
      </c>
      <c r="D8" s="147"/>
      <c r="E8" s="151" t="s">
        <v>184</v>
      </c>
      <c r="F8" s="147" t="s">
        <v>125</v>
      </c>
      <c r="G8" s="147"/>
      <c r="H8" s="148">
        <v>12.4</v>
      </c>
      <c r="I8" s="149">
        <v>2901127.5</v>
      </c>
      <c r="J8" s="147"/>
    </row>
    <row r="9" spans="1:10" x14ac:dyDescent="0.3">
      <c r="A9" s="147"/>
      <c r="B9" s="147"/>
      <c r="C9" s="147"/>
      <c r="D9" s="147"/>
      <c r="F9" s="147"/>
      <c r="G9" s="147"/>
      <c r="H9" s="148"/>
      <c r="I9" s="149"/>
      <c r="J9" s="147"/>
    </row>
    <row r="10" spans="1:10" x14ac:dyDescent="0.3">
      <c r="A10" s="147"/>
      <c r="B10" s="147"/>
      <c r="C10" s="147"/>
      <c r="D10" s="147"/>
      <c r="F10" s="147"/>
      <c r="G10" s="147"/>
      <c r="H10" s="148"/>
      <c r="I10" s="149"/>
      <c r="J10" s="147"/>
    </row>
    <row r="11" spans="1:10" x14ac:dyDescent="0.3">
      <c r="A11" s="147"/>
      <c r="B11" s="147"/>
      <c r="C11" s="147"/>
      <c r="D11" s="147"/>
      <c r="F11" s="147"/>
      <c r="G11" s="147"/>
      <c r="H11" s="148"/>
      <c r="I11" s="149"/>
      <c r="J11" s="147"/>
    </row>
    <row r="12" spans="1:10" x14ac:dyDescent="0.3">
      <c r="A12" s="147"/>
      <c r="B12" s="147"/>
      <c r="C12" s="147"/>
      <c r="D12" s="147"/>
      <c r="F12" s="147"/>
      <c r="G12" s="147"/>
      <c r="H12" s="148"/>
      <c r="I12" s="149"/>
      <c r="J12" s="147"/>
    </row>
    <row r="13" spans="1:10" x14ac:dyDescent="0.3">
      <c r="A13" s="147"/>
      <c r="B13" s="147"/>
      <c r="C13" s="147"/>
      <c r="D13" s="147"/>
      <c r="F13" s="147"/>
      <c r="G13" s="147"/>
      <c r="H13" s="148"/>
      <c r="I13" s="149"/>
      <c r="J13" s="147"/>
    </row>
    <row r="14" spans="1:10" x14ac:dyDescent="0.3">
      <c r="A14" s="147"/>
      <c r="B14" s="147"/>
      <c r="C14" s="147"/>
      <c r="D14" s="147"/>
      <c r="F14" s="147"/>
      <c r="G14" s="147"/>
      <c r="H14" s="148"/>
      <c r="I14" s="149"/>
      <c r="J14" s="147"/>
    </row>
    <row r="15" spans="1:10" x14ac:dyDescent="0.3">
      <c r="A15" s="147"/>
      <c r="B15" s="147"/>
      <c r="C15" s="147"/>
      <c r="D15" s="147"/>
      <c r="F15" s="147"/>
      <c r="G15" s="147"/>
      <c r="H15" s="148"/>
      <c r="I15" s="149"/>
      <c r="J15" s="147"/>
    </row>
    <row r="16" spans="1:10" x14ac:dyDescent="0.3">
      <c r="A16" s="147"/>
      <c r="B16" s="147"/>
      <c r="C16" s="147"/>
      <c r="D16" s="147"/>
      <c r="F16" s="147"/>
      <c r="G16" s="147"/>
      <c r="H16" s="148"/>
      <c r="I16" s="149"/>
      <c r="J16" s="147"/>
    </row>
    <row r="17" spans="1:10" x14ac:dyDescent="0.3">
      <c r="A17" s="147"/>
      <c r="B17" s="147"/>
      <c r="C17" s="147"/>
      <c r="D17" s="147"/>
      <c r="F17" s="147"/>
      <c r="G17" s="147"/>
      <c r="H17" s="148"/>
      <c r="I17" s="149"/>
      <c r="J17" s="147"/>
    </row>
    <row r="18" spans="1:10" x14ac:dyDescent="0.3">
      <c r="A18" s="147"/>
      <c r="B18" s="147"/>
      <c r="C18" s="147"/>
      <c r="D18" s="147"/>
      <c r="F18" s="147"/>
      <c r="G18" s="147"/>
      <c r="H18" s="148"/>
      <c r="I18" s="149"/>
      <c r="J18" s="147"/>
    </row>
    <row r="19" spans="1:10" x14ac:dyDescent="0.3">
      <c r="A19" s="147"/>
      <c r="B19" s="147"/>
      <c r="C19" s="147"/>
      <c r="D19" s="147"/>
      <c r="F19" s="147"/>
      <c r="G19" s="147"/>
      <c r="H19" s="148"/>
      <c r="I19" s="149"/>
      <c r="J19" s="147"/>
    </row>
    <row r="20" spans="1:10" x14ac:dyDescent="0.3">
      <c r="A20" s="147"/>
      <c r="B20" s="147"/>
      <c r="C20" s="147"/>
      <c r="D20" s="147"/>
      <c r="F20" s="147"/>
      <c r="G20" s="147"/>
      <c r="H20" s="148"/>
      <c r="I20" s="149"/>
      <c r="J20" s="147"/>
    </row>
    <row r="21" spans="1:10" x14ac:dyDescent="0.3">
      <c r="A21" s="147"/>
      <c r="B21" s="147"/>
      <c r="C21" s="147"/>
      <c r="D21" s="147"/>
      <c r="F21" s="147"/>
      <c r="G21" s="147"/>
      <c r="H21" s="148"/>
      <c r="I21" s="149"/>
      <c r="J21" s="147"/>
    </row>
    <row r="22" spans="1:10" x14ac:dyDescent="0.3">
      <c r="A22" s="147"/>
      <c r="B22" s="147"/>
      <c r="C22" s="147"/>
      <c r="D22" s="147"/>
      <c r="F22" s="147"/>
      <c r="G22" s="147"/>
      <c r="H22" s="148"/>
      <c r="I22" s="149"/>
      <c r="J22" s="147"/>
    </row>
    <row r="23" spans="1:10" x14ac:dyDescent="0.3">
      <c r="A23" s="147"/>
      <c r="B23" s="147"/>
      <c r="C23" s="147"/>
      <c r="D23" s="147"/>
      <c r="F23" s="147"/>
      <c r="G23" s="147"/>
      <c r="H23" s="148"/>
      <c r="I23" s="149"/>
      <c r="J23" s="147"/>
    </row>
    <row r="24" spans="1:10" x14ac:dyDescent="0.3">
      <c r="A24" s="147"/>
      <c r="B24" s="147"/>
      <c r="C24" s="147"/>
      <c r="D24" s="147"/>
      <c r="F24" s="147"/>
      <c r="G24" s="147"/>
      <c r="H24" s="148"/>
      <c r="I24" s="149"/>
      <c r="J24" s="147"/>
    </row>
    <row r="25" spans="1:10" x14ac:dyDescent="0.3">
      <c r="A25" s="147"/>
      <c r="B25" s="147"/>
      <c r="C25" s="147"/>
      <c r="D25" s="147"/>
      <c r="F25" s="147"/>
      <c r="G25" s="147"/>
      <c r="H25" s="148"/>
      <c r="I25" s="149"/>
      <c r="J25" s="147"/>
    </row>
    <row r="26" spans="1:10" x14ac:dyDescent="0.3">
      <c r="A26" s="147"/>
      <c r="B26" s="147"/>
      <c r="C26" s="147"/>
      <c r="D26" s="147"/>
      <c r="F26" s="147"/>
      <c r="G26" s="147"/>
      <c r="H26" s="148"/>
      <c r="I26" s="149"/>
      <c r="J26" s="147"/>
    </row>
    <row r="27" spans="1:10" x14ac:dyDescent="0.3">
      <c r="A27" s="147"/>
      <c r="B27" s="147"/>
      <c r="C27" s="147"/>
      <c r="D27" s="147"/>
      <c r="F27" s="147"/>
      <c r="G27" s="147"/>
      <c r="H27" s="148"/>
      <c r="I27" s="149"/>
      <c r="J27" s="147"/>
    </row>
    <row r="28" spans="1:10" x14ac:dyDescent="0.3">
      <c r="A28" s="147"/>
      <c r="B28" s="147"/>
      <c r="C28" s="147"/>
      <c r="D28" s="147"/>
      <c r="F28" s="147"/>
      <c r="G28" s="147"/>
      <c r="H28" s="148"/>
      <c r="I28" s="149"/>
      <c r="J28" s="147"/>
    </row>
    <row r="29" spans="1:10" x14ac:dyDescent="0.3">
      <c r="A29" s="147"/>
      <c r="B29" s="147"/>
      <c r="C29" s="147"/>
      <c r="D29" s="147"/>
      <c r="F29" s="147"/>
      <c r="G29" s="147"/>
      <c r="H29" s="148"/>
      <c r="I29" s="149"/>
      <c r="J29" s="147"/>
    </row>
    <row r="30" spans="1:10" x14ac:dyDescent="0.3">
      <c r="A30" s="147"/>
      <c r="B30" s="147"/>
      <c r="C30" s="147"/>
      <c r="D30" s="147"/>
      <c r="F30" s="147"/>
      <c r="G30" s="147"/>
      <c r="H30" s="148"/>
      <c r="I30" s="149"/>
      <c r="J30" s="147"/>
    </row>
    <row r="31" spans="1:10" x14ac:dyDescent="0.3">
      <c r="A31" s="147"/>
      <c r="B31" s="147"/>
      <c r="C31" s="147"/>
      <c r="D31" s="147"/>
      <c r="F31" s="147"/>
      <c r="G31" s="147"/>
      <c r="H31" s="148"/>
      <c r="I31" s="149"/>
      <c r="J31" s="147"/>
    </row>
    <row r="32" spans="1:10" x14ac:dyDescent="0.3">
      <c r="A32" s="147"/>
      <c r="B32" s="147"/>
      <c r="C32" s="147"/>
      <c r="D32" s="147"/>
      <c r="F32" s="147"/>
      <c r="G32" s="147"/>
      <c r="H32" s="148"/>
      <c r="I32" s="149"/>
      <c r="J32" s="147"/>
    </row>
    <row r="33" spans="1:10" x14ac:dyDescent="0.3">
      <c r="A33" s="147"/>
      <c r="B33" s="147"/>
      <c r="C33" s="147"/>
      <c r="D33" s="147"/>
      <c r="F33" s="147"/>
      <c r="G33" s="147"/>
      <c r="H33" s="148"/>
      <c r="I33" s="149"/>
      <c r="J33" s="147"/>
    </row>
    <row r="34" spans="1:10" x14ac:dyDescent="0.3">
      <c r="A34" s="147"/>
      <c r="B34" s="147"/>
      <c r="C34" s="147"/>
      <c r="D34" s="147"/>
      <c r="F34" s="147"/>
      <c r="G34" s="147"/>
      <c r="H34" s="148"/>
      <c r="I34" s="149"/>
      <c r="J34" s="147"/>
    </row>
    <row r="35" spans="1:10" x14ac:dyDescent="0.3">
      <c r="A35" s="147"/>
      <c r="B35" s="147"/>
      <c r="C35" s="147"/>
      <c r="D35" s="147"/>
      <c r="F35" s="147"/>
      <c r="G35" s="147"/>
      <c r="H35" s="148"/>
      <c r="I35" s="149"/>
      <c r="J35" s="147"/>
    </row>
    <row r="36" spans="1:10" x14ac:dyDescent="0.3">
      <c r="A36" s="147"/>
      <c r="B36" s="147"/>
      <c r="C36" s="147"/>
      <c r="D36" s="147"/>
      <c r="F36" s="147"/>
      <c r="G36" s="147"/>
      <c r="H36" s="148"/>
      <c r="I36" s="149"/>
      <c r="J36" s="147"/>
    </row>
    <row r="37" spans="1:10" x14ac:dyDescent="0.3">
      <c r="A37" s="147"/>
      <c r="B37" s="147"/>
      <c r="C37" s="147"/>
      <c r="D37" s="147"/>
      <c r="F37" s="147"/>
      <c r="G37" s="147"/>
      <c r="H37" s="148"/>
      <c r="I37" s="149"/>
      <c r="J37" s="147"/>
    </row>
    <row r="38" spans="1:10" x14ac:dyDescent="0.3">
      <c r="A38" s="147"/>
      <c r="B38" s="147"/>
      <c r="C38" s="147"/>
      <c r="D38" s="147"/>
      <c r="F38" s="147"/>
      <c r="G38" s="147"/>
      <c r="H38" s="148"/>
      <c r="I38" s="149"/>
      <c r="J38" s="147"/>
    </row>
    <row r="39" spans="1:10" x14ac:dyDescent="0.3">
      <c r="A39" s="147"/>
      <c r="B39" s="147"/>
      <c r="C39" s="147"/>
      <c r="D39" s="147"/>
      <c r="F39" s="147"/>
      <c r="G39" s="147"/>
      <c r="H39" s="148"/>
      <c r="I39" s="149"/>
      <c r="J39" s="147"/>
    </row>
    <row r="40" spans="1:10" x14ac:dyDescent="0.3">
      <c r="A40" s="147"/>
      <c r="B40" s="147"/>
      <c r="C40" s="147"/>
      <c r="D40" s="147"/>
      <c r="F40" s="147"/>
      <c r="G40" s="147"/>
      <c r="H40" s="148"/>
      <c r="I40" s="149"/>
      <c r="J40" s="147"/>
    </row>
    <row r="41" spans="1:10" x14ac:dyDescent="0.3">
      <c r="A41" s="147"/>
      <c r="B41" s="147"/>
      <c r="C41" s="147"/>
      <c r="D41" s="147"/>
      <c r="F41" s="147"/>
      <c r="G41" s="147"/>
      <c r="H41" s="148"/>
      <c r="I41" s="149"/>
      <c r="J41" s="147"/>
    </row>
    <row r="42" spans="1:10" x14ac:dyDescent="0.3">
      <c r="A42" s="147"/>
      <c r="B42" s="147"/>
      <c r="C42" s="147"/>
      <c r="D42" s="147"/>
      <c r="F42" s="147"/>
      <c r="G42" s="147"/>
      <c r="H42" s="148"/>
      <c r="I42" s="149"/>
      <c r="J42" s="147"/>
    </row>
    <row r="43" spans="1:10" x14ac:dyDescent="0.3">
      <c r="A43" s="147"/>
      <c r="B43" s="147"/>
      <c r="C43" s="147"/>
      <c r="D43" s="147"/>
      <c r="F43" s="147"/>
      <c r="G43" s="147"/>
      <c r="H43" s="148"/>
      <c r="I43" s="149"/>
      <c r="J43" s="147"/>
    </row>
    <row r="44" spans="1:10" x14ac:dyDescent="0.3">
      <c r="A44" s="147"/>
      <c r="B44" s="147"/>
      <c r="C44" s="147"/>
      <c r="D44" s="147"/>
      <c r="F44" s="147"/>
      <c r="G44" s="147"/>
      <c r="H44" s="148"/>
      <c r="I44" s="149"/>
      <c r="J44" s="147"/>
    </row>
    <row r="45" spans="1:10" x14ac:dyDescent="0.3">
      <c r="A45" s="147"/>
      <c r="B45" s="147"/>
      <c r="C45" s="147"/>
      <c r="D45" s="147"/>
      <c r="F45" s="147"/>
      <c r="G45" s="147"/>
      <c r="H45" s="148"/>
      <c r="I45" s="149"/>
      <c r="J45" s="147"/>
    </row>
    <row r="46" spans="1:10" x14ac:dyDescent="0.3">
      <c r="A46" s="147"/>
      <c r="B46" s="147"/>
      <c r="C46" s="147"/>
      <c r="D46" s="147"/>
      <c r="F46" s="147"/>
      <c r="G46" s="147"/>
      <c r="H46" s="148"/>
      <c r="I46" s="149"/>
      <c r="J46" s="147"/>
    </row>
    <row r="47" spans="1:10" x14ac:dyDescent="0.3">
      <c r="A47" s="147"/>
      <c r="B47" s="147"/>
      <c r="C47" s="147"/>
      <c r="D47" s="147"/>
      <c r="F47" s="147"/>
      <c r="G47" s="147"/>
      <c r="H47" s="148"/>
      <c r="I47" s="149"/>
      <c r="J47" s="147"/>
    </row>
    <row r="48" spans="1:10" x14ac:dyDescent="0.3">
      <c r="A48" s="147"/>
      <c r="B48" s="147"/>
      <c r="C48" s="147"/>
      <c r="D48" s="147"/>
      <c r="F48" s="147"/>
      <c r="G48" s="147"/>
      <c r="H48" s="148"/>
      <c r="I48" s="149"/>
      <c r="J48" s="147"/>
    </row>
    <row r="49" spans="1:10" x14ac:dyDescent="0.3">
      <c r="A49" s="147"/>
      <c r="B49" s="147"/>
      <c r="C49" s="147"/>
      <c r="D49" s="147"/>
      <c r="F49" s="147"/>
      <c r="G49" s="147"/>
      <c r="H49" s="148"/>
      <c r="I49" s="149"/>
      <c r="J49" s="147"/>
    </row>
    <row r="50" spans="1:10" x14ac:dyDescent="0.3">
      <c r="A50" s="147"/>
      <c r="B50" s="147"/>
      <c r="C50" s="147"/>
      <c r="D50" s="147"/>
      <c r="F50" s="147"/>
      <c r="G50" s="147"/>
      <c r="H50" s="148"/>
      <c r="I50" s="149"/>
      <c r="J50" s="147"/>
    </row>
    <row r="51" spans="1:10" x14ac:dyDescent="0.3">
      <c r="A51" s="147"/>
      <c r="B51" s="147"/>
      <c r="C51" s="147"/>
      <c r="D51" s="147"/>
      <c r="F51" s="147"/>
      <c r="G51" s="147"/>
      <c r="H51" s="148"/>
      <c r="I51" s="149"/>
      <c r="J51" s="147"/>
    </row>
    <row r="52" spans="1:10" x14ac:dyDescent="0.3">
      <c r="A52" s="147"/>
      <c r="B52" s="147"/>
      <c r="C52" s="147"/>
      <c r="D52" s="147"/>
      <c r="F52" s="147"/>
      <c r="G52" s="147"/>
      <c r="H52" s="148"/>
      <c r="I52" s="149"/>
      <c r="J52" s="147"/>
    </row>
    <row r="53" spans="1:10" x14ac:dyDescent="0.3">
      <c r="A53" s="147"/>
      <c r="B53" s="147"/>
      <c r="C53" s="147"/>
      <c r="D53" s="147"/>
      <c r="F53" s="147"/>
      <c r="G53" s="147"/>
      <c r="H53" s="148"/>
      <c r="I53" s="149"/>
      <c r="J53" s="147"/>
    </row>
    <row r="54" spans="1:10" x14ac:dyDescent="0.3">
      <c r="A54" s="147"/>
      <c r="B54" s="147"/>
      <c r="C54" s="147"/>
      <c r="D54" s="147"/>
      <c r="F54" s="147"/>
      <c r="G54" s="147"/>
      <c r="H54" s="148"/>
      <c r="I54" s="149"/>
      <c r="J54" s="147"/>
    </row>
    <row r="55" spans="1:10" x14ac:dyDescent="0.3">
      <c r="A55" s="147"/>
      <c r="B55" s="147"/>
      <c r="C55" s="147"/>
      <c r="D55" s="147"/>
      <c r="F55" s="147"/>
      <c r="G55" s="147"/>
      <c r="H55" s="148"/>
      <c r="I55" s="149"/>
      <c r="J55" s="147"/>
    </row>
    <row r="56" spans="1:10" x14ac:dyDescent="0.3">
      <c r="A56" s="147"/>
      <c r="B56" s="147"/>
      <c r="C56" s="147"/>
      <c r="D56" s="147"/>
      <c r="F56" s="147"/>
      <c r="G56" s="147"/>
      <c r="H56" s="148"/>
      <c r="I56" s="149"/>
      <c r="J56" s="147"/>
    </row>
    <row r="57" spans="1:10" x14ac:dyDescent="0.3">
      <c r="A57" s="147"/>
      <c r="B57" s="147"/>
      <c r="C57" s="147"/>
      <c r="D57" s="147"/>
      <c r="F57" s="147"/>
      <c r="G57" s="147"/>
      <c r="H57" s="148"/>
      <c r="I57" s="149"/>
      <c r="J57" s="147"/>
    </row>
    <row r="58" spans="1:10" x14ac:dyDescent="0.3">
      <c r="A58" s="147"/>
      <c r="B58" s="147"/>
      <c r="C58" s="147"/>
      <c r="D58" s="147"/>
      <c r="F58" s="147"/>
      <c r="G58" s="147"/>
      <c r="H58" s="148"/>
      <c r="I58" s="149"/>
      <c r="J58" s="147"/>
    </row>
    <row r="59" spans="1:10" x14ac:dyDescent="0.3">
      <c r="A59" s="147"/>
      <c r="B59" s="147"/>
      <c r="C59" s="147"/>
      <c r="D59" s="147"/>
      <c r="F59" s="147"/>
      <c r="G59" s="147"/>
      <c r="H59" s="148"/>
      <c r="I59" s="149"/>
      <c r="J59" s="147"/>
    </row>
    <row r="60" spans="1:10" x14ac:dyDescent="0.3">
      <c r="A60" s="147"/>
      <c r="B60" s="147"/>
      <c r="C60" s="147"/>
      <c r="D60" s="147"/>
      <c r="F60" s="147"/>
      <c r="G60" s="147"/>
      <c r="H60" s="148"/>
      <c r="I60" s="149"/>
      <c r="J60" s="147"/>
    </row>
    <row r="61" spans="1:10" x14ac:dyDescent="0.3">
      <c r="A61" s="147"/>
      <c r="B61" s="147"/>
      <c r="C61" s="147"/>
      <c r="D61" s="147"/>
      <c r="F61" s="147"/>
      <c r="G61" s="147"/>
      <c r="H61" s="148"/>
      <c r="I61" s="149"/>
      <c r="J61" s="147"/>
    </row>
    <row r="62" spans="1:10" x14ac:dyDescent="0.3">
      <c r="A62" s="147"/>
      <c r="B62" s="147"/>
      <c r="C62" s="147"/>
      <c r="D62" s="147"/>
      <c r="F62" s="147"/>
      <c r="G62" s="147"/>
      <c r="H62" s="148"/>
      <c r="I62" s="149"/>
      <c r="J62" s="147"/>
    </row>
    <row r="63" spans="1:10" x14ac:dyDescent="0.3">
      <c r="A63" s="147"/>
      <c r="B63" s="147"/>
      <c r="C63" s="147"/>
      <c r="D63" s="147"/>
      <c r="F63" s="147"/>
      <c r="G63" s="147"/>
      <c r="H63" s="148"/>
      <c r="I63" s="149"/>
      <c r="J63" s="147"/>
    </row>
    <row r="64" spans="1:10" x14ac:dyDescent="0.3">
      <c r="A64" s="147"/>
      <c r="B64" s="147"/>
      <c r="C64" s="147"/>
      <c r="D64" s="147"/>
      <c r="F64" s="147"/>
      <c r="G64" s="147"/>
      <c r="H64" s="148"/>
      <c r="I64" s="149"/>
      <c r="J64" s="147"/>
    </row>
    <row r="65" spans="1:10" x14ac:dyDescent="0.3">
      <c r="A65" s="147"/>
      <c r="B65" s="147"/>
      <c r="C65" s="147"/>
      <c r="D65" s="147"/>
      <c r="F65" s="147"/>
      <c r="G65" s="147"/>
      <c r="H65" s="148"/>
      <c r="I65" s="149"/>
      <c r="J65" s="147"/>
    </row>
    <row r="66" spans="1:10" x14ac:dyDescent="0.3">
      <c r="A66" s="147"/>
      <c r="B66" s="147"/>
      <c r="C66" s="147"/>
      <c r="D66" s="147"/>
      <c r="F66" s="147"/>
      <c r="G66" s="147"/>
      <c r="H66" s="148"/>
      <c r="I66" s="149"/>
      <c r="J66" s="147"/>
    </row>
    <row r="67" spans="1:10" x14ac:dyDescent="0.3">
      <c r="A67" s="147"/>
      <c r="B67" s="147"/>
      <c r="C67" s="147"/>
      <c r="D67" s="147"/>
      <c r="F67" s="147"/>
      <c r="G67" s="147"/>
      <c r="H67" s="148"/>
      <c r="I67" s="149"/>
      <c r="J67" s="147"/>
    </row>
    <row r="68" spans="1:10" x14ac:dyDescent="0.3">
      <c r="A68" s="147"/>
      <c r="B68" s="147"/>
      <c r="C68" s="147"/>
      <c r="D68" s="147"/>
      <c r="F68" s="147"/>
      <c r="G68" s="147"/>
      <c r="H68" s="148"/>
      <c r="I68" s="149"/>
      <c r="J68" s="147"/>
    </row>
    <row r="69" spans="1:10" x14ac:dyDescent="0.3">
      <c r="A69" s="147"/>
      <c r="B69" s="147"/>
      <c r="C69" s="147"/>
      <c r="D69" s="147"/>
      <c r="F69" s="147"/>
      <c r="G69" s="147"/>
      <c r="H69" s="148"/>
      <c r="I69" s="149"/>
      <c r="J69" s="147"/>
    </row>
    <row r="70" spans="1:10" x14ac:dyDescent="0.3">
      <c r="A70" s="147"/>
      <c r="B70" s="147"/>
      <c r="C70" s="147"/>
      <c r="D70" s="147"/>
      <c r="F70" s="147"/>
      <c r="G70" s="147"/>
      <c r="H70" s="148"/>
      <c r="I70" s="149"/>
      <c r="J70" s="147"/>
    </row>
    <row r="71" spans="1:10" x14ac:dyDescent="0.3">
      <c r="A71" s="147"/>
      <c r="B71" s="147"/>
      <c r="C71" s="147"/>
      <c r="D71" s="147"/>
      <c r="F71" s="147"/>
      <c r="G71" s="147"/>
      <c r="H71" s="148"/>
      <c r="I71" s="149"/>
      <c r="J71" s="147"/>
    </row>
    <row r="72" spans="1:10" x14ac:dyDescent="0.3">
      <c r="A72" s="147"/>
      <c r="B72" s="147"/>
      <c r="C72" s="147"/>
      <c r="D72" s="147"/>
      <c r="F72" s="147"/>
      <c r="G72" s="147"/>
      <c r="H72" s="148"/>
      <c r="I72" s="149"/>
      <c r="J72" s="147"/>
    </row>
    <row r="73" spans="1:10" x14ac:dyDescent="0.3">
      <c r="A73" s="147"/>
      <c r="B73" s="147"/>
      <c r="C73" s="147"/>
      <c r="D73" s="147"/>
      <c r="F73" s="147"/>
      <c r="G73" s="147"/>
      <c r="H73" s="148"/>
      <c r="I73" s="149"/>
      <c r="J73" s="147"/>
    </row>
    <row r="74" spans="1:10" x14ac:dyDescent="0.3">
      <c r="A74" s="147"/>
      <c r="B74" s="147"/>
      <c r="C74" s="147"/>
      <c r="D74" s="147"/>
      <c r="F74" s="147"/>
      <c r="G74" s="147"/>
      <c r="H74" s="148"/>
      <c r="I74" s="149"/>
      <c r="J74" s="147"/>
    </row>
    <row r="75" spans="1:10" x14ac:dyDescent="0.3">
      <c r="A75" s="147"/>
      <c r="B75" s="147"/>
      <c r="C75" s="147"/>
      <c r="D75" s="147"/>
      <c r="F75" s="147"/>
      <c r="G75" s="147"/>
      <c r="H75" s="148"/>
      <c r="I75" s="149"/>
      <c r="J75" s="147"/>
    </row>
    <row r="76" spans="1:10" x14ac:dyDescent="0.3">
      <c r="A76" s="147"/>
      <c r="B76" s="147"/>
      <c r="C76" s="147"/>
      <c r="D76" s="147"/>
      <c r="F76" s="147"/>
      <c r="G76" s="147"/>
      <c r="H76" s="148"/>
      <c r="I76" s="149"/>
      <c r="J76" s="147"/>
    </row>
    <row r="77" spans="1:10" x14ac:dyDescent="0.3">
      <c r="A77" s="147"/>
      <c r="B77" s="147"/>
      <c r="C77" s="147"/>
      <c r="D77" s="147"/>
      <c r="F77" s="147"/>
      <c r="G77" s="147"/>
      <c r="H77" s="148"/>
      <c r="I77" s="149"/>
      <c r="J77" s="147"/>
    </row>
    <row r="78" spans="1:10" x14ac:dyDescent="0.3">
      <c r="A78" s="147"/>
      <c r="B78" s="147"/>
      <c r="C78" s="147"/>
      <c r="D78" s="147"/>
      <c r="F78" s="147"/>
      <c r="G78" s="147"/>
      <c r="H78" s="148"/>
      <c r="I78" s="149"/>
      <c r="J78" s="147"/>
    </row>
    <row r="79" spans="1:10" x14ac:dyDescent="0.3">
      <c r="A79" s="147"/>
      <c r="B79" s="147"/>
      <c r="C79" s="147"/>
      <c r="D79" s="147"/>
      <c r="F79" s="147"/>
      <c r="G79" s="147"/>
      <c r="H79" s="148"/>
      <c r="I79" s="149"/>
      <c r="J79" s="147"/>
    </row>
    <row r="80" spans="1:10" x14ac:dyDescent="0.3">
      <c r="A80" s="147"/>
      <c r="B80" s="147"/>
      <c r="C80" s="147"/>
      <c r="D80" s="147"/>
      <c r="F80" s="147"/>
      <c r="G80" s="147"/>
      <c r="H80" s="148"/>
      <c r="I80" s="149"/>
      <c r="J80" s="147"/>
    </row>
    <row r="81" spans="1:10" x14ac:dyDescent="0.3">
      <c r="A81" s="147"/>
      <c r="B81" s="147"/>
      <c r="C81" s="147"/>
      <c r="D81" s="147"/>
      <c r="F81" s="147"/>
      <c r="G81" s="147"/>
      <c r="H81" s="148"/>
      <c r="I81" s="149"/>
      <c r="J81" s="147"/>
    </row>
    <row r="82" spans="1:10" x14ac:dyDescent="0.3">
      <c r="A82" s="147"/>
      <c r="B82" s="147"/>
      <c r="C82" s="147"/>
      <c r="D82" s="147"/>
      <c r="F82" s="147"/>
      <c r="G82" s="147"/>
      <c r="H82" s="148"/>
      <c r="I82" s="149"/>
      <c r="J82" s="147"/>
    </row>
    <row r="83" spans="1:10" x14ac:dyDescent="0.3">
      <c r="A83" s="147"/>
      <c r="B83" s="147"/>
      <c r="C83" s="147"/>
      <c r="D83" s="147"/>
      <c r="F83" s="147"/>
      <c r="G83" s="147"/>
      <c r="H83" s="148"/>
      <c r="I83" s="149"/>
      <c r="J83" s="147"/>
    </row>
    <row r="84" spans="1:10" x14ac:dyDescent="0.3">
      <c r="A84" s="147"/>
      <c r="B84" s="147"/>
      <c r="C84" s="147"/>
      <c r="D84" s="147"/>
      <c r="F84" s="147"/>
      <c r="G84" s="147"/>
      <c r="H84" s="148"/>
      <c r="I84" s="149"/>
      <c r="J84" s="147"/>
    </row>
    <row r="85" spans="1:10" x14ac:dyDescent="0.3">
      <c r="A85" s="147"/>
      <c r="B85" s="147"/>
      <c r="C85" s="147"/>
      <c r="D85" s="147"/>
      <c r="F85" s="147"/>
      <c r="G85" s="147"/>
      <c r="H85" s="148"/>
      <c r="I85" s="149"/>
      <c r="J85" s="147"/>
    </row>
    <row r="86" spans="1:10" x14ac:dyDescent="0.3">
      <c r="A86" s="147"/>
      <c r="B86" s="147"/>
      <c r="C86" s="147"/>
      <c r="D86" s="147"/>
      <c r="F86" s="147"/>
      <c r="G86" s="147"/>
      <c r="H86" s="148"/>
      <c r="I86" s="149"/>
      <c r="J86" s="147"/>
    </row>
    <row r="87" spans="1:10" x14ac:dyDescent="0.3">
      <c r="A87" s="147"/>
      <c r="B87" s="147"/>
      <c r="C87" s="147"/>
      <c r="D87" s="147"/>
      <c r="F87" s="147"/>
      <c r="G87" s="147"/>
      <c r="H87" s="148"/>
      <c r="I87" s="149"/>
      <c r="J87" s="147"/>
    </row>
    <row r="88" spans="1:10" x14ac:dyDescent="0.3">
      <c r="A88" s="147"/>
      <c r="B88" s="147"/>
      <c r="C88" s="147"/>
      <c r="D88" s="147"/>
      <c r="F88" s="147"/>
      <c r="G88" s="147"/>
      <c r="H88" s="148"/>
      <c r="I88" s="149"/>
      <c r="J88" s="147"/>
    </row>
    <row r="89" spans="1:10" x14ac:dyDescent="0.3">
      <c r="A89" s="147"/>
      <c r="B89" s="147"/>
      <c r="C89" s="147"/>
      <c r="D89" s="147"/>
      <c r="F89" s="147"/>
      <c r="G89" s="147"/>
      <c r="H89" s="148"/>
      <c r="I89" s="149"/>
      <c r="J89" s="147"/>
    </row>
    <row r="90" spans="1:10" x14ac:dyDescent="0.3">
      <c r="A90" s="147"/>
      <c r="B90" s="147"/>
      <c r="C90" s="147"/>
      <c r="D90" s="147"/>
      <c r="F90" s="147"/>
      <c r="G90" s="147"/>
      <c r="H90" s="148"/>
      <c r="I90" s="149"/>
      <c r="J90" s="147"/>
    </row>
    <row r="91" spans="1:10" x14ac:dyDescent="0.3">
      <c r="A91" s="147"/>
      <c r="B91" s="147"/>
      <c r="C91" s="147"/>
      <c r="D91" s="147"/>
      <c r="F91" s="147"/>
      <c r="G91" s="147"/>
      <c r="H91" s="148"/>
      <c r="I91" s="149"/>
      <c r="J91" s="147"/>
    </row>
    <row r="92" spans="1:10" x14ac:dyDescent="0.3">
      <c r="A92" s="147"/>
      <c r="B92" s="147"/>
      <c r="C92" s="147"/>
      <c r="D92" s="147"/>
      <c r="F92" s="147"/>
      <c r="G92" s="147"/>
      <c r="H92" s="148"/>
      <c r="I92" s="149"/>
      <c r="J92" s="147"/>
    </row>
    <row r="93" spans="1:10" x14ac:dyDescent="0.3">
      <c r="A93" s="147"/>
      <c r="B93" s="147"/>
      <c r="C93" s="147"/>
      <c r="D93" s="147"/>
      <c r="F93" s="147"/>
      <c r="G93" s="147"/>
      <c r="H93" s="148"/>
      <c r="I93" s="149"/>
      <c r="J93" s="147"/>
    </row>
    <row r="94" spans="1:10" x14ac:dyDescent="0.3">
      <c r="A94" s="147"/>
      <c r="B94" s="147"/>
      <c r="C94" s="147"/>
      <c r="D94" s="147"/>
      <c r="F94" s="147"/>
      <c r="G94" s="147"/>
      <c r="H94" s="148"/>
      <c r="I94" s="149"/>
      <c r="J94" s="147"/>
    </row>
    <row r="95" spans="1:10" x14ac:dyDescent="0.3">
      <c r="A95" s="147"/>
      <c r="B95" s="147"/>
      <c r="C95" s="147"/>
      <c r="D95" s="147"/>
      <c r="F95" s="147"/>
      <c r="G95" s="147"/>
      <c r="H95" s="148"/>
      <c r="I95" s="149"/>
      <c r="J95" s="147"/>
    </row>
    <row r="96" spans="1:10" x14ac:dyDescent="0.3">
      <c r="A96" s="147"/>
      <c r="B96" s="147"/>
      <c r="C96" s="147"/>
      <c r="D96" s="147"/>
      <c r="F96" s="147"/>
      <c r="G96" s="147"/>
      <c r="H96" s="148"/>
      <c r="I96" s="149"/>
      <c r="J96" s="147"/>
    </row>
    <row r="97" spans="1:10" x14ac:dyDescent="0.3">
      <c r="A97" s="147"/>
      <c r="B97" s="147"/>
      <c r="C97" s="147"/>
      <c r="D97" s="147"/>
      <c r="F97" s="147"/>
      <c r="G97" s="147"/>
      <c r="H97" s="148"/>
      <c r="I97" s="149"/>
      <c r="J97" s="147"/>
    </row>
    <row r="98" spans="1:10" x14ac:dyDescent="0.3">
      <c r="A98" s="147"/>
      <c r="B98" s="147"/>
      <c r="C98" s="147"/>
      <c r="D98" s="147"/>
      <c r="F98" s="147"/>
      <c r="G98" s="147"/>
      <c r="H98" s="148"/>
      <c r="I98" s="149"/>
      <c r="J98" s="147"/>
    </row>
    <row r="99" spans="1:10" x14ac:dyDescent="0.3">
      <c r="A99" s="147"/>
      <c r="B99" s="147"/>
      <c r="C99" s="147"/>
      <c r="D99" s="147"/>
      <c r="F99" s="147"/>
      <c r="G99" s="147"/>
      <c r="H99" s="148"/>
      <c r="I99" s="149"/>
      <c r="J99" s="147"/>
    </row>
    <row r="100" spans="1:10" x14ac:dyDescent="0.3">
      <c r="A100" s="147"/>
      <c r="B100" s="147"/>
      <c r="C100" s="147"/>
      <c r="D100" s="147"/>
      <c r="F100" s="147"/>
      <c r="G100" s="147"/>
      <c r="H100" s="148"/>
      <c r="I100" s="149"/>
      <c r="J100" s="147"/>
    </row>
    <row r="101" spans="1:10" x14ac:dyDescent="0.3">
      <c r="A101" s="147"/>
      <c r="B101" s="147"/>
      <c r="C101" s="147"/>
      <c r="D101" s="147"/>
      <c r="F101" s="147"/>
      <c r="G101" s="147"/>
      <c r="H101" s="148"/>
      <c r="I101" s="149"/>
      <c r="J101" s="147"/>
    </row>
    <row r="102" spans="1:10" x14ac:dyDescent="0.3">
      <c r="A102" s="147"/>
      <c r="B102" s="147"/>
      <c r="C102" s="147"/>
      <c r="D102" s="147"/>
      <c r="F102" s="147"/>
      <c r="G102" s="147"/>
      <c r="H102" s="148"/>
      <c r="I102" s="149"/>
      <c r="J102" s="147"/>
    </row>
    <row r="103" spans="1:10" x14ac:dyDescent="0.3">
      <c r="A103" s="147"/>
      <c r="B103" s="147"/>
      <c r="C103" s="147"/>
      <c r="D103" s="147"/>
      <c r="F103" s="147"/>
      <c r="G103" s="147"/>
      <c r="H103" s="148"/>
      <c r="I103" s="149"/>
      <c r="J103" s="147"/>
    </row>
    <row r="104" spans="1:10" x14ac:dyDescent="0.3">
      <c r="A104" s="147"/>
      <c r="B104" s="147"/>
      <c r="C104" s="147"/>
      <c r="D104" s="147"/>
      <c r="F104" s="147"/>
      <c r="G104" s="147"/>
      <c r="H104" s="148"/>
      <c r="I104" s="149"/>
      <c r="J104" s="147"/>
    </row>
    <row r="105" spans="1:10" x14ac:dyDescent="0.3">
      <c r="A105" s="147"/>
      <c r="B105" s="147"/>
      <c r="C105" s="147"/>
      <c r="D105" s="147"/>
      <c r="F105" s="147"/>
      <c r="G105" s="147"/>
      <c r="H105" s="148"/>
      <c r="I105" s="149"/>
      <c r="J105" s="147"/>
    </row>
    <row r="106" spans="1:10" x14ac:dyDescent="0.3">
      <c r="A106" s="147"/>
      <c r="B106" s="147"/>
      <c r="C106" s="147"/>
      <c r="D106" s="147"/>
      <c r="F106" s="147"/>
      <c r="G106" s="147"/>
      <c r="H106" s="148"/>
      <c r="I106" s="149"/>
      <c r="J106" s="147"/>
    </row>
    <row r="107" spans="1:10" x14ac:dyDescent="0.3">
      <c r="A107" s="147"/>
      <c r="B107" s="147"/>
      <c r="C107" s="147"/>
      <c r="D107" s="147"/>
      <c r="F107" s="147"/>
      <c r="G107" s="147"/>
      <c r="H107" s="148"/>
      <c r="I107" s="149"/>
      <c r="J107" s="147"/>
    </row>
    <row r="108" spans="1:10" x14ac:dyDescent="0.3">
      <c r="A108" s="147"/>
      <c r="B108" s="147"/>
      <c r="C108" s="147"/>
      <c r="D108" s="147"/>
      <c r="F108" s="147"/>
      <c r="G108" s="147"/>
      <c r="H108" s="148"/>
      <c r="I108" s="149"/>
      <c r="J108" s="147"/>
    </row>
    <row r="109" spans="1:10" x14ac:dyDescent="0.3">
      <c r="A109" s="147"/>
      <c r="B109" s="147"/>
      <c r="C109" s="147"/>
      <c r="D109" s="147"/>
      <c r="F109" s="147"/>
      <c r="G109" s="147"/>
      <c r="H109" s="148"/>
      <c r="I109" s="149"/>
      <c r="J109" s="147"/>
    </row>
    <row r="110" spans="1:10" x14ac:dyDescent="0.3">
      <c r="A110" s="147"/>
      <c r="B110" s="147"/>
      <c r="C110" s="147"/>
      <c r="D110" s="147"/>
      <c r="F110" s="147"/>
      <c r="G110" s="147"/>
      <c r="H110" s="148"/>
      <c r="I110" s="149"/>
      <c r="J110" s="147"/>
    </row>
    <row r="111" spans="1:10" x14ac:dyDescent="0.3">
      <c r="A111" s="147"/>
      <c r="B111" s="147"/>
      <c r="C111" s="147"/>
      <c r="D111" s="147"/>
      <c r="F111" s="147"/>
      <c r="G111" s="147"/>
      <c r="H111" s="148"/>
      <c r="I111" s="149"/>
      <c r="J111" s="147"/>
    </row>
    <row r="112" spans="1:10" x14ac:dyDescent="0.3">
      <c r="A112" s="147"/>
      <c r="B112" s="147"/>
      <c r="C112" s="147"/>
      <c r="D112" s="147"/>
      <c r="F112" s="147"/>
      <c r="G112" s="147"/>
      <c r="H112" s="148"/>
      <c r="I112" s="149"/>
      <c r="J112" s="147"/>
    </row>
    <row r="113" spans="1:10" x14ac:dyDescent="0.3">
      <c r="A113" s="147"/>
      <c r="B113" s="147"/>
      <c r="C113" s="147"/>
      <c r="D113" s="147"/>
      <c r="F113" s="147"/>
      <c r="G113" s="147"/>
      <c r="H113" s="148"/>
      <c r="I113" s="149"/>
      <c r="J113" s="147"/>
    </row>
    <row r="114" spans="1:10" x14ac:dyDescent="0.3">
      <c r="A114" s="147"/>
      <c r="B114" s="147"/>
      <c r="C114" s="147"/>
      <c r="D114" s="147"/>
      <c r="F114" s="147"/>
      <c r="G114" s="147"/>
      <c r="H114" s="148"/>
      <c r="I114" s="149"/>
      <c r="J114" s="147"/>
    </row>
    <row r="115" spans="1:10" x14ac:dyDescent="0.3">
      <c r="A115" s="147"/>
      <c r="B115" s="147"/>
      <c r="C115" s="147"/>
      <c r="D115" s="147"/>
      <c r="F115" s="147"/>
      <c r="G115" s="147"/>
      <c r="H115" s="148"/>
      <c r="I115" s="149"/>
      <c r="J115" s="147"/>
    </row>
    <row r="116" spans="1:10" x14ac:dyDescent="0.3">
      <c r="A116" s="147"/>
      <c r="B116" s="147"/>
      <c r="C116" s="147"/>
      <c r="D116" s="147"/>
      <c r="F116" s="147"/>
      <c r="G116" s="147"/>
      <c r="H116" s="148"/>
      <c r="I116" s="149"/>
      <c r="J116" s="147"/>
    </row>
    <row r="117" spans="1:10" x14ac:dyDescent="0.3">
      <c r="A117" s="147"/>
      <c r="B117" s="147"/>
      <c r="C117" s="147"/>
      <c r="D117" s="147"/>
      <c r="F117" s="147"/>
      <c r="G117" s="147"/>
      <c r="H117" s="148"/>
      <c r="I117" s="149"/>
      <c r="J117" s="147"/>
    </row>
    <row r="118" spans="1:10" x14ac:dyDescent="0.3">
      <c r="A118" s="147"/>
      <c r="B118" s="147"/>
      <c r="C118" s="147"/>
      <c r="D118" s="147"/>
      <c r="F118" s="147"/>
      <c r="G118" s="147"/>
      <c r="H118" s="148"/>
      <c r="I118" s="149"/>
      <c r="J118" s="147"/>
    </row>
    <row r="119" spans="1:10" x14ac:dyDescent="0.3">
      <c r="A119" s="147"/>
      <c r="B119" s="147"/>
      <c r="C119" s="147"/>
      <c r="D119" s="147"/>
      <c r="F119" s="147"/>
      <c r="G119" s="147"/>
      <c r="H119" s="148"/>
      <c r="I119" s="149"/>
      <c r="J119" s="147"/>
    </row>
    <row r="120" spans="1:10" x14ac:dyDescent="0.3">
      <c r="A120" s="147"/>
      <c r="B120" s="147"/>
      <c r="C120" s="147"/>
      <c r="D120" s="147"/>
      <c r="F120" s="147"/>
      <c r="G120" s="147"/>
      <c r="H120" s="148"/>
      <c r="I120" s="149"/>
      <c r="J120" s="147"/>
    </row>
    <row r="121" spans="1:10" x14ac:dyDescent="0.3">
      <c r="A121" s="147"/>
      <c r="B121" s="147"/>
      <c r="C121" s="147"/>
      <c r="D121" s="147"/>
      <c r="F121" s="147"/>
      <c r="G121" s="147"/>
      <c r="H121" s="148"/>
      <c r="I121" s="149"/>
      <c r="J121" s="147"/>
    </row>
    <row r="122" spans="1:10" x14ac:dyDescent="0.3">
      <c r="A122" s="147"/>
      <c r="B122" s="147"/>
      <c r="C122" s="147"/>
      <c r="D122" s="147"/>
      <c r="F122" s="147"/>
      <c r="G122" s="147"/>
      <c r="H122" s="148"/>
      <c r="I122" s="149"/>
      <c r="J122" s="147"/>
    </row>
    <row r="123" spans="1:10" x14ac:dyDescent="0.3">
      <c r="A123" s="147"/>
      <c r="B123" s="147"/>
      <c r="C123" s="147"/>
      <c r="D123" s="147"/>
      <c r="F123" s="147"/>
      <c r="G123" s="147"/>
      <c r="H123" s="148"/>
      <c r="I123" s="149"/>
      <c r="J123" s="147"/>
    </row>
    <row r="124" spans="1:10" x14ac:dyDescent="0.3">
      <c r="A124" s="147"/>
      <c r="B124" s="147"/>
      <c r="C124" s="147"/>
      <c r="D124" s="147"/>
      <c r="F124" s="147"/>
      <c r="G124" s="147"/>
      <c r="H124" s="148"/>
      <c r="I124" s="149"/>
      <c r="J124" s="147"/>
    </row>
    <row r="125" spans="1:10" x14ac:dyDescent="0.3">
      <c r="A125" s="147"/>
      <c r="B125" s="147"/>
      <c r="C125" s="147"/>
      <c r="D125" s="147"/>
      <c r="F125" s="147"/>
      <c r="G125" s="147"/>
      <c r="H125" s="148"/>
      <c r="I125" s="149"/>
      <c r="J125" s="147"/>
    </row>
    <row r="126" spans="1:10" x14ac:dyDescent="0.3">
      <c r="A126" s="147"/>
      <c r="B126" s="147"/>
      <c r="C126" s="147"/>
      <c r="D126" s="147"/>
      <c r="F126" s="147"/>
      <c r="G126" s="147"/>
      <c r="H126" s="148"/>
      <c r="I126" s="149"/>
      <c r="J126" s="147"/>
    </row>
    <row r="127" spans="1:10" x14ac:dyDescent="0.3">
      <c r="A127" s="147"/>
      <c r="B127" s="147"/>
      <c r="C127" s="147"/>
      <c r="D127" s="147"/>
      <c r="F127" s="147"/>
      <c r="G127" s="147"/>
      <c r="H127" s="148"/>
      <c r="I127" s="149"/>
      <c r="J127" s="147"/>
    </row>
    <row r="128" spans="1:10" x14ac:dyDescent="0.3">
      <c r="A128" s="147"/>
      <c r="B128" s="147"/>
      <c r="C128" s="147"/>
      <c r="D128" s="147"/>
      <c r="F128" s="147"/>
      <c r="G128" s="147"/>
      <c r="H128" s="148"/>
      <c r="I128" s="149"/>
      <c r="J128" s="147"/>
    </row>
    <row r="129" spans="1:10" x14ac:dyDescent="0.3">
      <c r="A129" s="147"/>
      <c r="B129" s="147"/>
      <c r="C129" s="147"/>
      <c r="D129" s="147"/>
      <c r="F129" s="147"/>
      <c r="G129" s="147"/>
      <c r="H129" s="148"/>
      <c r="I129" s="149"/>
      <c r="J129" s="147"/>
    </row>
    <row r="130" spans="1:10" x14ac:dyDescent="0.3">
      <c r="A130" s="147"/>
      <c r="B130" s="147"/>
      <c r="C130" s="147"/>
      <c r="D130" s="147"/>
      <c r="F130" s="147"/>
      <c r="G130" s="147"/>
      <c r="H130" s="148"/>
      <c r="I130" s="149"/>
      <c r="J130" s="147"/>
    </row>
    <row r="131" spans="1:10" x14ac:dyDescent="0.3">
      <c r="A131" s="147"/>
      <c r="B131" s="147"/>
      <c r="C131" s="147"/>
      <c r="D131" s="147"/>
      <c r="F131" s="147"/>
      <c r="G131" s="147"/>
      <c r="H131" s="148"/>
      <c r="I131" s="149"/>
      <c r="J131" s="147"/>
    </row>
    <row r="132" spans="1:10" x14ac:dyDescent="0.3">
      <c r="A132" s="147"/>
      <c r="B132" s="147"/>
      <c r="C132" s="147"/>
      <c r="D132" s="147"/>
      <c r="F132" s="147"/>
      <c r="G132" s="147"/>
      <c r="H132" s="148"/>
      <c r="I132" s="149"/>
      <c r="J132" s="147"/>
    </row>
    <row r="133" spans="1:10" x14ac:dyDescent="0.3">
      <c r="A133" s="147"/>
      <c r="B133" s="147"/>
      <c r="C133" s="147"/>
      <c r="D133" s="147"/>
      <c r="F133" s="147"/>
      <c r="G133" s="147"/>
      <c r="H133" s="148"/>
      <c r="I133" s="149"/>
      <c r="J133" s="147"/>
    </row>
    <row r="134" spans="1:10" x14ac:dyDescent="0.3">
      <c r="A134" s="147"/>
      <c r="B134" s="147"/>
      <c r="C134" s="147"/>
      <c r="D134" s="147"/>
      <c r="F134" s="147"/>
      <c r="G134" s="147"/>
      <c r="H134" s="148"/>
      <c r="I134" s="149"/>
      <c r="J134" s="147"/>
    </row>
    <row r="135" spans="1:10" x14ac:dyDescent="0.3">
      <c r="A135" s="147"/>
      <c r="B135" s="147"/>
      <c r="C135" s="147"/>
      <c r="D135" s="147"/>
      <c r="F135" s="147"/>
      <c r="G135" s="147"/>
      <c r="H135" s="148"/>
      <c r="I135" s="149"/>
      <c r="J135" s="147"/>
    </row>
    <row r="136" spans="1:10" x14ac:dyDescent="0.3">
      <c r="A136" s="147"/>
      <c r="B136" s="147"/>
      <c r="C136" s="147"/>
      <c r="D136" s="147"/>
      <c r="F136" s="147"/>
      <c r="G136" s="147"/>
      <c r="H136" s="148"/>
      <c r="I136" s="149"/>
      <c r="J136" s="147"/>
    </row>
    <row r="137" spans="1:10" x14ac:dyDescent="0.3">
      <c r="A137" s="147"/>
      <c r="B137" s="147"/>
      <c r="C137" s="147"/>
      <c r="D137" s="147"/>
      <c r="F137" s="147"/>
      <c r="G137" s="147"/>
      <c r="H137" s="148"/>
      <c r="I137" s="149"/>
      <c r="J137" s="147"/>
    </row>
    <row r="138" spans="1:10" x14ac:dyDescent="0.3">
      <c r="A138" s="147"/>
      <c r="B138" s="147"/>
      <c r="C138" s="147"/>
      <c r="D138" s="147"/>
      <c r="F138" s="147"/>
      <c r="G138" s="147"/>
      <c r="H138" s="148"/>
      <c r="I138" s="149"/>
      <c r="J138" s="147"/>
    </row>
    <row r="139" spans="1:10" x14ac:dyDescent="0.3">
      <c r="A139" s="147"/>
      <c r="B139" s="147"/>
      <c r="C139" s="147"/>
      <c r="D139" s="147"/>
      <c r="F139" s="147"/>
      <c r="G139" s="147"/>
      <c r="H139" s="148"/>
      <c r="I139" s="149"/>
      <c r="J139" s="147"/>
    </row>
    <row r="140" spans="1:10" x14ac:dyDescent="0.3">
      <c r="A140" s="147"/>
      <c r="B140" s="147"/>
      <c r="C140" s="147"/>
      <c r="D140" s="147"/>
      <c r="F140" s="147"/>
      <c r="G140" s="147"/>
      <c r="H140" s="148"/>
      <c r="I140" s="149"/>
      <c r="J140" s="147"/>
    </row>
    <row r="141" spans="1:10" x14ac:dyDescent="0.3">
      <c r="A141" s="147"/>
      <c r="B141" s="147"/>
      <c r="C141" s="147"/>
      <c r="D141" s="147"/>
      <c r="F141" s="147"/>
      <c r="G141" s="147"/>
      <c r="H141" s="148"/>
      <c r="I141" s="149"/>
      <c r="J141" s="147"/>
    </row>
    <row r="142" spans="1:10" x14ac:dyDescent="0.3">
      <c r="A142" s="147"/>
      <c r="B142" s="147"/>
      <c r="C142" s="147"/>
      <c r="D142" s="147"/>
      <c r="F142" s="147"/>
      <c r="G142" s="147"/>
      <c r="H142" s="148"/>
      <c r="I142" s="149"/>
      <c r="J142" s="147"/>
    </row>
    <row r="143" spans="1:10" x14ac:dyDescent="0.3">
      <c r="A143" s="147"/>
      <c r="B143" s="147"/>
      <c r="C143" s="147"/>
      <c r="D143" s="147"/>
      <c r="F143" s="147"/>
      <c r="G143" s="147"/>
      <c r="H143" s="148"/>
      <c r="I143" s="149"/>
      <c r="J143" s="147"/>
    </row>
    <row r="144" spans="1:10" x14ac:dyDescent="0.3">
      <c r="A144" s="147"/>
      <c r="B144" s="147"/>
      <c r="C144" s="147"/>
      <c r="D144" s="147"/>
      <c r="F144" s="147"/>
      <c r="G144" s="147"/>
      <c r="H144" s="148"/>
      <c r="I144" s="149"/>
      <c r="J144" s="147"/>
    </row>
    <row r="145" spans="1:10" x14ac:dyDescent="0.3">
      <c r="A145" s="147"/>
      <c r="B145" s="147"/>
      <c r="C145" s="147"/>
      <c r="D145" s="147"/>
      <c r="F145" s="147"/>
      <c r="G145" s="147"/>
      <c r="H145" s="148"/>
      <c r="I145" s="149"/>
      <c r="J145" s="147"/>
    </row>
    <row r="146" spans="1:10" x14ac:dyDescent="0.3">
      <c r="A146" s="147"/>
      <c r="B146" s="147"/>
      <c r="C146" s="147"/>
      <c r="D146" s="147"/>
      <c r="F146" s="147"/>
      <c r="G146" s="147"/>
      <c r="H146" s="148"/>
      <c r="I146" s="149"/>
      <c r="J146" s="147"/>
    </row>
    <row r="147" spans="1:10" x14ac:dyDescent="0.3">
      <c r="A147" s="147"/>
      <c r="B147" s="147"/>
      <c r="C147" s="147"/>
      <c r="D147" s="147"/>
      <c r="F147" s="147"/>
      <c r="G147" s="147"/>
      <c r="H147" s="148"/>
      <c r="I147" s="149"/>
      <c r="J147" s="147"/>
    </row>
    <row r="148" spans="1:10" x14ac:dyDescent="0.3">
      <c r="A148" s="147"/>
      <c r="B148" s="147"/>
      <c r="C148" s="147"/>
      <c r="D148" s="147"/>
      <c r="F148" s="147"/>
      <c r="G148" s="147"/>
      <c r="H148" s="148"/>
      <c r="I148" s="149"/>
      <c r="J148" s="147"/>
    </row>
    <row r="149" spans="1:10" x14ac:dyDescent="0.3">
      <c r="A149" s="147"/>
      <c r="B149" s="147"/>
      <c r="C149" s="147"/>
      <c r="D149" s="147"/>
      <c r="F149" s="147"/>
      <c r="G149" s="147"/>
      <c r="H149" s="148"/>
      <c r="I149" s="149"/>
      <c r="J149" s="147"/>
    </row>
    <row r="150" spans="1:10" x14ac:dyDescent="0.3">
      <c r="A150" s="147"/>
      <c r="B150" s="147"/>
      <c r="C150" s="147"/>
      <c r="D150" s="147"/>
      <c r="F150" s="147"/>
      <c r="G150" s="147"/>
      <c r="H150" s="148"/>
      <c r="I150" s="149"/>
      <c r="J150" s="147"/>
    </row>
    <row r="151" spans="1:10" x14ac:dyDescent="0.3">
      <c r="A151" s="147"/>
      <c r="B151" s="147"/>
      <c r="C151" s="147"/>
      <c r="D151" s="147"/>
      <c r="F151" s="147"/>
      <c r="G151" s="147"/>
      <c r="H151" s="148"/>
      <c r="I151" s="149"/>
      <c r="J151" s="147"/>
    </row>
    <row r="152" spans="1:10" x14ac:dyDescent="0.3">
      <c r="A152" s="147"/>
      <c r="B152" s="147"/>
      <c r="C152" s="147"/>
      <c r="D152" s="147"/>
      <c r="F152" s="147"/>
      <c r="G152" s="147"/>
      <c r="H152" s="148"/>
      <c r="I152" s="149"/>
      <c r="J152" s="147"/>
    </row>
    <row r="153" spans="1:10" x14ac:dyDescent="0.3">
      <c r="A153" s="147"/>
      <c r="B153" s="147"/>
      <c r="C153" s="147"/>
      <c r="D153" s="147"/>
      <c r="F153" s="147"/>
      <c r="G153" s="147"/>
      <c r="H153" s="148"/>
      <c r="I153" s="149"/>
      <c r="J153" s="147"/>
    </row>
    <row r="154" spans="1:10" x14ac:dyDescent="0.3">
      <c r="A154" s="147"/>
      <c r="B154" s="147"/>
      <c r="C154" s="147"/>
      <c r="D154" s="147"/>
      <c r="F154" s="147"/>
      <c r="G154" s="147"/>
      <c r="H154" s="148"/>
      <c r="I154" s="149"/>
      <c r="J154" s="147"/>
    </row>
    <row r="155" spans="1:10" x14ac:dyDescent="0.3">
      <c r="A155" s="147"/>
      <c r="B155" s="147"/>
      <c r="C155" s="147"/>
      <c r="D155" s="147"/>
      <c r="F155" s="147"/>
      <c r="G155" s="147"/>
      <c r="H155" s="148"/>
      <c r="I155" s="149"/>
      <c r="J155" s="147"/>
    </row>
    <row r="156" spans="1:10" x14ac:dyDescent="0.3">
      <c r="A156" s="147"/>
      <c r="B156" s="147"/>
      <c r="C156" s="147"/>
      <c r="D156" s="147"/>
      <c r="F156" s="147"/>
      <c r="G156" s="147"/>
      <c r="H156" s="148"/>
      <c r="I156" s="149"/>
      <c r="J156" s="147"/>
    </row>
    <row r="157" spans="1:10" x14ac:dyDescent="0.3">
      <c r="A157" s="147"/>
      <c r="B157" s="147"/>
      <c r="C157" s="147"/>
      <c r="D157" s="147"/>
      <c r="F157" s="147"/>
      <c r="G157" s="147"/>
      <c r="H157" s="148"/>
      <c r="I157" s="149"/>
      <c r="J157" s="147"/>
    </row>
    <row r="158" spans="1:10" x14ac:dyDescent="0.3">
      <c r="A158" s="147"/>
      <c r="B158" s="147"/>
      <c r="C158" s="147"/>
      <c r="D158" s="147"/>
      <c r="F158" s="147"/>
      <c r="G158" s="147"/>
      <c r="H158" s="148"/>
      <c r="I158" s="149"/>
      <c r="J158" s="147"/>
    </row>
    <row r="159" spans="1:10" x14ac:dyDescent="0.3">
      <c r="A159" s="147"/>
      <c r="B159" s="147"/>
      <c r="C159" s="147"/>
      <c r="D159" s="147"/>
      <c r="F159" s="147"/>
      <c r="G159" s="147"/>
      <c r="H159" s="148"/>
      <c r="I159" s="149"/>
      <c r="J159" s="147"/>
    </row>
    <row r="160" spans="1:10" x14ac:dyDescent="0.3">
      <c r="A160" s="147"/>
      <c r="B160" s="147"/>
      <c r="C160" s="147"/>
      <c r="D160" s="147"/>
      <c r="F160" s="147"/>
      <c r="G160" s="147"/>
      <c r="H160" s="148"/>
      <c r="I160" s="149"/>
      <c r="J160" s="147"/>
    </row>
    <row r="161" spans="1:10" x14ac:dyDescent="0.3">
      <c r="A161" s="147"/>
      <c r="B161" s="147"/>
      <c r="C161" s="147"/>
      <c r="D161" s="147"/>
      <c r="F161" s="147"/>
      <c r="G161" s="147"/>
      <c r="H161" s="148"/>
      <c r="I161" s="149"/>
      <c r="J161" s="147"/>
    </row>
    <row r="162" spans="1:10" x14ac:dyDescent="0.3">
      <c r="A162" s="147"/>
      <c r="B162" s="147"/>
      <c r="C162" s="147"/>
      <c r="D162" s="147"/>
      <c r="F162" s="147"/>
      <c r="G162" s="147"/>
      <c r="H162" s="148"/>
      <c r="I162" s="149"/>
      <c r="J162" s="147"/>
    </row>
    <row r="163" spans="1:10" x14ac:dyDescent="0.3">
      <c r="A163" s="147"/>
      <c r="B163" s="147"/>
      <c r="C163" s="147"/>
      <c r="D163" s="147"/>
      <c r="F163" s="147"/>
      <c r="G163" s="147"/>
      <c r="H163" s="148"/>
      <c r="I163" s="149"/>
      <c r="J163" s="147"/>
    </row>
    <row r="164" spans="1:10" x14ac:dyDescent="0.3">
      <c r="A164" s="147"/>
      <c r="B164" s="147"/>
      <c r="C164" s="147"/>
      <c r="D164" s="147"/>
      <c r="F164" s="147"/>
      <c r="G164" s="147"/>
      <c r="H164" s="148"/>
      <c r="I164" s="149"/>
      <c r="J164" s="147"/>
    </row>
    <row r="165" spans="1:10" x14ac:dyDescent="0.3">
      <c r="A165" s="147"/>
      <c r="B165" s="147"/>
      <c r="C165" s="147"/>
      <c r="D165" s="147"/>
      <c r="F165" s="147"/>
      <c r="G165" s="147"/>
      <c r="H165" s="148"/>
      <c r="I165" s="149"/>
      <c r="J165" s="147"/>
    </row>
    <row r="166" spans="1:10" x14ac:dyDescent="0.3">
      <c r="A166" s="147"/>
      <c r="B166" s="147"/>
      <c r="C166" s="147"/>
      <c r="D166" s="147"/>
      <c r="F166" s="147"/>
      <c r="G166" s="147"/>
      <c r="H166" s="148"/>
      <c r="I166" s="149"/>
      <c r="J166" s="147"/>
    </row>
    <row r="167" spans="1:10" x14ac:dyDescent="0.3">
      <c r="A167" s="147"/>
      <c r="B167" s="147"/>
      <c r="C167" s="147"/>
      <c r="D167" s="147"/>
      <c r="F167" s="147"/>
      <c r="G167" s="147"/>
      <c r="H167" s="148"/>
      <c r="I167" s="149"/>
      <c r="J167" s="147"/>
    </row>
    <row r="168" spans="1:10" x14ac:dyDescent="0.3">
      <c r="A168" s="147"/>
      <c r="B168" s="147"/>
      <c r="C168" s="147"/>
      <c r="D168" s="147"/>
      <c r="F168" s="147"/>
      <c r="G168" s="147"/>
      <c r="H168" s="148"/>
      <c r="I168" s="149"/>
      <c r="J168" s="147"/>
    </row>
    <row r="169" spans="1:10" x14ac:dyDescent="0.3">
      <c r="A169" s="147"/>
      <c r="B169" s="147"/>
      <c r="C169" s="147"/>
      <c r="D169" s="147"/>
      <c r="F169" s="147"/>
      <c r="G169" s="147"/>
      <c r="H169" s="148"/>
      <c r="I169" s="149"/>
      <c r="J169" s="147"/>
    </row>
    <row r="170" spans="1:10" x14ac:dyDescent="0.3">
      <c r="A170" s="147"/>
      <c r="B170" s="147"/>
      <c r="C170" s="147"/>
      <c r="D170" s="147"/>
      <c r="F170" s="147"/>
      <c r="G170" s="147"/>
      <c r="H170" s="148"/>
      <c r="I170" s="149"/>
      <c r="J170" s="147"/>
    </row>
    <row r="171" spans="1:10" x14ac:dyDescent="0.3">
      <c r="A171" s="147"/>
      <c r="B171" s="147"/>
      <c r="C171" s="147"/>
      <c r="D171" s="147"/>
      <c r="F171" s="147"/>
      <c r="G171" s="147"/>
      <c r="H171" s="148"/>
      <c r="I171" s="149"/>
      <c r="J171" s="147"/>
    </row>
    <row r="172" spans="1:10" x14ac:dyDescent="0.3">
      <c r="A172" s="147"/>
      <c r="B172" s="147"/>
      <c r="C172" s="147"/>
      <c r="D172" s="147"/>
      <c r="F172" s="147"/>
      <c r="G172" s="147"/>
      <c r="H172" s="148"/>
      <c r="I172" s="149"/>
      <c r="J172" s="147"/>
    </row>
    <row r="173" spans="1:10" x14ac:dyDescent="0.3">
      <c r="A173" s="147"/>
      <c r="B173" s="147"/>
      <c r="C173" s="147"/>
      <c r="D173" s="147"/>
      <c r="F173" s="147"/>
      <c r="G173" s="147"/>
      <c r="H173" s="148"/>
      <c r="I173" s="149"/>
      <c r="J173" s="147"/>
    </row>
    <row r="174" spans="1:10" x14ac:dyDescent="0.3">
      <c r="A174" s="147"/>
      <c r="B174" s="147"/>
      <c r="C174" s="147"/>
      <c r="D174" s="147"/>
      <c r="F174" s="147"/>
      <c r="G174" s="147"/>
      <c r="H174" s="148"/>
      <c r="I174" s="149"/>
      <c r="J174" s="147"/>
    </row>
    <row r="175" spans="1:10" x14ac:dyDescent="0.3">
      <c r="A175" s="147"/>
      <c r="B175" s="147"/>
      <c r="C175" s="147"/>
      <c r="D175" s="147"/>
      <c r="F175" s="147"/>
      <c r="G175" s="147"/>
      <c r="H175" s="148"/>
      <c r="I175" s="149"/>
      <c r="J175" s="147"/>
    </row>
    <row r="176" spans="1:10" x14ac:dyDescent="0.3">
      <c r="A176" s="147"/>
      <c r="B176" s="147"/>
      <c r="C176" s="147"/>
      <c r="D176" s="147"/>
      <c r="F176" s="147"/>
      <c r="G176" s="147"/>
      <c r="H176" s="148"/>
      <c r="I176" s="149"/>
      <c r="J176" s="147"/>
    </row>
    <row r="177" spans="1:10" x14ac:dyDescent="0.3">
      <c r="A177" s="147"/>
      <c r="B177" s="147"/>
      <c r="C177" s="147"/>
      <c r="D177" s="147"/>
      <c r="F177" s="147"/>
      <c r="G177" s="147"/>
      <c r="H177" s="148"/>
      <c r="I177" s="149"/>
      <c r="J177" s="147"/>
    </row>
    <row r="178" spans="1:10" x14ac:dyDescent="0.3">
      <c r="A178" s="147"/>
      <c r="B178" s="147"/>
      <c r="C178" s="147"/>
      <c r="D178" s="147"/>
      <c r="F178" s="147"/>
      <c r="G178" s="147"/>
      <c r="H178" s="148"/>
      <c r="I178" s="149"/>
      <c r="J178" s="147"/>
    </row>
    <row r="179" spans="1:10" x14ac:dyDescent="0.3">
      <c r="A179" s="147"/>
      <c r="B179" s="147"/>
      <c r="C179" s="147"/>
      <c r="D179" s="147"/>
      <c r="F179" s="147"/>
      <c r="G179" s="147"/>
      <c r="H179" s="148"/>
      <c r="I179" s="149"/>
      <c r="J179" s="147"/>
    </row>
    <row r="180" spans="1:10" x14ac:dyDescent="0.3">
      <c r="A180" s="147"/>
      <c r="B180" s="147"/>
      <c r="C180" s="147"/>
      <c r="D180" s="147"/>
      <c r="F180" s="147"/>
      <c r="G180" s="147"/>
      <c r="H180" s="148"/>
      <c r="I180" s="149"/>
      <c r="J180" s="147"/>
    </row>
    <row r="181" spans="1:10" x14ac:dyDescent="0.3">
      <c r="A181" s="147"/>
      <c r="B181" s="147"/>
      <c r="C181" s="147"/>
      <c r="D181" s="147"/>
      <c r="F181" s="147"/>
      <c r="G181" s="147"/>
      <c r="H181" s="148"/>
      <c r="I181" s="149"/>
      <c r="J181" s="147"/>
    </row>
    <row r="182" spans="1:10" x14ac:dyDescent="0.3">
      <c r="A182" s="147"/>
      <c r="B182" s="147"/>
      <c r="C182" s="147"/>
      <c r="D182" s="147"/>
      <c r="F182" s="147"/>
      <c r="G182" s="147"/>
      <c r="H182" s="148"/>
      <c r="I182" s="149"/>
      <c r="J182" s="147"/>
    </row>
    <row r="183" spans="1:10" x14ac:dyDescent="0.3">
      <c r="A183" s="147"/>
      <c r="B183" s="147"/>
      <c r="C183" s="147"/>
      <c r="D183" s="147"/>
      <c r="F183" s="147"/>
      <c r="G183" s="147"/>
      <c r="H183" s="148"/>
      <c r="I183" s="149"/>
      <c r="J183" s="147"/>
    </row>
    <row r="184" spans="1:10" x14ac:dyDescent="0.3">
      <c r="A184" s="147"/>
      <c r="B184" s="147"/>
      <c r="C184" s="147"/>
      <c r="D184" s="147"/>
      <c r="F184" s="147"/>
      <c r="G184" s="147"/>
      <c r="H184" s="148"/>
      <c r="I184" s="149"/>
      <c r="J184" s="147"/>
    </row>
    <row r="185" spans="1:10" x14ac:dyDescent="0.3">
      <c r="A185" s="147"/>
      <c r="B185" s="147"/>
      <c r="C185" s="147"/>
      <c r="D185" s="147"/>
      <c r="F185" s="147"/>
      <c r="G185" s="147"/>
      <c r="H185" s="148"/>
      <c r="I185" s="149"/>
      <c r="J185" s="147"/>
    </row>
    <row r="186" spans="1:10" x14ac:dyDescent="0.3">
      <c r="A186" s="147"/>
      <c r="B186" s="147"/>
      <c r="C186" s="147"/>
      <c r="D186" s="147"/>
      <c r="F186" s="147"/>
      <c r="G186" s="147"/>
      <c r="H186" s="148"/>
      <c r="I186" s="149"/>
      <c r="J186" s="147"/>
    </row>
    <row r="187" spans="1:10" x14ac:dyDescent="0.3">
      <c r="A187" s="147"/>
      <c r="B187" s="147"/>
      <c r="C187" s="147"/>
      <c r="D187" s="147"/>
      <c r="F187" s="147"/>
      <c r="G187" s="147"/>
      <c r="H187" s="148"/>
      <c r="I187" s="149"/>
      <c r="J187" s="147"/>
    </row>
    <row r="188" spans="1:10" x14ac:dyDescent="0.3">
      <c r="A188" s="147"/>
      <c r="B188" s="147"/>
      <c r="C188" s="147"/>
      <c r="D188" s="147"/>
      <c r="F188" s="147"/>
      <c r="G188" s="147"/>
      <c r="H188" s="148"/>
      <c r="I188" s="149"/>
      <c r="J188" s="147"/>
    </row>
    <row r="189" spans="1:10" x14ac:dyDescent="0.3">
      <c r="A189" s="147"/>
      <c r="B189" s="147"/>
      <c r="C189" s="147"/>
      <c r="D189" s="147"/>
      <c r="F189" s="147"/>
      <c r="G189" s="147"/>
      <c r="H189" s="148"/>
      <c r="I189" s="149"/>
      <c r="J189" s="147"/>
    </row>
    <row r="190" spans="1:10" x14ac:dyDescent="0.3">
      <c r="A190" s="147"/>
      <c r="B190" s="147"/>
      <c r="C190" s="147"/>
      <c r="D190" s="147"/>
      <c r="F190" s="147"/>
      <c r="G190" s="147"/>
      <c r="H190" s="148"/>
      <c r="I190" s="149"/>
      <c r="J190" s="147"/>
    </row>
    <row r="191" spans="1:10" x14ac:dyDescent="0.3">
      <c r="A191" s="147"/>
      <c r="B191" s="147"/>
      <c r="C191" s="147"/>
      <c r="D191" s="147"/>
      <c r="F191" s="147"/>
      <c r="G191" s="147"/>
      <c r="H191" s="148"/>
      <c r="I191" s="149"/>
      <c r="J191" s="147"/>
    </row>
    <row r="192" spans="1:10" x14ac:dyDescent="0.3">
      <c r="A192" s="147"/>
      <c r="B192" s="147"/>
      <c r="C192" s="147"/>
      <c r="D192" s="147"/>
      <c r="F192" s="147"/>
      <c r="G192" s="147"/>
      <c r="H192" s="148"/>
      <c r="I192" s="149"/>
      <c r="J192" s="147"/>
    </row>
    <row r="193" spans="1:10" x14ac:dyDescent="0.3">
      <c r="A193" s="147"/>
      <c r="B193" s="147"/>
      <c r="C193" s="147"/>
      <c r="D193" s="147"/>
      <c r="F193" s="147"/>
      <c r="G193" s="147"/>
      <c r="H193" s="148"/>
      <c r="I193" s="149"/>
      <c r="J193" s="147"/>
    </row>
    <row r="194" spans="1:10" x14ac:dyDescent="0.3">
      <c r="A194" s="147"/>
      <c r="B194" s="147"/>
      <c r="C194" s="147"/>
      <c r="D194" s="147"/>
      <c r="F194" s="147"/>
      <c r="G194" s="147"/>
      <c r="H194" s="148"/>
      <c r="I194" s="149"/>
      <c r="J194" s="147"/>
    </row>
    <row r="195" spans="1:10" x14ac:dyDescent="0.3">
      <c r="A195" s="147"/>
      <c r="B195" s="147"/>
      <c r="C195" s="147"/>
      <c r="D195" s="147"/>
      <c r="F195" s="147"/>
      <c r="G195" s="147"/>
      <c r="H195" s="148"/>
      <c r="I195" s="149"/>
      <c r="J195" s="147"/>
    </row>
    <row r="196" spans="1:10" x14ac:dyDescent="0.3">
      <c r="A196" s="147"/>
      <c r="B196" s="147"/>
      <c r="C196" s="147"/>
      <c r="D196" s="147"/>
      <c r="F196" s="147"/>
      <c r="G196" s="147"/>
      <c r="H196" s="148"/>
      <c r="I196" s="149"/>
      <c r="J196" s="147"/>
    </row>
    <row r="197" spans="1:10" x14ac:dyDescent="0.3">
      <c r="A197" s="147"/>
      <c r="B197" s="147"/>
      <c r="C197" s="147"/>
      <c r="D197" s="147"/>
      <c r="F197" s="147"/>
      <c r="G197" s="147"/>
      <c r="H197" s="148"/>
      <c r="I197" s="149"/>
      <c r="J197" s="147"/>
    </row>
    <row r="198" spans="1:10" x14ac:dyDescent="0.3">
      <c r="A198" s="147"/>
      <c r="B198" s="147"/>
      <c r="C198" s="147"/>
      <c r="D198" s="147"/>
      <c r="F198" s="147"/>
      <c r="G198" s="147"/>
      <c r="H198" s="148"/>
      <c r="I198" s="149"/>
      <c r="J198" s="147"/>
    </row>
    <row r="199" spans="1:10" x14ac:dyDescent="0.3">
      <c r="A199" s="147"/>
      <c r="B199" s="147"/>
      <c r="C199" s="147"/>
      <c r="D199" s="147"/>
      <c r="F199" s="147"/>
      <c r="G199" s="147"/>
      <c r="H199" s="148"/>
      <c r="I199" s="149"/>
      <c r="J199" s="147"/>
    </row>
    <row r="200" spans="1:10" x14ac:dyDescent="0.3">
      <c r="A200" s="147"/>
      <c r="B200" s="147"/>
      <c r="C200" s="147"/>
      <c r="D200" s="147"/>
      <c r="F200" s="147"/>
      <c r="G200" s="147"/>
      <c r="H200" s="148"/>
      <c r="I200" s="149"/>
      <c r="J200" s="147"/>
    </row>
    <row r="201" spans="1:10" x14ac:dyDescent="0.3">
      <c r="A201" s="147"/>
      <c r="B201" s="147"/>
      <c r="C201" s="147"/>
      <c r="D201" s="147"/>
      <c r="F201" s="147"/>
      <c r="G201" s="147"/>
      <c r="H201" s="148"/>
      <c r="I201" s="149"/>
      <c r="J201" s="147"/>
    </row>
    <row r="202" spans="1:10" x14ac:dyDescent="0.3">
      <c r="A202" s="147"/>
      <c r="B202" s="147"/>
      <c r="C202" s="147"/>
      <c r="D202" s="147"/>
      <c r="F202" s="147"/>
      <c r="G202" s="147"/>
      <c r="H202" s="148"/>
      <c r="I202" s="149"/>
      <c r="J202" s="147"/>
    </row>
    <row r="203" spans="1:10" x14ac:dyDescent="0.3">
      <c r="A203" s="147"/>
      <c r="B203" s="147"/>
      <c r="C203" s="147"/>
      <c r="D203" s="147"/>
      <c r="F203" s="147"/>
      <c r="G203" s="147"/>
      <c r="H203" s="148"/>
      <c r="I203" s="149"/>
      <c r="J203" s="147"/>
    </row>
    <row r="204" spans="1:10" x14ac:dyDescent="0.3">
      <c r="A204" s="147"/>
      <c r="B204" s="147"/>
      <c r="C204" s="147"/>
      <c r="D204" s="147"/>
      <c r="F204" s="147"/>
      <c r="G204" s="147"/>
      <c r="H204" s="148"/>
      <c r="I204" s="149"/>
      <c r="J204" s="147"/>
    </row>
    <row r="205" spans="1:10" x14ac:dyDescent="0.3">
      <c r="A205" s="147"/>
      <c r="B205" s="147"/>
      <c r="C205" s="147"/>
      <c r="D205" s="147"/>
      <c r="F205" s="147"/>
      <c r="G205" s="147"/>
      <c r="H205" s="148"/>
      <c r="I205" s="149"/>
      <c r="J205" s="147"/>
    </row>
    <row r="206" spans="1:10" x14ac:dyDescent="0.3">
      <c r="A206" s="147"/>
      <c r="B206" s="147"/>
      <c r="C206" s="147"/>
      <c r="D206" s="147"/>
      <c r="F206" s="147"/>
      <c r="G206" s="147"/>
      <c r="H206" s="148"/>
      <c r="I206" s="149"/>
      <c r="J206" s="147"/>
    </row>
    <row r="207" spans="1:10" x14ac:dyDescent="0.3">
      <c r="A207" s="147"/>
      <c r="B207" s="147"/>
      <c r="C207" s="147"/>
      <c r="D207" s="147"/>
      <c r="F207" s="147"/>
      <c r="G207" s="147"/>
      <c r="H207" s="148"/>
      <c r="I207" s="149"/>
      <c r="J207" s="147"/>
    </row>
    <row r="208" spans="1:10" x14ac:dyDescent="0.3">
      <c r="A208" s="147"/>
      <c r="B208" s="147"/>
      <c r="C208" s="147"/>
      <c r="D208" s="147"/>
      <c r="F208" s="147"/>
      <c r="G208" s="147"/>
      <c r="H208" s="148"/>
      <c r="I208" s="149"/>
      <c r="J208" s="147"/>
    </row>
    <row r="209" spans="1:10" x14ac:dyDescent="0.3">
      <c r="A209" s="147"/>
      <c r="B209" s="147"/>
      <c r="C209" s="147"/>
      <c r="D209" s="147"/>
      <c r="F209" s="147"/>
      <c r="G209" s="147"/>
      <c r="H209" s="148"/>
      <c r="I209" s="149"/>
      <c r="J209" s="147"/>
    </row>
    <row r="210" spans="1:10" x14ac:dyDescent="0.3">
      <c r="A210" s="147"/>
      <c r="B210" s="147"/>
      <c r="C210" s="147"/>
      <c r="D210" s="147"/>
      <c r="F210" s="147"/>
      <c r="G210" s="147"/>
      <c r="H210" s="148"/>
      <c r="I210" s="149"/>
      <c r="J210" s="147"/>
    </row>
    <row r="211" spans="1:10" x14ac:dyDescent="0.3">
      <c r="A211" s="147"/>
      <c r="B211" s="147"/>
      <c r="C211" s="147"/>
      <c r="D211" s="147"/>
      <c r="F211" s="147"/>
      <c r="G211" s="147"/>
      <c r="H211" s="148"/>
      <c r="I211" s="149"/>
      <c r="J211" s="147"/>
    </row>
    <row r="212" spans="1:10" x14ac:dyDescent="0.3">
      <c r="A212" s="147"/>
      <c r="B212" s="147"/>
      <c r="C212" s="147"/>
      <c r="D212" s="147"/>
      <c r="F212" s="147"/>
      <c r="G212" s="147"/>
      <c r="H212" s="148"/>
      <c r="I212" s="149"/>
      <c r="J212" s="147"/>
    </row>
    <row r="213" spans="1:10" x14ac:dyDescent="0.3">
      <c r="A213" s="147"/>
      <c r="B213" s="147"/>
      <c r="C213" s="147"/>
      <c r="D213" s="147"/>
      <c r="F213" s="147"/>
      <c r="G213" s="147"/>
      <c r="H213" s="148"/>
      <c r="I213" s="149"/>
      <c r="J213" s="147"/>
    </row>
    <row r="214" spans="1:10" x14ac:dyDescent="0.3">
      <c r="A214" s="147"/>
      <c r="B214" s="147"/>
      <c r="C214" s="147"/>
      <c r="D214" s="147"/>
      <c r="F214" s="147"/>
      <c r="G214" s="147"/>
      <c r="H214" s="148"/>
      <c r="I214" s="149"/>
      <c r="J214" s="147"/>
    </row>
    <row r="215" spans="1:10" x14ac:dyDescent="0.3">
      <c r="A215" s="147"/>
      <c r="B215" s="147"/>
      <c r="C215" s="147"/>
      <c r="D215" s="147"/>
      <c r="F215" s="147"/>
      <c r="G215" s="147"/>
      <c r="H215" s="148"/>
      <c r="I215" s="149"/>
      <c r="J215" s="147"/>
    </row>
    <row r="216" spans="1:10" x14ac:dyDescent="0.3">
      <c r="A216" s="147"/>
      <c r="B216" s="147"/>
      <c r="C216" s="147"/>
      <c r="D216" s="147"/>
      <c r="F216" s="147"/>
      <c r="G216" s="147"/>
      <c r="H216" s="148"/>
      <c r="I216" s="149"/>
      <c r="J216" s="147"/>
    </row>
    <row r="217" spans="1:10" x14ac:dyDescent="0.3">
      <c r="A217" s="147"/>
      <c r="B217" s="147"/>
      <c r="C217" s="147"/>
      <c r="D217" s="147"/>
      <c r="F217" s="147"/>
      <c r="G217" s="147"/>
      <c r="H217" s="148"/>
      <c r="I217" s="149"/>
      <c r="J217" s="147"/>
    </row>
    <row r="218" spans="1:10" x14ac:dyDescent="0.3">
      <c r="A218" s="147"/>
      <c r="B218" s="147"/>
      <c r="C218" s="147"/>
      <c r="D218" s="147"/>
      <c r="F218" s="147"/>
      <c r="G218" s="147"/>
      <c r="H218" s="148"/>
      <c r="I218" s="149"/>
      <c r="J218" s="147"/>
    </row>
    <row r="219" spans="1:10" x14ac:dyDescent="0.3">
      <c r="A219" s="147"/>
      <c r="B219" s="147"/>
      <c r="C219" s="147"/>
      <c r="D219" s="147"/>
      <c r="F219" s="147"/>
      <c r="G219" s="147"/>
      <c r="H219" s="148"/>
      <c r="I219" s="149"/>
      <c r="J219" s="147"/>
    </row>
    <row r="220" spans="1:10" x14ac:dyDescent="0.3">
      <c r="A220" s="147"/>
      <c r="B220" s="147"/>
      <c r="C220" s="147"/>
      <c r="D220" s="147"/>
      <c r="F220" s="147"/>
      <c r="G220" s="147"/>
      <c r="H220" s="148"/>
      <c r="I220" s="149"/>
      <c r="J220" s="147"/>
    </row>
    <row r="221" spans="1:10" x14ac:dyDescent="0.3">
      <c r="A221" s="147"/>
      <c r="B221" s="147"/>
      <c r="C221" s="147"/>
      <c r="D221" s="147"/>
      <c r="F221" s="147"/>
      <c r="G221" s="147"/>
      <c r="H221" s="148"/>
      <c r="I221" s="149"/>
      <c r="J221" s="147"/>
    </row>
    <row r="222" spans="1:10" x14ac:dyDescent="0.3">
      <c r="A222" s="147"/>
      <c r="B222" s="147"/>
      <c r="C222" s="147"/>
      <c r="D222" s="147"/>
      <c r="F222" s="147"/>
      <c r="G222" s="147"/>
      <c r="H222" s="148"/>
      <c r="I222" s="149"/>
      <c r="J222" s="147"/>
    </row>
    <row r="223" spans="1:10" x14ac:dyDescent="0.3">
      <c r="A223" s="147"/>
      <c r="B223" s="147"/>
      <c r="C223" s="147"/>
      <c r="D223" s="147"/>
      <c r="F223" s="147"/>
      <c r="G223" s="147"/>
      <c r="H223" s="148"/>
      <c r="I223" s="149"/>
      <c r="J223" s="147"/>
    </row>
    <row r="224" spans="1:10" x14ac:dyDescent="0.3">
      <c r="A224" s="147"/>
      <c r="B224" s="147"/>
      <c r="C224" s="147"/>
      <c r="D224" s="147"/>
      <c r="F224" s="147"/>
      <c r="G224" s="147"/>
      <c r="H224" s="148"/>
      <c r="I224" s="149"/>
      <c r="J224" s="147"/>
    </row>
    <row r="225" spans="1:10" x14ac:dyDescent="0.3">
      <c r="A225" s="147"/>
      <c r="B225" s="147"/>
      <c r="C225" s="147"/>
      <c r="D225" s="147"/>
      <c r="F225" s="147"/>
      <c r="G225" s="147"/>
      <c r="H225" s="148"/>
      <c r="I225" s="149"/>
      <c r="J225" s="147"/>
    </row>
    <row r="226" spans="1:10" x14ac:dyDescent="0.3">
      <c r="A226" s="147"/>
      <c r="B226" s="147"/>
      <c r="C226" s="147"/>
      <c r="D226" s="147"/>
      <c r="F226" s="147"/>
      <c r="G226" s="147"/>
      <c r="H226" s="148"/>
      <c r="I226" s="149"/>
      <c r="J226" s="147"/>
    </row>
    <row r="227" spans="1:10" x14ac:dyDescent="0.3">
      <c r="A227" s="147"/>
      <c r="B227" s="147"/>
      <c r="C227" s="147"/>
      <c r="D227" s="147"/>
      <c r="F227" s="147"/>
      <c r="G227" s="147"/>
      <c r="H227" s="148"/>
      <c r="I227" s="149"/>
      <c r="J227" s="147"/>
    </row>
    <row r="228" spans="1:10" x14ac:dyDescent="0.3">
      <c r="A228" s="147"/>
      <c r="B228" s="147"/>
      <c r="C228" s="147"/>
      <c r="D228" s="147"/>
      <c r="F228" s="147"/>
      <c r="G228" s="147"/>
      <c r="H228" s="148"/>
      <c r="I228" s="149"/>
      <c r="J228" s="147"/>
    </row>
    <row r="229" spans="1:10" x14ac:dyDescent="0.3">
      <c r="A229" s="147"/>
      <c r="B229" s="147"/>
      <c r="C229" s="147"/>
      <c r="D229" s="147"/>
      <c r="F229" s="147"/>
      <c r="G229" s="147"/>
      <c r="H229" s="148"/>
      <c r="I229" s="149"/>
      <c r="J229" s="147"/>
    </row>
    <row r="230" spans="1:10" x14ac:dyDescent="0.3">
      <c r="A230" s="147"/>
      <c r="B230" s="147"/>
      <c r="C230" s="147"/>
      <c r="D230" s="147"/>
      <c r="F230" s="147"/>
      <c r="G230" s="147"/>
      <c r="H230" s="148"/>
      <c r="I230" s="149"/>
      <c r="J230" s="147"/>
    </row>
    <row r="231" spans="1:10" x14ac:dyDescent="0.3">
      <c r="A231" s="147"/>
      <c r="B231" s="147"/>
      <c r="C231" s="147"/>
      <c r="D231" s="147"/>
      <c r="F231" s="147"/>
      <c r="G231" s="147"/>
      <c r="H231" s="148"/>
      <c r="I231" s="149"/>
      <c r="J231" s="147"/>
    </row>
    <row r="232" spans="1:10" x14ac:dyDescent="0.3">
      <c r="A232" s="147"/>
      <c r="B232" s="147"/>
      <c r="C232" s="147"/>
      <c r="D232" s="147"/>
      <c r="F232" s="147"/>
      <c r="G232" s="147"/>
      <c r="H232" s="148"/>
      <c r="I232" s="149"/>
      <c r="J232" s="147"/>
    </row>
    <row r="233" spans="1:10" x14ac:dyDescent="0.3">
      <c r="A233" s="147"/>
      <c r="B233" s="147"/>
      <c r="C233" s="147"/>
      <c r="D233" s="147"/>
      <c r="F233" s="147"/>
      <c r="G233" s="147"/>
      <c r="H233" s="148"/>
      <c r="I233" s="149"/>
      <c r="J233" s="147"/>
    </row>
    <row r="234" spans="1:10" x14ac:dyDescent="0.3">
      <c r="A234" s="147"/>
      <c r="B234" s="147"/>
      <c r="C234" s="147"/>
      <c r="D234" s="147"/>
      <c r="F234" s="147"/>
      <c r="G234" s="147"/>
      <c r="H234" s="148"/>
      <c r="I234" s="149"/>
      <c r="J234" s="147"/>
    </row>
    <row r="235" spans="1:10" x14ac:dyDescent="0.3">
      <c r="A235" s="147"/>
      <c r="B235" s="147"/>
      <c r="C235" s="147"/>
      <c r="D235" s="147"/>
      <c r="F235" s="147"/>
      <c r="G235" s="147"/>
      <c r="H235" s="148"/>
      <c r="I235" s="149"/>
      <c r="J235" s="147"/>
    </row>
    <row r="236" spans="1:10" x14ac:dyDescent="0.3">
      <c r="A236" s="147"/>
      <c r="B236" s="147"/>
      <c r="C236" s="147"/>
      <c r="D236" s="147"/>
      <c r="F236" s="147"/>
      <c r="G236" s="147"/>
      <c r="H236" s="148"/>
      <c r="I236" s="149"/>
      <c r="J236" s="147"/>
    </row>
    <row r="237" spans="1:10" x14ac:dyDescent="0.3">
      <c r="A237" s="147"/>
      <c r="B237" s="147"/>
      <c r="C237" s="147"/>
      <c r="D237" s="147"/>
      <c r="F237" s="147"/>
      <c r="G237" s="147"/>
      <c r="H237" s="148"/>
      <c r="I237" s="149"/>
      <c r="J237" s="147"/>
    </row>
    <row r="238" spans="1:10" x14ac:dyDescent="0.3">
      <c r="A238" s="147"/>
      <c r="B238" s="147"/>
      <c r="C238" s="147"/>
      <c r="D238" s="147"/>
      <c r="F238" s="147"/>
      <c r="G238" s="147"/>
      <c r="H238" s="148"/>
      <c r="I238" s="149"/>
      <c r="J238" s="147"/>
    </row>
    <row r="239" spans="1:10" x14ac:dyDescent="0.3">
      <c r="A239" s="147"/>
      <c r="B239" s="147"/>
      <c r="C239" s="147"/>
      <c r="D239" s="147"/>
      <c r="F239" s="147"/>
      <c r="G239" s="147"/>
      <c r="H239" s="148"/>
      <c r="I239" s="149"/>
      <c r="J239" s="147"/>
    </row>
    <row r="240" spans="1:10" x14ac:dyDescent="0.3">
      <c r="A240" s="147"/>
      <c r="B240" s="147"/>
      <c r="C240" s="147"/>
      <c r="D240" s="147"/>
      <c r="F240" s="147"/>
      <c r="G240" s="147"/>
      <c r="H240" s="148"/>
      <c r="I240" s="149"/>
      <c r="J240" s="147"/>
    </row>
    <row r="241" spans="1:10" x14ac:dyDescent="0.3">
      <c r="A241" s="147"/>
      <c r="B241" s="147"/>
      <c r="C241" s="147"/>
      <c r="D241" s="147"/>
      <c r="F241" s="147"/>
      <c r="G241" s="147"/>
      <c r="H241" s="148"/>
      <c r="I241" s="149"/>
      <c r="J241" s="147"/>
    </row>
    <row r="242" spans="1:10" x14ac:dyDescent="0.3">
      <c r="A242" s="147"/>
      <c r="B242" s="147"/>
      <c r="C242" s="147"/>
      <c r="D242" s="147"/>
      <c r="F242" s="147"/>
      <c r="G242" s="147"/>
      <c r="H242" s="148"/>
      <c r="I242" s="149"/>
      <c r="J242" s="147"/>
    </row>
    <row r="243" spans="1:10" x14ac:dyDescent="0.3">
      <c r="A243" s="147"/>
      <c r="B243" s="147"/>
      <c r="C243" s="147"/>
      <c r="D243" s="147"/>
      <c r="F243" s="147"/>
      <c r="G243" s="147"/>
      <c r="H243" s="148"/>
      <c r="I243" s="149"/>
      <c r="J243" s="147"/>
    </row>
    <row r="244" spans="1:10" x14ac:dyDescent="0.3">
      <c r="A244" s="147"/>
      <c r="B244" s="147"/>
      <c r="C244" s="147"/>
      <c r="D244" s="147"/>
      <c r="F244" s="147"/>
      <c r="G244" s="147"/>
      <c r="H244" s="148"/>
      <c r="I244" s="149"/>
      <c r="J244" s="147"/>
    </row>
    <row r="245" spans="1:10" x14ac:dyDescent="0.3">
      <c r="A245" s="147"/>
      <c r="B245" s="147"/>
      <c r="C245" s="147"/>
      <c r="D245" s="147"/>
      <c r="F245" s="147"/>
      <c r="G245" s="147"/>
      <c r="H245" s="148"/>
      <c r="I245" s="149"/>
      <c r="J245" s="147"/>
    </row>
    <row r="246" spans="1:10" x14ac:dyDescent="0.3">
      <c r="A246" s="147"/>
      <c r="B246" s="147"/>
      <c r="C246" s="147"/>
      <c r="D246" s="147"/>
      <c r="F246" s="147"/>
      <c r="G246" s="147"/>
      <c r="H246" s="148"/>
      <c r="I246" s="149"/>
      <c r="J246" s="147"/>
    </row>
    <row r="247" spans="1:10" x14ac:dyDescent="0.3">
      <c r="A247" s="147"/>
      <c r="B247" s="147"/>
      <c r="C247" s="147"/>
      <c r="D247" s="147"/>
      <c r="F247" s="147"/>
      <c r="G247" s="147"/>
      <c r="H247" s="148"/>
      <c r="I247" s="149"/>
      <c r="J247" s="147"/>
    </row>
    <row r="248" spans="1:10" x14ac:dyDescent="0.3">
      <c r="A248" s="147"/>
      <c r="B248" s="147"/>
      <c r="C248" s="147"/>
      <c r="D248" s="147"/>
      <c r="F248" s="147"/>
      <c r="G248" s="147"/>
      <c r="H248" s="148"/>
      <c r="I248" s="149"/>
      <c r="J248" s="147"/>
    </row>
    <row r="249" spans="1:10" x14ac:dyDescent="0.3">
      <c r="A249" s="147"/>
      <c r="B249" s="147"/>
      <c r="C249" s="147"/>
      <c r="D249" s="147"/>
      <c r="F249" s="147"/>
      <c r="G249" s="147"/>
      <c r="H249" s="148"/>
      <c r="I249" s="149"/>
      <c r="J249" s="147"/>
    </row>
    <row r="250" spans="1:10" x14ac:dyDescent="0.3">
      <c r="A250" s="147"/>
      <c r="B250" s="147"/>
      <c r="C250" s="147"/>
      <c r="D250" s="147"/>
      <c r="F250" s="147"/>
      <c r="G250" s="147"/>
      <c r="H250" s="148"/>
      <c r="I250" s="149"/>
      <c r="J250" s="147"/>
    </row>
    <row r="251" spans="1:10" x14ac:dyDescent="0.3">
      <c r="A251" s="147"/>
      <c r="B251" s="147"/>
      <c r="C251" s="147"/>
      <c r="D251" s="147"/>
      <c r="F251" s="147"/>
      <c r="G251" s="147"/>
      <c r="H251" s="148"/>
      <c r="I251" s="149"/>
      <c r="J251" s="147"/>
    </row>
    <row r="252" spans="1:10" x14ac:dyDescent="0.3">
      <c r="A252" s="147"/>
      <c r="B252" s="147"/>
      <c r="C252" s="147"/>
      <c r="D252" s="147"/>
      <c r="F252" s="147"/>
      <c r="G252" s="147"/>
      <c r="H252" s="148"/>
      <c r="I252" s="149"/>
      <c r="J252" s="147"/>
    </row>
    <row r="253" spans="1:10" x14ac:dyDescent="0.3">
      <c r="A253" s="147"/>
      <c r="B253" s="147"/>
      <c r="C253" s="147"/>
      <c r="D253" s="147"/>
      <c r="F253" s="147"/>
      <c r="G253" s="147"/>
      <c r="H253" s="148"/>
      <c r="I253" s="149"/>
      <c r="J253" s="147"/>
    </row>
    <row r="254" spans="1:10" x14ac:dyDescent="0.3">
      <c r="A254" s="147"/>
      <c r="B254" s="147"/>
      <c r="C254" s="147"/>
      <c r="D254" s="147"/>
      <c r="F254" s="147"/>
      <c r="G254" s="147"/>
      <c r="H254" s="148"/>
      <c r="I254" s="149"/>
      <c r="J254" s="147"/>
    </row>
    <row r="255" spans="1:10" x14ac:dyDescent="0.3">
      <c r="A255" s="147"/>
      <c r="B255" s="147"/>
      <c r="C255" s="147"/>
      <c r="D255" s="147"/>
      <c r="F255" s="147"/>
      <c r="G255" s="147"/>
      <c r="H255" s="148"/>
      <c r="I255" s="149"/>
      <c r="J255" s="147"/>
    </row>
    <row r="256" spans="1:10" x14ac:dyDescent="0.3">
      <c r="A256" s="147"/>
      <c r="B256" s="147"/>
      <c r="C256" s="147"/>
      <c r="D256" s="147"/>
      <c r="F256" s="147"/>
      <c r="G256" s="147"/>
      <c r="H256" s="148"/>
      <c r="I256" s="149"/>
      <c r="J256" s="147"/>
    </row>
    <row r="257" spans="1:10" x14ac:dyDescent="0.3">
      <c r="A257" s="147"/>
      <c r="B257" s="147"/>
      <c r="C257" s="147"/>
      <c r="D257" s="147"/>
      <c r="F257" s="147"/>
      <c r="G257" s="147"/>
      <c r="H257" s="148"/>
      <c r="I257" s="149"/>
      <c r="J257" s="147"/>
    </row>
    <row r="258" spans="1:10" x14ac:dyDescent="0.3">
      <c r="A258" s="147"/>
      <c r="B258" s="147"/>
      <c r="C258" s="147"/>
      <c r="D258" s="147"/>
      <c r="F258" s="147"/>
      <c r="G258" s="147"/>
      <c r="H258" s="148"/>
      <c r="I258" s="149"/>
      <c r="J258" s="147"/>
    </row>
    <row r="259" spans="1:10" x14ac:dyDescent="0.3">
      <c r="A259" s="147"/>
      <c r="B259" s="147"/>
      <c r="C259" s="147"/>
      <c r="D259" s="147"/>
      <c r="F259" s="147"/>
      <c r="G259" s="147"/>
      <c r="H259" s="148"/>
      <c r="I259" s="149"/>
      <c r="J259" s="147"/>
    </row>
    <row r="260" spans="1:10" x14ac:dyDescent="0.3">
      <c r="A260" s="147"/>
      <c r="B260" s="147"/>
      <c r="C260" s="147"/>
      <c r="D260" s="147"/>
      <c r="F260" s="147"/>
      <c r="G260" s="147"/>
      <c r="H260" s="148"/>
      <c r="I260" s="149"/>
      <c r="J260" s="147"/>
    </row>
    <row r="261" spans="1:10" x14ac:dyDescent="0.3">
      <c r="A261" s="147"/>
      <c r="B261" s="147"/>
      <c r="C261" s="147"/>
      <c r="D261" s="147"/>
      <c r="F261" s="147"/>
      <c r="G261" s="147"/>
      <c r="H261" s="148"/>
      <c r="I261" s="149"/>
      <c r="J261" s="147"/>
    </row>
    <row r="262" spans="1:10" x14ac:dyDescent="0.3">
      <c r="A262" s="147"/>
      <c r="B262" s="147"/>
      <c r="C262" s="147"/>
      <c r="D262" s="147"/>
      <c r="F262" s="147"/>
      <c r="G262" s="147"/>
      <c r="H262" s="148"/>
      <c r="I262" s="149"/>
      <c r="J262" s="147"/>
    </row>
    <row r="263" spans="1:10" x14ac:dyDescent="0.3">
      <c r="A263" s="147"/>
      <c r="B263" s="147"/>
      <c r="C263" s="147"/>
      <c r="D263" s="147"/>
      <c r="F263" s="147"/>
      <c r="G263" s="147"/>
      <c r="H263" s="148"/>
      <c r="I263" s="149"/>
      <c r="J263" s="147"/>
    </row>
    <row r="264" spans="1:10" x14ac:dyDescent="0.3">
      <c r="A264" s="147"/>
      <c r="B264" s="147"/>
      <c r="C264" s="147"/>
      <c r="D264" s="147"/>
      <c r="F264" s="147"/>
      <c r="G264" s="147"/>
      <c r="H264" s="148"/>
      <c r="I264" s="149"/>
      <c r="J264" s="147"/>
    </row>
    <row r="265" spans="1:10" x14ac:dyDescent="0.3">
      <c r="A265" s="147"/>
      <c r="B265" s="147"/>
      <c r="C265" s="147"/>
      <c r="D265" s="147"/>
      <c r="F265" s="147"/>
      <c r="G265" s="147"/>
      <c r="H265" s="148"/>
      <c r="I265" s="149"/>
      <c r="J265" s="147"/>
    </row>
    <row r="266" spans="1:10" x14ac:dyDescent="0.3">
      <c r="A266" s="147"/>
      <c r="B266" s="147"/>
      <c r="C266" s="147"/>
      <c r="D266" s="147"/>
      <c r="F266" s="147"/>
      <c r="G266" s="147"/>
      <c r="H266" s="148"/>
      <c r="I266" s="149"/>
      <c r="J266" s="147"/>
    </row>
    <row r="267" spans="1:10" x14ac:dyDescent="0.3">
      <c r="A267" s="147"/>
      <c r="B267" s="147"/>
      <c r="C267" s="147"/>
      <c r="D267" s="147"/>
      <c r="F267" s="147"/>
      <c r="G267" s="147"/>
      <c r="H267" s="148"/>
      <c r="I267" s="149"/>
      <c r="J267" s="147"/>
    </row>
    <row r="268" spans="1:10" x14ac:dyDescent="0.3">
      <c r="A268" s="147"/>
      <c r="B268" s="147"/>
      <c r="C268" s="147"/>
      <c r="D268" s="147"/>
      <c r="F268" s="147"/>
      <c r="G268" s="147"/>
      <c r="H268" s="148"/>
      <c r="I268" s="149"/>
      <c r="J268" s="147"/>
    </row>
    <row r="269" spans="1:10" x14ac:dyDescent="0.3">
      <c r="A269" s="147"/>
      <c r="B269" s="147"/>
      <c r="C269" s="147"/>
      <c r="D269" s="147"/>
      <c r="F269" s="147"/>
      <c r="G269" s="147"/>
      <c r="H269" s="148"/>
      <c r="I269" s="149"/>
      <c r="J269" s="147"/>
    </row>
    <row r="270" spans="1:10" x14ac:dyDescent="0.3">
      <c r="A270" s="147"/>
      <c r="B270" s="147"/>
      <c r="C270" s="147"/>
      <c r="D270" s="147"/>
      <c r="F270" s="147"/>
      <c r="G270" s="147"/>
      <c r="H270" s="148"/>
      <c r="I270" s="149"/>
      <c r="J270" s="147"/>
    </row>
    <row r="271" spans="1:10" x14ac:dyDescent="0.3">
      <c r="A271" s="147"/>
      <c r="B271" s="147"/>
      <c r="C271" s="147"/>
      <c r="D271" s="147"/>
      <c r="F271" s="147"/>
      <c r="G271" s="147"/>
      <c r="H271" s="148"/>
      <c r="I271" s="149"/>
      <c r="J271" s="147"/>
    </row>
    <row r="272" spans="1:10" x14ac:dyDescent="0.3">
      <c r="A272" s="147"/>
      <c r="B272" s="147"/>
      <c r="C272" s="147"/>
      <c r="D272" s="147"/>
      <c r="F272" s="147"/>
      <c r="G272" s="147"/>
      <c r="H272" s="148"/>
      <c r="I272" s="149"/>
      <c r="J272" s="147"/>
    </row>
    <row r="273" spans="1:10" x14ac:dyDescent="0.3">
      <c r="A273" s="147"/>
      <c r="B273" s="147"/>
      <c r="C273" s="147"/>
      <c r="D273" s="147"/>
      <c r="F273" s="147"/>
      <c r="G273" s="147"/>
      <c r="H273" s="148"/>
      <c r="I273" s="149"/>
      <c r="J273" s="147"/>
    </row>
    <row r="274" spans="1:10" x14ac:dyDescent="0.3">
      <c r="A274" s="147"/>
      <c r="B274" s="147"/>
      <c r="C274" s="147"/>
      <c r="D274" s="147"/>
      <c r="F274" s="147"/>
      <c r="G274" s="147"/>
      <c r="H274" s="148"/>
      <c r="I274" s="149"/>
      <c r="J274" s="147"/>
    </row>
    <row r="275" spans="1:10" x14ac:dyDescent="0.3">
      <c r="A275" s="147"/>
      <c r="B275" s="147"/>
      <c r="C275" s="147"/>
      <c r="D275" s="147"/>
      <c r="F275" s="147"/>
      <c r="G275" s="147"/>
      <c r="H275" s="148"/>
      <c r="I275" s="149"/>
      <c r="J275" s="147"/>
    </row>
    <row r="276" spans="1:10" x14ac:dyDescent="0.3">
      <c r="A276" s="147"/>
      <c r="B276" s="147"/>
      <c r="C276" s="147"/>
      <c r="D276" s="147"/>
      <c r="F276" s="147"/>
      <c r="G276" s="147"/>
      <c r="H276" s="148"/>
      <c r="I276" s="149"/>
      <c r="J276" s="147"/>
    </row>
    <row r="277" spans="1:10" x14ac:dyDescent="0.3">
      <c r="A277" s="147"/>
      <c r="B277" s="147"/>
      <c r="C277" s="147"/>
      <c r="D277" s="147"/>
      <c r="F277" s="147"/>
      <c r="G277" s="147"/>
      <c r="H277" s="148"/>
      <c r="I277" s="149"/>
      <c r="J277" s="147"/>
    </row>
    <row r="278" spans="1:10" x14ac:dyDescent="0.3">
      <c r="A278" s="147"/>
      <c r="B278" s="147"/>
      <c r="C278" s="147"/>
      <c r="D278" s="147"/>
      <c r="F278" s="147"/>
      <c r="G278" s="147"/>
      <c r="H278" s="148"/>
      <c r="I278" s="149"/>
      <c r="J278" s="147"/>
    </row>
    <row r="279" spans="1:10" x14ac:dyDescent="0.3">
      <c r="A279" s="147"/>
      <c r="B279" s="147"/>
      <c r="C279" s="147"/>
      <c r="D279" s="147"/>
      <c r="F279" s="147"/>
      <c r="G279" s="147"/>
      <c r="H279" s="148"/>
      <c r="I279" s="149"/>
      <c r="J279" s="147"/>
    </row>
    <row r="280" spans="1:10" x14ac:dyDescent="0.3">
      <c r="A280" s="147"/>
      <c r="B280" s="147"/>
      <c r="C280" s="147"/>
      <c r="D280" s="147"/>
      <c r="F280" s="147"/>
      <c r="G280" s="147"/>
      <c r="H280" s="148"/>
      <c r="I280" s="149"/>
      <c r="J280" s="147"/>
    </row>
    <row r="281" spans="1:10" x14ac:dyDescent="0.3">
      <c r="A281" s="147"/>
      <c r="B281" s="147"/>
      <c r="C281" s="147"/>
      <c r="D281" s="147"/>
      <c r="F281" s="147"/>
      <c r="G281" s="147"/>
      <c r="H281" s="148"/>
      <c r="I281" s="149"/>
      <c r="J281" s="147"/>
    </row>
    <row r="282" spans="1:10" x14ac:dyDescent="0.3">
      <c r="A282" s="147"/>
      <c r="B282" s="147"/>
      <c r="C282" s="147"/>
      <c r="D282" s="147"/>
      <c r="F282" s="147"/>
      <c r="G282" s="147"/>
      <c r="H282" s="148"/>
      <c r="I282" s="149"/>
      <c r="J282" s="147"/>
    </row>
    <row r="283" spans="1:10" x14ac:dyDescent="0.3">
      <c r="A283" s="147"/>
      <c r="B283" s="147"/>
      <c r="C283" s="147"/>
      <c r="D283" s="147"/>
      <c r="F283" s="147"/>
      <c r="G283" s="147"/>
      <c r="H283" s="148"/>
      <c r="I283" s="149"/>
      <c r="J283" s="147"/>
    </row>
    <row r="284" spans="1:10" x14ac:dyDescent="0.3">
      <c r="A284" s="147"/>
      <c r="B284" s="147"/>
      <c r="C284" s="147"/>
      <c r="D284" s="147"/>
      <c r="F284" s="147"/>
      <c r="G284" s="147"/>
      <c r="H284" s="148"/>
      <c r="I284" s="149"/>
      <c r="J284" s="147"/>
    </row>
    <row r="285" spans="1:10" x14ac:dyDescent="0.3">
      <c r="A285" s="147"/>
      <c r="B285" s="147"/>
      <c r="C285" s="147"/>
      <c r="D285" s="147"/>
      <c r="F285" s="147"/>
      <c r="G285" s="147"/>
      <c r="H285" s="148"/>
      <c r="I285" s="149"/>
      <c r="J285" s="147"/>
    </row>
    <row r="286" spans="1:10" x14ac:dyDescent="0.3">
      <c r="A286" s="147"/>
      <c r="B286" s="147"/>
      <c r="C286" s="147"/>
      <c r="D286" s="147"/>
      <c r="F286" s="147"/>
      <c r="G286" s="147"/>
      <c r="H286" s="148"/>
      <c r="I286" s="149"/>
      <c r="J286" s="147"/>
    </row>
    <row r="287" spans="1:10" x14ac:dyDescent="0.3">
      <c r="A287" s="147"/>
      <c r="B287" s="147"/>
      <c r="C287" s="147"/>
      <c r="D287" s="147"/>
      <c r="F287" s="147"/>
      <c r="G287" s="147"/>
      <c r="H287" s="148"/>
      <c r="I287" s="149"/>
      <c r="J287" s="147"/>
    </row>
    <row r="288" spans="1:10" x14ac:dyDescent="0.3">
      <c r="A288" s="147"/>
      <c r="B288" s="147"/>
      <c r="C288" s="147"/>
      <c r="D288" s="147"/>
      <c r="F288" s="147"/>
      <c r="G288" s="147"/>
      <c r="H288" s="148"/>
      <c r="I288" s="149"/>
      <c r="J288" s="147"/>
    </row>
    <row r="289" spans="1:10" x14ac:dyDescent="0.3">
      <c r="A289" s="147"/>
      <c r="B289" s="147"/>
      <c r="C289" s="147"/>
      <c r="D289" s="147"/>
      <c r="F289" s="147"/>
      <c r="G289" s="147"/>
      <c r="H289" s="148"/>
      <c r="I289" s="149"/>
      <c r="J289" s="147"/>
    </row>
    <row r="290" spans="1:10" x14ac:dyDescent="0.3">
      <c r="A290" s="147"/>
      <c r="B290" s="147"/>
      <c r="C290" s="147"/>
      <c r="D290" s="147"/>
      <c r="F290" s="147"/>
      <c r="G290" s="147"/>
      <c r="H290" s="148"/>
      <c r="I290" s="149"/>
      <c r="J290" s="147"/>
    </row>
    <row r="291" spans="1:10" x14ac:dyDescent="0.3">
      <c r="A291" s="147"/>
      <c r="B291" s="147"/>
      <c r="C291" s="147"/>
      <c r="D291" s="147"/>
      <c r="F291" s="147"/>
      <c r="G291" s="147"/>
      <c r="H291" s="148"/>
      <c r="I291" s="149"/>
      <c r="J291" s="147"/>
    </row>
    <row r="292" spans="1:10" x14ac:dyDescent="0.3">
      <c r="A292" s="147"/>
      <c r="B292" s="147"/>
      <c r="C292" s="147"/>
      <c r="D292" s="147"/>
      <c r="F292" s="147"/>
      <c r="G292" s="147"/>
      <c r="H292" s="148"/>
      <c r="I292" s="149"/>
      <c r="J292" s="147"/>
    </row>
    <row r="293" spans="1:10" x14ac:dyDescent="0.3">
      <c r="A293" s="147"/>
      <c r="B293" s="147"/>
      <c r="C293" s="147"/>
      <c r="D293" s="147"/>
      <c r="F293" s="147"/>
      <c r="G293" s="147"/>
      <c r="H293" s="148"/>
      <c r="I293" s="149"/>
      <c r="J293" s="147"/>
    </row>
    <row r="294" spans="1:10" x14ac:dyDescent="0.3">
      <c r="A294" s="147"/>
      <c r="B294" s="147"/>
      <c r="C294" s="147"/>
      <c r="D294" s="147"/>
      <c r="F294" s="147"/>
      <c r="G294" s="147"/>
      <c r="H294" s="148"/>
      <c r="I294" s="149"/>
      <c r="J294" s="147"/>
    </row>
    <row r="295" spans="1:10" x14ac:dyDescent="0.3">
      <c r="A295" s="147"/>
      <c r="B295" s="147"/>
      <c r="C295" s="147"/>
      <c r="D295" s="147"/>
      <c r="F295" s="147"/>
      <c r="G295" s="147"/>
      <c r="H295" s="148"/>
      <c r="I295" s="149"/>
      <c r="J295" s="147"/>
    </row>
    <row r="296" spans="1:10" x14ac:dyDescent="0.3">
      <c r="A296" s="147"/>
      <c r="B296" s="147"/>
      <c r="C296" s="147"/>
      <c r="D296" s="147"/>
      <c r="F296" s="147"/>
      <c r="G296" s="147"/>
      <c r="H296" s="148"/>
      <c r="I296" s="149"/>
      <c r="J296" s="147"/>
    </row>
    <row r="297" spans="1:10" x14ac:dyDescent="0.3">
      <c r="A297" s="147"/>
      <c r="B297" s="147"/>
      <c r="C297" s="147"/>
      <c r="D297" s="147"/>
      <c r="F297" s="147"/>
      <c r="G297" s="147"/>
      <c r="H297" s="148"/>
      <c r="I297" s="149"/>
      <c r="J297" s="147"/>
    </row>
    <row r="298" spans="1:10" x14ac:dyDescent="0.3">
      <c r="A298" s="147"/>
      <c r="B298" s="147"/>
      <c r="C298" s="147"/>
      <c r="D298" s="147"/>
      <c r="F298" s="147"/>
      <c r="G298" s="147"/>
      <c r="H298" s="148"/>
      <c r="I298" s="149"/>
      <c r="J298" s="147"/>
    </row>
    <row r="299" spans="1:10" x14ac:dyDescent="0.3">
      <c r="A299" s="147"/>
      <c r="B299" s="147"/>
      <c r="C299" s="147"/>
      <c r="D299" s="147"/>
      <c r="F299" s="147"/>
      <c r="G299" s="147"/>
      <c r="H299" s="148"/>
      <c r="I299" s="149"/>
      <c r="J299" s="147"/>
    </row>
    <row r="300" spans="1:10" x14ac:dyDescent="0.3">
      <c r="A300" s="147"/>
      <c r="B300" s="147"/>
      <c r="C300" s="147"/>
      <c r="D300" s="147"/>
      <c r="F300" s="147"/>
      <c r="G300" s="147"/>
      <c r="H300" s="148"/>
      <c r="I300" s="149"/>
      <c r="J300" s="147"/>
    </row>
  </sheetData>
  <autoFilter ref="A1:J1" xr:uid="{90E77364-3E8C-43B5-9DDA-DE1E1FFEB5A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85ECE-A891-4A21-84AE-D42253B2811B}">
  <sheetPr codeName="Sheet47"/>
  <dimension ref="J1:N12"/>
  <sheetViews>
    <sheetView workbookViewId="0"/>
  </sheetViews>
  <sheetFormatPr defaultRowHeight="14.4" x14ac:dyDescent="0.3"/>
  <cols>
    <col min="10" max="10" width="31.77734375" bestFit="1" customWidth="1"/>
    <col min="11" max="11" width="7.109375" bestFit="1" customWidth="1"/>
    <col min="13" max="13" width="31.77734375" bestFit="1" customWidth="1"/>
    <col min="14" max="14" width="7.109375" bestFit="1" customWidth="1"/>
  </cols>
  <sheetData>
    <row r="1" spans="10:14" x14ac:dyDescent="0.3">
      <c r="J1" t="s">
        <v>674</v>
      </c>
      <c r="M1" t="s">
        <v>675</v>
      </c>
    </row>
    <row r="2" spans="10:14" x14ac:dyDescent="0.3">
      <c r="J2" t="s">
        <v>668</v>
      </c>
      <c r="K2">
        <v>4</v>
      </c>
      <c r="M2" t="s">
        <v>668</v>
      </c>
      <c r="N2">
        <v>4</v>
      </c>
    </row>
    <row r="3" spans="10:14" x14ac:dyDescent="0.3">
      <c r="J3" t="s">
        <v>669</v>
      </c>
      <c r="K3">
        <v>2</v>
      </c>
      <c r="M3" t="s">
        <v>669</v>
      </c>
      <c r="N3">
        <v>2</v>
      </c>
    </row>
    <row r="4" spans="10:14" x14ac:dyDescent="0.3">
      <c r="J4" t="s">
        <v>676</v>
      </c>
      <c r="K4">
        <v>0</v>
      </c>
      <c r="M4" t="s">
        <v>676</v>
      </c>
      <c r="N4">
        <v>0</v>
      </c>
    </row>
    <row r="5" spans="10:14" x14ac:dyDescent="0.3">
      <c r="J5" t="s">
        <v>534</v>
      </c>
      <c r="K5">
        <v>10</v>
      </c>
      <c r="M5" t="s">
        <v>534</v>
      </c>
      <c r="N5">
        <v>10</v>
      </c>
    </row>
    <row r="6" spans="10:14" x14ac:dyDescent="0.3">
      <c r="J6" t="s">
        <v>677</v>
      </c>
      <c r="K6">
        <v>6</v>
      </c>
      <c r="M6" t="s">
        <v>677</v>
      </c>
      <c r="N6">
        <v>6</v>
      </c>
    </row>
    <row r="7" spans="10:14" x14ac:dyDescent="0.3">
      <c r="J7" t="s">
        <v>678</v>
      </c>
      <c r="K7">
        <v>4</v>
      </c>
      <c r="M7" t="s">
        <v>678</v>
      </c>
      <c r="N7">
        <v>4</v>
      </c>
    </row>
    <row r="9" spans="10:14" x14ac:dyDescent="0.3">
      <c r="J9" t="s">
        <v>670</v>
      </c>
      <c r="K9" s="155">
        <v>0.6</v>
      </c>
      <c r="M9" t="s">
        <v>670</v>
      </c>
      <c r="N9" s="155">
        <v>0.6</v>
      </c>
    </row>
    <row r="10" spans="10:14" x14ac:dyDescent="0.3">
      <c r="J10" t="s">
        <v>671</v>
      </c>
      <c r="K10" s="155">
        <v>0.6</v>
      </c>
      <c r="M10" t="s">
        <v>671</v>
      </c>
      <c r="N10" s="155">
        <v>0.6</v>
      </c>
    </row>
    <row r="11" spans="10:14" x14ac:dyDescent="0.3">
      <c r="J11" t="s">
        <v>672</v>
      </c>
      <c r="K11" s="155">
        <v>0.66666666666666663</v>
      </c>
      <c r="M11" t="s">
        <v>672</v>
      </c>
      <c r="N11" s="155">
        <v>0.66666666666666663</v>
      </c>
    </row>
    <row r="12" spans="10:14" x14ac:dyDescent="0.3">
      <c r="J12" t="s">
        <v>673</v>
      </c>
      <c r="K12" s="155">
        <v>0.5</v>
      </c>
      <c r="M12" t="s">
        <v>673</v>
      </c>
      <c r="N12" s="155">
        <v>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vt:lpstr>
      <vt:lpstr>Input</vt:lpstr>
      <vt:lpstr>Weights</vt:lpstr>
      <vt:lpstr>Location</vt:lpstr>
      <vt:lpstr>BundlingCompatabilityData</vt:lpstr>
      <vt:lpstr>Options</vt:lpstr>
      <vt:lpstr>Focused Bundling Combinations</vt:lpstr>
      <vt:lpstr>Validatio1n</vt:lpstr>
      <vt:lpstr>Optimal Combinations Sorted</vt:lpstr>
      <vt:lpstr>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Iyiola</dc:creator>
  <cp:lastModifiedBy>David Iyiola</cp:lastModifiedBy>
  <dcterms:created xsi:type="dcterms:W3CDTF">2024-11-20T16:05:07Z</dcterms:created>
  <dcterms:modified xsi:type="dcterms:W3CDTF">2025-11-18T18:57:44Z</dcterms:modified>
</cp:coreProperties>
</file>